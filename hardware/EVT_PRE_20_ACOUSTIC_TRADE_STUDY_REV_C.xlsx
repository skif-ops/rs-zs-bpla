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1f9648f1a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Summary" sheetId="1" r:id="R248f6ef96e8e40b4"/>
    <x:sheet xmlns:r="http://schemas.openxmlformats.org/officeDocument/2006/relationships" name="Варианты Options" sheetId="2" r:id="Rc4848cb5a0e24359"/>
    <x:sheet xmlns:r="http://schemas.openxmlformats.org/officeDocument/2006/relationships" name="Цели Targets" sheetId="3" r:id="Rb1d3d3dd6a3d4013"/>
    <x:sheet xmlns:r="http://schemas.openxmlformats.org/officeDocument/2006/relationships" name="Расчет Range" sheetId="4" r:id="R72dc0b8613eb4f4b"/>
    <x:sheet xmlns:r="http://schemas.openxmlformats.org/officeDocument/2006/relationships" name="Испытания Tests" sheetId="5" r:id="R1ff95dbc3b2645c6"/>
    <x:sheet xmlns:r="http://schemas.openxmlformats.org/officeDocument/2006/relationships" name="Источники Sources" sheetId="6" r:id="Rd03ea802f5a3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b/>
      <x:sz val="14"/>
      <x:color rgb="FF142A4A"/>
      <x:name val="Arial"/>
    </x:font>
    <x:font>
      <x:i/>
      <x:sz val="10"/>
      <x:color rgb="FF555555"/>
      <x:name val="Arial"/>
    </x:font>
    <x:font>
      <x:sz val="9"/>
      <x:color rgb="FF1F2937"/>
      <x:name val="Arial"/>
    </x:font>
    <x:font>
      <x:b/>
      <x:sz val="9"/>
      <x:color rgb="FFFFFFFF"/>
      <x:name val="Arial"/>
    </x:font>
    <x:font>
      <x:sz val="11"/>
      <x:name val="Arial"/>
    </x:font>
    <x:font>
      <x:b/>
      <x:sz val="9"/>
      <x:color rgb="FF142A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985"/>
      </x:patternFill>
    </x:fill>
    <x:fill>
      <x:patternFill patternType="solid">
        <x:fgColor rgb="FFEAF1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4F81BD"/>
      </x:bottom>
      <x:diagonal/>
    </x:border>
    <x:border>
      <x:left style="thin">
        <x:color rgb="FFB7C3CF"/>
      </x:left>
      <x:right style="thin">
        <x:color rgb="FFB7C3CF"/>
      </x:right>
      <x:top style="thin">
        <x:color rgb="FFB7C3CF"/>
      </x:top>
      <x:bottom style="thin">
        <x:color rgb="FFB7C3C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3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3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201" fontId="3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a7601f22747d1" /><Relationship Type="http://schemas.openxmlformats.org/officeDocument/2006/relationships/theme" Target="/xl/theme/theme1.xml" Id="R268ed531762541e8" /><Relationship Type="http://schemas.openxmlformats.org/officeDocument/2006/relationships/sharedStrings" Target="/xl/sharedStrings.xml" Id="R4ebe8e7d8cf347b6" /><Relationship Type="http://schemas.openxmlformats.org/officeDocument/2006/relationships/worksheet" Target="/xl/worksheets/sheet1.xml" Id="R248f6ef96e8e40b4" /><Relationship Type="http://schemas.openxmlformats.org/officeDocument/2006/relationships/worksheet" Target="/xl/worksheets/sheet2.xml" Id="Rc4848cb5a0e24359" /><Relationship Type="http://schemas.openxmlformats.org/officeDocument/2006/relationships/worksheet" Target="/xl/worksheets/sheet3.xml" Id="Rb1d3d3dd6a3d4013" /><Relationship Type="http://schemas.openxmlformats.org/officeDocument/2006/relationships/worksheet" Target="/xl/worksheets/sheet4.xml" Id="R72dc0b8613eb4f4b" /><Relationship Type="http://schemas.openxmlformats.org/officeDocument/2006/relationships/worksheet" Target="/xl/worksheets/sheet5.xml" Id="R1ff95dbc3b2645c6" /><Relationship Type="http://schemas.openxmlformats.org/officeDocument/2006/relationships/worksheet" Target="/xl/worksheets/sheet6.xml" Id="Rd03ea802f5a340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A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31" hidden="0" customWidth="1"/>
    <x:col min="4" max="4" width="27" hidden="0" customWidth="1"/>
  </x:cols>
  <x:sheetData>
    <x:row r="2">
      <x:c r="A2" s="1" t="str">
        <x:v>Акустический тракт LR-1 EVT-PRE-20</x:v>
      </x:c>
      <x:c r="B2" s="11"/>
      <x:c r="C2" s="11"/>
      <x:c r="D2" s="11"/>
      <x:c r="E2" s="11"/>
      <x:c r="F2" s="11"/>
      <x:c r="G2" s="11"/>
      <x:c r="H2" s="11"/>
    </x:row>
    <x:row r="3">
      <x:c r="A3" s="2" t="str">
        <x:v>Controlled bilingual engineering evaluation, Rev C, 27.10.2026</x:v>
      </x:c>
      <x:c r="B3" s="11"/>
      <x:c r="C3" s="11"/>
      <x:c r="D3" s="11"/>
      <x:c r="E3" s="11"/>
      <x:c r="F3" s="11"/>
      <x:c r="G3" s="11"/>
      <x:c r="H3" s="11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0" t="str">
        <x:v>Параметр / Parameter</x:v>
      </x:c>
      <x:c r="B6" s="10" t="str">
        <x:v>Значение / Value</x:v>
      </x:c>
      <x:c r="C6" s="11"/>
      <x:c r="D6" s="11"/>
      <x:c r="E6" s="11"/>
      <x:c r="F6" s="11"/>
      <x:c r="G6" s="11"/>
      <x:c r="H6" s="11"/>
    </x:row>
    <x:row r="7">
      <x:c r="A7" s="7" t="str">
        <x:v>Производственный baseline / Production baseline</x:v>
      </x:c>
      <x:c r="B7" s="7" t="str">
        <x:v>4 x TDK T5838, KEEP_BASELINE</x:v>
      </x:c>
      <x:c r="C7" s="11"/>
      <x:c r="D7" s="11"/>
      <x:c r="E7" s="11"/>
      <x:c r="F7" s="11"/>
      <x:c r="G7" s="11"/>
      <x:c r="H7" s="11"/>
    </x:row>
    <x:row r="8">
      <x:c r="A8" s="7" t="str">
        <x:v>Статус LR-1 / LR-1 status</x:v>
      </x:c>
      <x:c r="B8" s="7" t="str">
        <x:v>EXPERIMENTAL PARALLEL MODULE</x:v>
      </x:c>
      <x:c r="C8" s="11"/>
      <x:c r="D8" s="11"/>
      <x:c r="E8" s="11"/>
      <x:c r="F8" s="11"/>
      <x:c r="G8" s="11"/>
      <x:c r="H8" s="11"/>
    </x:row>
    <x:row r="9">
      <x:c r="A9" s="7" t="str">
        <x:v>Вариантов BUILD_ONE / BUILD_ONE options</x:v>
      </x:c>
      <x:c r="B9" s="7" t="n">
        <x:f>COUNTIFS('Варианты Options'!$I$6:$I$15,"BUILD_ONE")</x:f>
        <x:v>4</x:v>
      </x:c>
      <x:c r="C9" s="11"/>
      <x:c r="D9" s="11"/>
      <x:c r="E9" s="11"/>
      <x:c r="F9" s="11"/>
      <x:c r="G9" s="11"/>
      <x:c r="H9" s="11"/>
    </x:row>
    <x:row r="10">
      <x:c r="A10" s="7" t="str">
        <x:v>Классов целей / Target classes</x:v>
      </x:c>
      <x:c r="B10" s="7" t="n">
        <x:f>COUNTA('Цели Targets'!$A$6:$A$11)</x:f>
        <x:v>6</x:v>
      </x:c>
      <x:c r="C10" s="11"/>
      <x:c r="D10" s="11"/>
      <x:c r="E10" s="11"/>
      <x:c r="F10" s="11"/>
      <x:c r="G10" s="11"/>
      <x:c r="H10" s="11"/>
    </x:row>
    <x:row r="11">
      <x:c r="A11" s="7" t="str">
        <x:v>Максимальная дистанция серии / Maximum test range m</x:v>
      </x:c>
      <x:c r="B11" s="7" t="n">
        <x:f>MAX('Расчет Range'!$A$6:$A$13)</x:f>
        <x:v>4000</x:v>
      </x:c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0" t="str">
        <x:v>Полоса / Band</x:v>
      </x:c>
      <x:c r="B13" s="10" t="str">
        <x:v>Физический тракт / Physical path</x:v>
      </x:c>
      <x:c r="C13" s="10" t="str">
        <x:v>Назначение / Purpose</x:v>
      </x:c>
      <x:c r="D13" s="10" t="str">
        <x:v>Решение / Decision</x:v>
      </x:c>
      <x:c r="E13" s="11"/>
      <x:c r="F13" s="11"/>
      <x:c r="G13" s="11"/>
      <x:c r="H13" s="11"/>
    </x:row>
    <x:row r="14">
      <x:c r="A14" s="7" t="str">
        <x:v>80-400 Hz</x:v>
      </x:c>
      <x:c r="B14" s="7" t="str">
        <x:v>Массив 1.2-2 m / 1.2-2 m array</x:v>
      </x:c>
      <x:c r="C14" s="7" t="str">
        <x:v>Низкочастотная апертура / Low-frequency aperture</x:v>
      </x:c>
      <x:c r="D14" s="7" t="str">
        <x:v>PROTOTYPE</x:v>
      </x:c>
      <x:c r="E14" s="11"/>
      <x:c r="F14" s="11"/>
      <x:c r="G14" s="11"/>
      <x:c r="H14" s="11"/>
    </x:row>
    <x:row r="15">
      <x:c r="A15" s="7" t="str">
        <x:v>250-1500 Hz</x:v>
      </x:c>
      <x:c r="B15" s="7" t="str">
        <x:v>Конический и пирамидальный рупоры / Conical and pyramidal horns</x:v>
      </x:c>
      <x:c r="C15" s="7" t="str">
        <x:v>Секторное сравнение / Sector comparison</x:v>
      </x:c>
      <x:c r="D15" s="7" t="str">
        <x:v>BUILD_ONE_EACH</x:v>
      </x:c>
      <x:c r="E15" s="11"/>
      <x:c r="F15" s="11"/>
      <x:c r="G15" s="11"/>
      <x:c r="H15" s="11"/>
    </x:row>
    <x:row r="16">
      <x:c r="A16" s="7" t="str">
        <x:v>300-3000 Hz</x:v>
      </x:c>
      <x:c r="B16" s="7" t="str">
        <x:v>Shotgun reference</x:v>
      </x:c>
      <x:c r="C16" s="7" t="str">
        <x:v>Направленный эталон / Directional reference</x:v>
      </x:c>
      <x:c r="D16" s="7" t="str">
        <x:v>COMPARE</x:v>
      </x:c>
      <x:c r="E16" s="11"/>
      <x:c r="F16" s="11"/>
      <x:c r="G16" s="11"/>
      <x:c r="H16" s="11"/>
    </x:row>
    <x:row r="17">
      <x:c r="A17" s="7" t="str">
        <x:v>500-3000 Hz</x:v>
      </x:c>
      <x:c r="B17" s="7" t="str">
        <x:v>Отражатель 0.6 m / 0.6 m reflector</x:v>
      </x:c>
      <x:c r="C17" s="7" t="str">
        <x:v>Физическое усиление сектора / Sector aperture gain</x:v>
      </x:c>
      <x:c r="D17" s="7" t="str">
        <x:v>BUILD_ONE</x:v>
      </x:c>
      <x:c r="E17" s="11"/>
      <x:c r="F17" s="11"/>
      <x:c r="G17" s="11"/>
      <x:c r="H17" s="11"/>
    </x:row>
    <x:row r="18">
      <x:c r="A18" s="7" t="str">
        <x:v>100-800 Hz</x:v>
      </x:c>
      <x:c r="B18" s="7" t="str">
        <x:v>Кассета резонаторов / Resonator bank</x:v>
      </x:c>
      <x:c r="C18" s="7" t="str">
        <x:v>Вспомогательные гармоники / Auxiliary harmonics</x:v>
      </x:c>
      <x:c r="D18" s="7" t="str">
        <x:v>BUILD_ONE</x:v>
      </x:c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0" t="str">
        <x:v>Контроль / Control</x:v>
      </x:c>
      <x:c r="B20" s="10" t="str">
        <x:v>Требование / Requirement</x:v>
      </x:c>
      <x:c r="C20" s="10" t="str">
        <x:v>Статус / Status</x:v>
      </x:c>
      <x:c r="D20" s="10" t="str">
        <x:v>Действие / Action</x:v>
      </x:c>
      <x:c r="E20" s="11"/>
      <x:c r="F20" s="11"/>
      <x:c r="G20" s="11"/>
      <x:c r="H20" s="11"/>
    </x:row>
    <x:row r="21">
      <x:c r="A21" s="7" t="str">
        <x:v>2 km claim</x:v>
      </x:c>
      <x:c r="B21" s="7" t="str">
        <x:v>Источник, погода, Pd и FAR должны быть зафиксированы / Source, weather, Pd and FAR must be fixed</x:v>
      </x:c>
      <x:c r="C21" s="7" t="str">
        <x:v>OPEN</x:v>
      </x:c>
      <x:c r="D21" s="7" t="str">
        <x:v>Field measurements</x:v>
      </x:c>
      <x:c r="E21" s="11"/>
      <x:c r="F21" s="11"/>
      <x:c r="G21" s="11"/>
      <x:c r="H21" s="11"/>
    </x:row>
    <x:row r="22">
      <x:c r="A22" s="7" t="str">
        <x:v>Production baseline</x:v>
      </x:c>
      <x:c r="B22" s="7" t="str">
        <x:v>PCB-MAIN, PCB-PWR and PCB-MIC unchanged</x:v>
      </x:c>
      <x:c r="C22" s="7" t="str">
        <x:v>LOCKED</x:v>
      </x:c>
      <x:c r="D22" s="7" t="str">
        <x:v>ECO before any change</x:v>
      </x:c>
      <x:c r="E22" s="11"/>
      <x:c r="F22" s="11"/>
      <x:c r="G22" s="11"/>
      <x:c r="H22" s="11"/>
    </x:row>
    <x:row r="23">
      <x:c r="A23" s="7" t="str">
        <x:v>Revision lineage</x:v>
      </x:c>
      <x:c r="B23" s="7" t="str">
        <x:v>Rev A and Rev B retained</x:v>
      </x:c>
      <x:c r="C23" s="7" t="str">
        <x:v>COMPLETE</x:v>
      </x:c>
      <x:c r="D23" s="7" t="str">
        <x:v>Use Rev C as current study</x:v>
      </x:c>
      <x:c r="E23" s="11"/>
      <x:c r="F23" s="11"/>
      <x:c r="G23" s="11"/>
      <x:c r="H23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31" hidden="0" customWidth="1"/>
    <x:col min="4" max="4" width="13" hidden="0" customWidth="1"/>
    <x:col min="5" max="5" width="26" hidden="0" customWidth="1"/>
    <x:col min="6" max="6" width="20" hidden="0" customWidth="1"/>
    <x:col min="7" max="7" width="32" hidden="0" customWidth="1"/>
    <x:col min="8" max="8" width="32" hidden="0" customWidth="1"/>
    <x:col min="9" max="9" width="23" hidden="0" customWidth="1"/>
  </x:cols>
  <x:sheetData>
    <x:row r="2">
      <x:c r="A2" s="1" t="str">
        <x:v>Варианты физической акустической головки</x:v>
      </x:c>
    </x:row>
    <x:row r="3">
      <x:c r="A3" s="2" t="str">
        <x:v>Physical acoustic-head options, Rev C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0" t="str">
        <x:v>ID</x:v>
      </x:c>
      <x:c r="B5" s="10" t="str">
        <x:v>Конструкция / Structure</x:v>
      </x:c>
      <x:c r="C5" s="10" t="str">
        <x:v>Физический эффект / Physical effect</x:v>
      </x:c>
      <x:c r="D5" s="10" t="str">
        <x:v>Полоса Hz</x:v>
      </x:c>
      <x:c r="E5" s="10" t="str">
        <x:v>Шум или SNR / Noise or SNR</x:v>
      </x:c>
      <x:c r="F5" s="10" t="str">
        <x:v>Интерфейс / Interface</x:v>
      </x:c>
      <x:c r="G5" s="10" t="str">
        <x:v>Погода и ветер / Weather and wind</x:v>
      </x:c>
      <x:c r="H5" s="10" t="str">
        <x:v>Роль / Role</x:v>
      </x:c>
      <x:c r="I5" s="10" t="str">
        <x:v>Решение / Decision</x:v>
      </x:c>
    </x:row>
    <x:row r="6">
      <x:c r="A6" s="7" t="str">
        <x:v>BASELINE_T5838</x:v>
      </x:c>
      <x:c r="B6" s="7" t="str">
        <x:v>4 x TDK T5838 MEMS, штатный массив
4 x TDK T5838 MEMS baseline array</x:v>
      </x:c>
      <x:c r="C6" s="7" t="str">
        <x:v>Компактный когерентный захват и AAD
Compact coherent capture and AAD</x:v>
      </x:c>
      <x:c r="D6" s="7" t="str">
        <x:v>27-3000</x:v>
      </x:c>
      <x:c r="E6" s="7" t="str">
        <x:v>26 dBA SPL EIN in high-quality mode; 68 dBA SNR</x:v>
      </x:c>
      <x:c r="F6" s="7" t="str">
        <x:v>PDM</x:v>
      </x:c>
      <x:c r="G6" s="7" t="str">
        <x:v>Проверить штатную ветрозащиту и корпус в поле
Verify the existing windshield and enclosure in the field</x:v>
      </x:c>
      <x:c r="H6" s="7" t="str">
        <x:v>Базовый AAD и контрольный канал
Baseline AAD and reference channel</x:v>
      </x:c>
      <x:c r="I6" s="7" t="str">
        <x:v>KEEP_BASELINE</x:v>
      </x:c>
    </x:row>
    <x:row r="7">
      <x:c r="A7" s="13" t="str">
        <x:v>LOW_NOISE_MEMS</x:v>
      </x:c>
      <x:c r="B7" s="13" t="str">
        <x:v>8-16 x Infineon IM73D122
8-16 x Infineon IM73D122</x:v>
      </x:c>
      <x:c r="C7" s="13" t="str">
        <x:v>Ниже шум капсюля и больше пространственная апертура
Lower capsule noise and larger spatial aperture</x:v>
      </x:c>
      <x:c r="D7" s="13" t="str">
        <x:v>80-2000</x:v>
      </x:c>
      <x:c r="E7" s="13" t="str">
        <x:v>73 dBA SNR; about 21 dBA SPL A-weighted input noise</x:v>
      </x:c>
      <x:c r="F7" s="13" t="str">
        <x:v>PDM</x:v>
      </x:c>
      <x:c r="G7" s="13" t="str">
        <x:v>Корзинная ветрозащита и виброразвязка
Full basket windshield and vibration isolation</x:v>
      </x:c>
      <x:c r="H7" s="13" t="str">
        <x:v>Низкочастотный крупноапертурный массив
Low-frequency large-aperture array</x:v>
      </x:c>
      <x:c r="I7" s="13" t="str">
        <x:v>PROTOTYPE_CANDIDATE</x:v>
      </x:c>
    </x:row>
    <x:row r="8">
      <x:c r="A8" s="7" t="str">
        <x:v>ANALOG_MEMS</x:v>
      </x:c>
      <x:c r="B8" s="7" t="str">
        <x:v>8-16 x Infineon IM73A135
8-16 x Infineon IM73A135</x:v>
      </x:c>
      <x:c r="C8" s="7" t="str">
        <x:v>Низкий шум с дифференциальным аналоговым выходом
Low capsule noise with differential analog output</x:v>
      </x:c>
      <x:c r="D8" s="7" t="str">
        <x:v>80-2000</x:v>
      </x:c>
      <x:c r="E8" s="7" t="str">
        <x:v>73 dBA SNR; 135 dBSPL AOP</x:v>
      </x:c>
      <x:c r="F8" s="7" t="str">
        <x:v>Differential analog</x:v>
      </x:c>
      <x:c r="G8" s="7" t="str">
        <x:v>Корзинная защита и локальный малошумящий АЦП
Full basket windshield and low-noise local ADC</x:v>
      </x:c>
      <x:c r="H8" s="7" t="str">
        <x:v>Массив и канал сравнения резонаторов
Array and resonator comparison channel</x:v>
      </x:c>
      <x:c r="I8" s="7" t="str">
        <x:v>PROTOTYPE_CANDIDATE</x:v>
      </x:c>
    </x:row>
    <x:row r="9">
      <x:c r="A9" s="13" t="str">
        <x:v>SHOTGUN_NTG5</x:v>
      </x:c>
      <x:c r="B9" s="13" t="str">
        <x:v>4-8 x RODE NTG5
4-8 x RODE NTG5</x:v>
      </x:c>
      <x:c r="C9" s="13" t="str">
        <x:v>Направленность интерференционной трубки
Interference-tube directivity</x:v>
      </x:c>
      <x:c r="D9" s="13" t="str">
        <x:v>300-3000</x:v>
      </x:c>
      <x:c r="E9" s="13" t="str">
        <x:v>10 dBA self-noise; 84 dB SNR</x:v>
      </x:c>
      <x:c r="F9" s="13" t="str">
        <x:v>Balanced analog P48</x:v>
      </x:c>
      <x:c r="G9" s="13" t="str">
        <x:v>Профессиональная корзина, мех, дренаж, развязка мачты
Professional basket, fur, drainage and mast isolation</x:v>
      </x:c>
      <x:c r="H9" s="13" t="str">
        <x:v>Широкополосный направленный эталон
Broadband directional reference</x:v>
      </x:c>
      <x:c r="I9" s="13" t="str">
        <x:v>PROTOTYPE_REFERENCE</x:v>
      </x:c>
    </x:row>
    <x:row r="10">
      <x:c r="A10" s="7" t="str">
        <x:v>SHOTGUN_MKH416</x:v>
      </x:c>
      <x:c r="B10" s="7" t="str">
        <x:v>4-8 x Sennheiser MKH 416
4-8 x Sennheiser MKH 416</x:v>
      </x:c>
      <x:c r="C10" s="7" t="str">
        <x:v>Направленность трубки и RF condenser construction
Interference-tube directivity and RF condenser construction</x:v>
      </x:c>
      <x:c r="D10" s="7" t="str">
        <x:v>300-3000</x:v>
      </x:c>
      <x:c r="E10" s="7" t="str">
        <x:v>13 dBA self-noise</x:v>
      </x:c>
      <x:c r="F10" s="7" t="str">
        <x:v>Balanced analog P48</x:v>
      </x:c>
      <x:c r="G10" s="7" t="str">
        <x:v>Профессиональная корзина, мех, дренаж, развязка мачты
Professional basket, fur, drainage and mast isolation</x:v>
      </x:c>
      <x:c r="H10" s="7" t="str">
        <x:v>Защищенный кандидат сравнения
Rugged comparison candidate</x:v>
      </x:c>
      <x:c r="I10" s="7" t="str">
        <x:v>PROTOTYPE_COMPARATOR</x:v>
      </x:c>
    </x:row>
    <x:row r="11">
      <x:c r="A11" s="13" t="str">
        <x:v>CONICAL_HORN_700</x:v>
      </x:c>
      <x:c r="B11" s="13" t="str">
        <x:v>Конический приемный рупор, раскрыв 0.7 m
0.7 m mouth conical receiving horn</x:v>
      </x:c>
      <x:c r="C11" s="13" t="str">
        <x:v>Осесимметричное преобразование давления
Axisymmetric pressure transformation</x:v>
      </x:c>
      <x:c r="D11" s="13" t="str">
        <x:v>250-1500</x:v>
      </x:c>
      <x:c r="E11" s="13" t="str">
        <x:v>Defined by capsule, throat and damping</x:v>
      </x:c>
      <x:c r="F11" s="13" t="str">
        <x:v>Depends on capsule</x:v>
      </x:c>
      <x:c r="G11" s="13" t="str">
        <x:v>Контроль турбулентности, дренаж и защита горла
Mouth turbulence control, drainage and throat windshield</x:v>
      </x:c>
      <x:c r="H11" s="13" t="str">
        <x:v>Осесимметричный эталон рупора
Axisymmetric horn reference</x:v>
      </x:c>
      <x:c r="I11" s="13" t="str">
        <x:v>BUILD_ONE</x:v>
      </x:c>
    </x:row>
    <x:row r="12">
      <x:c r="A12" s="7" t="str">
        <x:v>PYRAMIDAL_HORN_800X500</x:v>
      </x:c>
      <x:c r="B12" s="7" t="str">
        <x:v>Пирамидальный рупор 0.8 x 0.5 m
0.8 x 0.5 m pyramidal receiving horn</x:v>
      </x:c>
      <x:c r="C12" s="7" t="str">
        <x:v>Раздельные горизонтальная и вертикальная апертуры
Separate horizontal and vertical aperture</x:v>
      </x:c>
      <x:c r="D12" s="7" t="str">
        <x:v>250-1500</x:v>
      </x:c>
      <x:c r="E12" s="7" t="str">
        <x:v>Defined by capsule, throat and damping</x:v>
      </x:c>
      <x:c r="F12" s="7" t="str">
        <x:v>Depends on capsule</x:v>
      </x:c>
      <x:c r="G12" s="7" t="str">
        <x:v>Обработка кромок, дренаж и защита горла
Edge treatment, drainage and throat windshield</x:v>
      </x:c>
      <x:c r="H12" s="7" t="str">
        <x:v>Первый кандидат секторного прототипа
Preferred sector prototype candidate</x:v>
      </x:c>
      <x:c r="I12" s="7" t="str">
        <x:v>BUILD_ONE</x:v>
      </x:c>
    </x:row>
    <x:row r="13">
      <x:c r="A13" s="13" t="str">
        <x:v>EXPONENTIAL_INSERT</x:v>
      </x:c>
      <x:c r="B13" s="13" t="str">
        <x:v>Сменная экспоненциальная вставка рупора
Exchangeable exponential or near-exponential horn insert</x:v>
      </x:c>
      <x:c r="C13" s="13" t="str">
        <x:v>Согласование импеданса в выбранной полосе
Improved acoustic impedance matching in a selected band</x:v>
      </x:c>
      <x:c r="D13" s="13" t="str">
        <x:v>300-1500</x:v>
      </x:c>
      <x:c r="E13" s="13" t="str">
        <x:v>Defined by capsule, flare rate and throat</x:v>
      </x:c>
      <x:c r="F13" s="13" t="str">
        <x:v>Depends on capsule</x:v>
      </x:c>
      <x:c r="G13" s="13" t="str">
        <x:v>Те же меры, что для рупора, плюс проверка высших мод
Horn controls plus cutoff and higher-mode verification</x:v>
      </x:c>
      <x:c r="H13" s="13" t="str">
        <x:v>Вставка после базового сравнения рупоров
Insert after base horn comparison</x:v>
      </x:c>
      <x:c r="I13" s="13" t="str">
        <x:v>MODEL_THEN_BUILD</x:v>
      </x:c>
    </x:row>
    <x:row r="14">
      <x:c r="A14" s="7" t="str">
        <x:v>PARABOLIC_600</x:v>
      </x:c>
      <x:c r="B14" s="7" t="str">
        <x:v>Отражатель 0.6 m и малошумящий капсюль
0.6 m reflector with a low-noise capsule</x:v>
      </x:c>
      <x:c r="C14" s="7" t="str">
        <x:v>Апертура с усилением, растущим с частотой
Aperture gain increasing with frequency</x:v>
      </x:c>
      <x:c r="D14" s="7" t="str">
        <x:v>500-3000</x:v>
      </x:c>
      <x:c r="E14" s="7" t="str">
        <x:v>Defined by capsule and preamplifier</x:v>
      </x:c>
      <x:c r="F14" s="7" t="str">
        <x:v>Depends on capsule</x:v>
      </x:c>
      <x:c r="G14" s="7" t="str">
        <x:v>Защита от порывов, дренаж, фазовая калибровка
Gust shielding, drainage and phase calibration</x:v>
      </x:c>
      <x:c r="H14" s="7" t="str">
        <x:v>Эксперимент физического усиления одного сектора
Single-sector physical gain experiment</x:v>
      </x:c>
      <x:c r="I14" s="7" t="str">
        <x:v>BUILD_ONE</x:v>
      </x:c>
    </x:row>
    <x:row r="15">
      <x:c r="A15" s="13" t="str">
        <x:v>TAPERED_RESONATOR_BANK</x:v>
      </x:c>
      <x:c r="B15" s="13" t="str">
        <x:v>Кассета перекрывающихся сужающихся четвертьволновых каналов
Overlapping tapered quarter-wave cells</x:v>
      </x:c>
      <x:c r="C15" s="13" t="str">
        <x:v>Узкополосное повышение давления до капсюля
Narrowband pressure gain before the capsule</x:v>
      </x:c>
      <x:c r="D15" s="13" t="str">
        <x:v>100-800</x:v>
      </x:c>
      <x:c r="E15" s="13" t="str">
        <x:v>Defined by capsule, damping and Q</x:v>
      </x:c>
      <x:c r="F15" s="13" t="str">
        <x:v>Depends on capsule</x:v>
      </x:c>
      <x:c r="G15" s="13" t="str">
        <x:v>Дренаж, защита от конденсата и механическое демпфирование
Drainage, condensation control and mechanical damping</x:v>
      </x:c>
      <x:c r="H15" s="13" t="str">
        <x:v>Вспомогательный гармонический канал
Auxiliary harmonic channel</x:v>
      </x:c>
      <x:c r="I15" s="13" t="str">
        <x:v>BUILD_ONE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C8EB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</x:cols>
  <x:sheetData>
    <x:row r="2">
      <x:c r="A2" s="1" t="str">
        <x:v>Классы акустических целей</x:v>
      </x:c>
    </x:row>
    <x:row r="3">
      <x:c r="A3" s="2" t="str">
        <x:v>Target classes and required source measurements, Rev B</x:v>
      </x:c>
    </x:row>
    <x:row r="4">
      <x:c r="A4" s="3"/>
      <x:c r="B4" s="3"/>
      <x:c r="C4" s="3"/>
      <x:c r="D4" s="3"/>
      <x:c r="E4" s="3"/>
      <x:c r="F4" s="3"/>
      <x:c r="G4" s="3"/>
    </x:row>
    <x:row r="5">
      <x:c r="A5" s="10" t="str">
        <x:v>ID</x:v>
      </x:c>
      <x:c r="B5" s="10" t="str">
        <x:v>Класс / Class</x:v>
      </x:c>
      <x:c r="C5" s="10" t="str">
        <x:v>Источник / Source</x:v>
      </x:c>
      <x:c r="D5" s="10" t="str">
        <x:v>Режимы / States</x:v>
      </x:c>
      <x:c r="E5" s="10" t="str">
        <x:v>Признаки / Features</x:v>
      </x:c>
      <x:c r="F5" s="10" t="str">
        <x:v>Обязательное измерение / Required measurement</x:v>
      </x:c>
      <x:c r="G5" s="10" t="str">
        <x:v>Статус / Status</x:v>
      </x:c>
    </x:row>
    <x:row r="6">
      <x:c r="A6" s="7" t="str">
        <x:v>SMALL_ELECTRIC_MULTIROTOR</x:v>
      </x:c>
      <x:c r="B6" s="7" t="str">
        <x:v>Малый электрический мультикоптер
Small electric multirotor</x:v>
      </x:c>
      <x:c r="C6" s="7" t="str">
        <x:v>Винты, электромоторы и регуляторы
Propellers, motors and controllers</x:v>
      </x:c>
      <x:c r="D6" s="7" t="str">
        <x:v>Висение, ускорение, набор, пролет, удаление
Hover, acceleration, climb, pass, retreat</x:v>
      </x:c>
      <x:c r="E6" s="7" t="str">
        <x:v>Тональные линии и гармоники от низких сотен герц до нескольких килогерц
Tonal lines and harmonics from low hundreds of hertz to several kilohertz</x:v>
      </x:c>
      <x:c r="F6" s="7" t="str">
        <x:v>Калиброванный узкополосный и третьоктавный SPL на 1 m для каждого режима
Calibrated narrowband and one-third-octave SPL at 1 m for every state</x:v>
      </x:c>
      <x:c r="G6" s="7" t="str">
        <x:v>MEASUREMENT_REQUIRED</x:v>
      </x:c>
    </x:row>
    <x:row r="7">
      <x:c r="A7" s="13" t="str">
        <x:v>LARGE_ELECTRIC_AIRCRAFT</x:v>
      </x:c>
      <x:c r="B7" s="13" t="str">
        <x:v>Крупный электрический аппарат
Large electric aircraft</x:v>
      </x:c>
      <x:c r="C7" s="13" t="str">
        <x:v>Крупные винты, несколько приводов и поток
Large propellers, multiple drives and flow</x:v>
      </x:c>
      <x:c r="D7" s="13" t="str">
        <x:v>Взлет, набор, крейсер, маневр, снижение
Takeoff, climb, cruise, maneuver, descent</x:v>
      </x:c>
      <x:c r="E7" s="13" t="str">
        <x:v>Низкие гармоники и среднечастотная гребенка
Low harmonics and a mid-frequency tonal comb</x:v>
      </x:c>
      <x:c r="F7" s="13" t="str">
        <x:v>Спектр, геометрия, тяга и ракурс
Spectrum, geometry, thrust state and aspect</x:v>
      </x:c>
      <x:c r="G7" s="13" t="str">
        <x:v>MEASUREMENT_REQUIRED</x:v>
      </x:c>
    </x:row>
    <x:row r="8">
      <x:c r="A8" s="7" t="str">
        <x:v>PISTON_OR_ROTARY_COMBUSTION</x:v>
      </x:c>
      <x:c r="B8" s="7" t="str">
        <x:v>Поршневой или роторный аппарат
Piston or rotary combustion aircraft</x:v>
      </x:c>
      <x:c r="C8" s="7" t="str">
        <x:v>Двигатель, выхлоп, редуктор, винт или ротор
Engine, exhaust, gearbox, propeller or rotor</x:v>
      </x:c>
      <x:c r="D8" s="7" t="str">
        <x:v>Холостой ход, частичная и полная нагрузка, набор, крейсер
Idle, partial and full load, climb, cruise</x:v>
      </x:c>
      <x:c r="E8" s="7" t="str">
        <x:v>Сильные низкие и средние гармоники и механический шум
Strong low and mid harmonics with mechanical broadband energy</x:v>
      </x:c>
      <x:c r="F8" s="7" t="str">
        <x:v>Спектр, обороты, нагрузка и конфигурация выхлопа
Spectrum, rotational speed, load and exhaust configuration</x:v>
      </x:c>
      <x:c r="G8" s="7" t="str">
        <x:v>MEASUREMENT_REQUIRED</x:v>
      </x:c>
    </x:row>
    <x:row r="9">
      <x:c r="A9" s="13" t="str">
        <x:v>PROPELLER_FIXED_WING</x:v>
      </x:c>
      <x:c r="B9" s="13" t="str">
        <x:v>Винтовой самолет
Propeller fixed wing</x:v>
      </x:c>
      <x:c r="C9" s="13" t="str">
        <x:v>Винт, двигатель и аэродинамический шум планера
Propeller, engine and airframe flow</x:v>
      </x:c>
      <x:c r="D9" s="13" t="str">
        <x:v>Взлет, набор, крейсер, разворот, заход
Takeoff, climb, cruise, turn, approach</x:v>
      </x:c>
      <x:c r="E9" s="13" t="str">
        <x:v>Частота прохождения лопастей и гармоники с зависимостью от ракурса
Blade-passage components and aspect-dependent harmonics</x:v>
      </x:c>
      <x:c r="F9" s="13" t="str">
        <x:v>Спектр, дальность, высота, курс и скорость
Spectrum, range, altitude, course and speed</x:v>
      </x:c>
      <x:c r="G9" s="13" t="str">
        <x:v>MEASUREMENT_REQUIRED</x:v>
      </x:c>
    </x:row>
    <x:row r="10">
      <x:c r="A10" s="7" t="str">
        <x:v>TURBINE_OR_JET</x:v>
      </x:c>
      <x:c r="B10" s="7" t="str">
        <x:v>Турбинный или реактивный аппарат
Turbine or jet</x:v>
      </x:c>
      <x:c r="C10" s="7" t="str">
        <x:v>Турбомашина и реактивная струя
Turbomachinery and jet flow</x:v>
      </x:c>
      <x:c r="D10" s="7" t="str">
        <x:v>Малый газ, взлетная тяга, набор, крейсер, заход
Idle, takeoff thrust, climb, cruise, approach</x:v>
      </x:c>
      <x:c r="E10" s="7" t="str">
        <x:v>Средне- и высокочастотный широкополосный шум с сильным атмосферным поглощением
Mid and high-frequency broadband components with strong air absorption</x:v>
      </x:c>
      <x:c r="F10" s="7" t="str">
        <x:v>Спектр и уровень для каждого режима двигателя
Spectrum and level for every engine state</x:v>
      </x:c>
      <x:c r="G10" s="7" t="str">
        <x:v>MEASUREMENT_REQUIRED</x:v>
      </x:c>
    </x:row>
    <x:row r="11">
      <x:c r="A11" s="13" t="str">
        <x:v>FALSE_SOURCE_SET</x:v>
      </x:c>
      <x:c r="B11" s="13" t="str">
        <x:v>Ложные источники
False sources</x:v>
      </x:c>
      <x:c r="C11" s="13" t="str">
        <x:v>Транспорт, генераторы, механизмы, ветер и биофония
Vehicles, generators, machinery, wind and biological sources</x:v>
      </x:c>
      <x:c r="D11" s="13" t="str">
        <x:v>Условия конкретной площадки
Site-specific operating states</x:v>
      </x:c>
      <x:c r="E11" s="13" t="str">
        <x:v>Перекрывающиеся тональные и широкополосные компоненты
Overlapping tonal and broadband components</x:v>
      </x:c>
      <x:c r="F11" s="13" t="str">
        <x:v>Одновременная калиброванная запись фона на каждой площадке
Simultaneous calibrated background recording at every site</x:v>
      </x:c>
      <x:c r="G11" s="13" t="str">
        <x:v>MEASUREMENT_REQUIRED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EADB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Расчет потерь на 2 км</x:v>
      </x:c>
    </x:row>
    <x:row r="3">
      <x:c r="A3" s="2" t="str">
        <x:v>15 °C, 70 percent RH, 101.325 kPa; free-field estimate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0" t="str">
        <x:v>Частота Hz</x:v>
      </x:c>
      <x:c r="B5" s="10" t="str">
        <x:v>Поглощение dB</x:v>
      </x:c>
      <x:c r="C5" s="10" t="str">
        <x:v>Расхождение dB</x:v>
      </x:c>
      <x:c r="D5" s="10" t="str">
        <x:v>Полные потери dB</x:v>
      </x:c>
      <x:c r="E5" s="10" t="str">
        <x:v>Источник 70 dB</x:v>
      </x:c>
      <x:c r="F5" s="10" t="str">
        <x:v>Прием 70 dB</x:v>
      </x:c>
      <x:c r="G5" s="10" t="str">
        <x:v>Источник 85 dB</x:v>
      </x:c>
      <x:c r="H5" s="10" t="str">
        <x:v>Прием 85 dB</x:v>
      </x:c>
      <x:c r="I5" s="10" t="str">
        <x:v>Источник 100 dB</x:v>
      </x:c>
      <x:c r="J5" s="10" t="str">
        <x:v>Прием 100 dB</x:v>
      </x:c>
    </x:row>
    <x:row r="6">
      <x:c r="A6" s="14" t="n">
        <x:v>100</x:v>
      </x:c>
      <x:c r="B6" s="16" t="n">
        <x:v>0.5</x:v>
      </x:c>
      <x:c r="C6" s="16" t="n">
        <x:v>66.02</x:v>
      </x:c>
      <x:c r="D6" s="16" t="n">
        <x:f>B6+C6</x:f>
        <x:v>66.52</x:v>
      </x:c>
      <x:c r="E6" s="16" t="n">
        <x:v>70</x:v>
      </x:c>
      <x:c r="F6" s="16" t="n">
        <x:f>E6-D6</x:f>
        <x:v>3.480000000000004</x:v>
      </x:c>
      <x:c r="G6" s="16" t="n">
        <x:v>85</x:v>
      </x:c>
      <x:c r="H6" s="16" t="n">
        <x:f>G6-D6</x:f>
        <x:v>18.480000000000004</x:v>
      </x:c>
      <x:c r="I6" s="16" t="n">
        <x:v>100</x:v>
      </x:c>
      <x:c r="J6" s="16" t="n">
        <x:f>I6-D6</x:f>
        <x:v>33.480000000000004</x:v>
      </x:c>
    </x:row>
    <x:row r="7">
      <x:c r="A7" s="15" t="n">
        <x:v>160</x:v>
      </x:c>
      <x:c r="B7" s="17" t="n">
        <x:v>1.15</x:v>
      </x:c>
      <x:c r="C7" s="17" t="n">
        <x:v>66.02</x:v>
      </x:c>
      <x:c r="D7" s="17" t="n">
        <x:f>B7+C7</x:f>
        <x:v>67.17</x:v>
      </x:c>
      <x:c r="E7" s="17" t="n">
        <x:v>70</x:v>
      </x:c>
      <x:c r="F7" s="17" t="n">
        <x:f>E7-D7</x:f>
        <x:v>2.8299999999999983</x:v>
      </x:c>
      <x:c r="G7" s="17" t="n">
        <x:v>85</x:v>
      </x:c>
      <x:c r="H7" s="17" t="n">
        <x:f>G7-D7</x:f>
        <x:v>17.83</x:v>
      </x:c>
      <x:c r="I7" s="17" t="n">
        <x:v>100</x:v>
      </x:c>
      <x:c r="J7" s="17" t="n">
        <x:f>I7-D7</x:f>
        <x:v>32.83</x:v>
      </x:c>
    </x:row>
    <x:row r="8">
      <x:c r="A8" s="14" t="n">
        <x:v>250</x:v>
      </x:c>
      <x:c r="B8" s="16" t="n">
        <x:v>2.25</x:v>
      </x:c>
      <x:c r="C8" s="16" t="n">
        <x:v>66.02</x:v>
      </x:c>
      <x:c r="D8" s="16" t="n">
        <x:f>B8+C8</x:f>
        <x:v>68.27</x:v>
      </x:c>
      <x:c r="E8" s="16" t="n">
        <x:v>70</x:v>
      </x:c>
      <x:c r="F8" s="16" t="n">
        <x:f>E8-D8</x:f>
        <x:v>1.730000000000004</x:v>
      </x:c>
      <x:c r="G8" s="16" t="n">
        <x:v>85</x:v>
      </x:c>
      <x:c r="H8" s="16" t="n">
        <x:f>G8-D8</x:f>
        <x:v>16.730000000000004</x:v>
      </x:c>
      <x:c r="I8" s="16" t="n">
        <x:v>100</x:v>
      </x:c>
      <x:c r="J8" s="16" t="n">
        <x:f>I8-D8</x:f>
        <x:v>31.730000000000004</x:v>
      </x:c>
    </x:row>
    <x:row r="9">
      <x:c r="A9" s="15" t="n">
        <x:v>400</x:v>
      </x:c>
      <x:c r="B9" s="17" t="n">
        <x:v>3.86</x:v>
      </x:c>
      <x:c r="C9" s="17" t="n">
        <x:v>66.02</x:v>
      </x:c>
      <x:c r="D9" s="17" t="n">
        <x:f>B9+C9</x:f>
        <x:v>69.88</x:v>
      </x:c>
      <x:c r="E9" s="17" t="n">
        <x:v>70</x:v>
      </x:c>
      <x:c r="F9" s="17" t="n">
        <x:f>E9-D9</x:f>
        <x:v>0.12000000000000455</x:v>
      </x:c>
      <x:c r="G9" s="17" t="n">
        <x:v>85</x:v>
      </x:c>
      <x:c r="H9" s="17" t="n">
        <x:f>G9-D9</x:f>
        <x:v>15.120000000000005</x:v>
      </x:c>
      <x:c r="I9" s="17" t="n">
        <x:v>100</x:v>
      </x:c>
      <x:c r="J9" s="17" t="n">
        <x:f>I9-D9</x:f>
        <x:v>30.120000000000005</x:v>
      </x:c>
    </x:row>
    <x:row r="10">
      <x:c r="A10" s="14" t="n">
        <x:v>630</x:v>
      </x:c>
      <x:c r="B10" s="16" t="n">
        <x:v>5.67</x:v>
      </x:c>
      <x:c r="C10" s="16" t="n">
        <x:v>66.02</x:v>
      </x:c>
      <x:c r="D10" s="16" t="n">
        <x:f>B10+C10</x:f>
        <x:v>71.69</x:v>
      </x:c>
      <x:c r="E10" s="16" t="n">
        <x:v>70</x:v>
      </x:c>
      <x:c r="F10" s="16" t="n">
        <x:f>E10-D10</x:f>
        <x:v>-1.6899999999999977</x:v>
      </x:c>
      <x:c r="G10" s="16" t="n">
        <x:v>85</x:v>
      </x:c>
      <x:c r="H10" s="16" t="n">
        <x:f>G10-D10</x:f>
        <x:v>13.310000000000002</x:v>
      </x:c>
      <x:c r="I10" s="16" t="n">
        <x:v>100</x:v>
      </x:c>
      <x:c r="J10" s="16" t="n">
        <x:f>I10-D10</x:f>
        <x:v>28.310000000000002</x:v>
      </x:c>
    </x:row>
    <x:row r="11">
      <x:c r="A11" s="15" t="n">
        <x:v>1000</x:v>
      </x:c>
      <x:c r="B11" s="17" t="n">
        <x:v>8.15</x:v>
      </x:c>
      <x:c r="C11" s="17" t="n">
        <x:v>66.02</x:v>
      </x:c>
      <x:c r="D11" s="17" t="n">
        <x:f>B11+C11</x:f>
        <x:v>74.17</x:v>
      </x:c>
      <x:c r="E11" s="17" t="n">
        <x:v>70</x:v>
      </x:c>
      <x:c r="F11" s="17" t="n">
        <x:f>E11-D11</x:f>
        <x:v>-4.170000000000002</x:v>
      </x:c>
      <x:c r="G11" s="17" t="n">
        <x:v>85</x:v>
      </x:c>
      <x:c r="H11" s="17" t="n">
        <x:f>G11-D11</x:f>
        <x:v>10.829999999999998</x:v>
      </x:c>
      <x:c r="I11" s="17" t="n">
        <x:v>100</x:v>
      </x:c>
      <x:c r="J11" s="17" t="n">
        <x:f>I11-D11</x:f>
        <x:v>25.83</x:v>
      </x:c>
    </x:row>
    <x:row r="12">
      <x:c r="A12" s="14" t="n">
        <x:v>2000</x:v>
      </x:c>
      <x:c r="B12" s="16" t="n">
        <x:v>17.55</x:v>
      </x:c>
      <x:c r="C12" s="16" t="n">
        <x:v>66.02</x:v>
      </x:c>
      <x:c r="D12" s="16" t="n">
        <x:f>B12+C12</x:f>
        <x:v>83.57</x:v>
      </x:c>
      <x:c r="E12" s="16" t="n">
        <x:v>70</x:v>
      </x:c>
      <x:c r="F12" s="16" t="n">
        <x:f>E12-D12</x:f>
        <x:v>-13.569999999999993</x:v>
      </x:c>
      <x:c r="G12" s="16" t="n">
        <x:v>85</x:v>
      </x:c>
      <x:c r="H12" s="16" t="n">
        <x:f>G12-D12</x:f>
        <x:v>1.4300000000000068</x:v>
      </x:c>
      <x:c r="I12" s="16" t="n">
        <x:v>100</x:v>
      </x:c>
      <x:c r="J12" s="16" t="n">
        <x:f>I12-D12</x:f>
        <x:v>16.430000000000007</x:v>
      </x:c>
    </x:row>
    <x:row r="13">
      <x:c r="A13" s="15" t="n">
        <x:v>4000</x:v>
      </x:c>
      <x:c r="B13" s="17" t="n">
        <x:v>53.19</x:v>
      </x:c>
      <x:c r="C13" s="17" t="n">
        <x:v>66.02</x:v>
      </x:c>
      <x:c r="D13" s="17" t="n">
        <x:f>B13+C13</x:f>
        <x:v>119.21</x:v>
      </x:c>
      <x:c r="E13" s="17" t="n">
        <x:v>70</x:v>
      </x:c>
      <x:c r="F13" s="17" t="n">
        <x:f>E13-D13</x:f>
        <x:v>-49.209999999999994</x:v>
      </x:c>
      <x:c r="G13" s="17" t="n">
        <x:v>85</x:v>
      </x:c>
      <x:c r="H13" s="17" t="n">
        <x:f>G13-D13</x:f>
        <x:v>-34.209999999999994</x:v>
      </x:c>
      <x:c r="I13" s="17" t="n">
        <x:v>100</x:v>
      </x:c>
      <x:c r="J13" s="17" t="n">
        <x:f>I13-D13</x:f>
        <x:v>-19.209999999999994</x:v>
      </x:c>
    </x:row>
    <x:row r="15" ht="28" customHeight="1">
      <x:c r="A15" s="19" t="str">
        <x:v>Примечание / Note</x:v>
      </x:c>
      <x:c r="B15" s="18" t="str">
        <x:v>Уровни 70, 85 и 100 dB SPL являются сценариями, а не присвоенными классам целям / The 70, 85 and 100 dB SPL levels are scenarios, not class assignments</x:v>
      </x:c>
      <x:c r="C15" s="18"/>
      <x:c r="D15" s="18"/>
      <x:c r="E15" s="18"/>
      <x:c r="F15" s="18"/>
      <x:c r="G15" s="18"/>
      <x:c r="H15" s="18"/>
      <x:c r="I15" s="18"/>
      <x:c r="J15" s="18"/>
    </x:row>
    <x:row r="16" ht="28" customHeight="1">
      <x:c r="A16" s="19" t="str">
        <x:v>Ограничение / Limitation</x:v>
      </x:c>
      <x:c r="B16" s="18" t="str">
        <x:v>Не учтены земля, препятствия, ветер, температурный градиент и теневые зоны / Ground, obstructions, wind, temperature gradients and shadow zones are excluded</x:v>
      </x:c>
      <x:c r="C16" s="18"/>
      <x:c r="D16" s="18"/>
      <x:c r="E16" s="18"/>
      <x:c r="F16" s="18"/>
      <x:c r="G16" s="18"/>
      <x:c r="H16" s="18"/>
      <x:c r="I16" s="18"/>
      <x:c r="J16" s="18"/>
    </x:row>
  </x:sheetData>
  <x:mergeCells>
    <x:mergeCell ref="B15:J15"/>
    <x:mergeCell ref="B16:J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4C7E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</x:cols>
  <x:sheetData>
    <x:row r="2">
      <x:c r="A2" s="1" t="str">
        <x:v>Матрица проверки LR-1</x:v>
      </x:c>
    </x:row>
    <x:row r="3">
      <x:c r="A3" s="2" t="str">
        <x:v>Physical verification matrix, Rev A</x:v>
      </x:c>
    </x:row>
    <x:row r="4">
      <x:c r="A4" s="3"/>
      <x:c r="B4" s="3"/>
      <x:c r="C4" s="3"/>
      <x:c r="D4" s="3"/>
      <x:c r="E4" s="3"/>
      <x:c r="F4" s="3"/>
      <x:c r="G4" s="3"/>
    </x:row>
    <x:row r="5">
      <x:c r="A5" s="10" t="str">
        <x:v>ID</x:v>
      </x:c>
      <x:c r="B5" s="10" t="str">
        <x:v>Этап / Stage</x:v>
      </x:c>
      <x:c r="C5" s="10" t="str">
        <x:v>Измерение / Measurement</x:v>
      </x:c>
      <x:c r="D5" s="10" t="str">
        <x:v>Условия / Conditions</x:v>
      </x:c>
      <x:c r="E5" s="10" t="str">
        <x:v>Доказательство / Evidence</x:v>
      </x:c>
      <x:c r="F5" s="10" t="str">
        <x:v>Критерий / Criterion</x:v>
      </x:c>
      <x:c r="G5" s="10" t="str">
        <x:v>Статус / Status</x:v>
      </x:c>
    </x:row>
    <x:row r="6">
      <x:c r="A6" s="7" t="str">
        <x:v>LAB_RESPONSE</x:v>
      </x:c>
      <x:c r="B6" s="7" t="str">
        <x:v>Лабораторная АЧХ и фаза
Laboratory response and phase</x:v>
      </x:c>
      <x:c r="C6" s="7" t="str">
        <x:v>АЧХ, собственный шум, диаграмма, фаза
Response, self-noise, pattern, phase</x:v>
      </x:c>
      <x:c r="D6" s="7" t="str">
        <x:v>80-3000 Hz; 12 azimuths; 3 levels</x:v>
      </x:c>
      <x:c r="E6" s="7" t="str">
        <x:v>Калибровочные файлы каждого канала
Per-channel calibration files</x:v>
      </x:c>
      <x:c r="F6" s="7" t="str">
        <x:v>Полные данные по всем каналам
Complete data for every channel</x:v>
      </x:c>
      <x:c r="G6" s="7" t="str">
        <x:v>PLANNED</x:v>
      </x:c>
    </x:row>
    <x:row r="7">
      <x:c r="A7" s="13" t="str">
        <x:v>WIND_0_2</x:v>
      </x:c>
      <x:c r="B7" s="13" t="str">
        <x:v>Ветер 0-2 m/s
Wind 0-2 m/s</x:v>
      </x:c>
      <x:c r="C7" s="13" t="str">
        <x:v>Шум 20-500 Hz и импульсы
20-500 Hz noise and impulses</x:v>
      </x:c>
      <x:c r="D7" s="13" t="str">
        <x:v>Одинаковая мачта и запись
Same mast and recording</x:v>
      </x:c>
      <x:c r="E7" s="13" t="str">
        <x:v>WAV, ветер, конфигурация защиты
WAV, wind and windshield configuration</x:v>
      </x:c>
      <x:c r="F7" s="13" t="str">
        <x:v>Нет клиппинга, измерен SNR
No clipping, SNR measured</x:v>
      </x:c>
      <x:c r="G7" s="13" t="str">
        <x:v>PLANNED</x:v>
      </x:c>
    </x:row>
    <x:row r="8">
      <x:c r="A8" s="7" t="str">
        <x:v>WIND_2_5</x:v>
      </x:c>
      <x:c r="B8" s="7" t="str">
        <x:v>Ветер 2-5 m/s
Wind 2-5 m/s</x:v>
      </x:c>
      <x:c r="C8" s="7" t="str">
        <x:v>Шум 20-500 Hz и вибрация
20-500 Hz noise and vibration</x:v>
      </x:c>
      <x:c r="D8" s="7" t="str">
        <x:v>Одинаковая мачта и запись
Same mast and recording</x:v>
      </x:c>
      <x:c r="E8" s="7" t="str">
        <x:v>WAV, ветер, акселерометр при наличии
WAV, wind and accelerometer if available</x:v>
      </x:c>
      <x:c r="F8" s="7" t="str">
        <x:v>Нет неопределенной вибрации
No unresolved vibration</x:v>
      </x:c>
      <x:c r="G8" s="7" t="str">
        <x:v>PLANNED</x:v>
      </x:c>
    </x:row>
    <x:row r="9">
      <x:c r="A9" s="13" t="str">
        <x:v>WIND_5_8</x:v>
      </x:c>
      <x:c r="B9" s="13" t="str">
        <x:v>Ветер 5-8 m/s
Wind 5-8 m/s</x:v>
      </x:c>
      <x:c r="C9" s="13" t="str">
        <x:v>Порывы, клиппинг и устойчивость
Gusts, clipping and stability</x:v>
      </x:c>
      <x:c r="D9" s="13" t="str">
        <x:v>Только безопасная утвержденная установка
Approved safe setup only</x:v>
      </x:c>
      <x:c r="E9" s="13" t="str">
        <x:v>WAV, ветер, фото и состояние
WAV, wind, photographs and condition</x:v>
      </x:c>
      <x:c r="F9" s="13" t="str">
        <x:v>Нет повреждения или клиппинга
No damage or clipping</x:v>
      </x:c>
      <x:c r="G9" s="13" t="str">
        <x:v>PLANNED</x:v>
      </x:c>
    </x:row>
    <x:row r="10">
      <x:c r="A10" s="7" t="str">
        <x:v>RANGE_SERIES</x:v>
      </x:c>
      <x:c r="B10" s="7" t="str">
        <x:v>Дистанционная серия
Range series</x:v>
      </x:c>
      <x:c r="C10" s="7" t="str">
        <x:v>Сырой узкополосный SNR
Raw narrowband SNR</x:v>
      </x:c>
      <x:c r="D10" s="7" t="str">
        <x:v>50, 100, 250, 500, 1000, 2000 m</x:v>
      </x:c>
      <x:c r="E10" s="7" t="str">
        <x:v>Геометрия, погода, трек и WAV
Geometry, weather, track and WAV</x:v>
      </x:c>
      <x:c r="F10" s="7" t="str">
        <x:v>Результат отдельно по классу и режиму
Result by class and state</x:v>
      </x:c>
      <x:c r="G10" s="7" t="str">
        <x:v>PLANNED</x:v>
      </x:c>
    </x:row>
    <x:row r="11">
      <x:c r="A11" s="13" t="str">
        <x:v>TARGET_CLASSES</x:v>
      </x:c>
      <x:c r="B11" s="13" t="str">
        <x:v>Реальные классы целей
Real target classes</x:v>
      </x:c>
      <x:c r="C11" s="13" t="str">
        <x:v>Обнаружение, пропуски, ракурс и режим
Detection, misses, aspect and state</x:v>
      </x:c>
      <x:c r="D11" s="13" t="str">
        <x:v>Все классы плюс фон
All classes plus background</x:v>
      </x:c>
      <x:c r="E11" s="13" t="str">
        <x:v>Pd, FAR, SNR и условия
Pd, FAR, SNR and conditions</x:v>
      </x:c>
      <x:c r="F11" s="13" t="str">
        <x:v>Pd и FAR утверждены до заявления дальности
Pd and FAR approved before range claim</x:v>
      </x:c>
      <x:c r="G11" s="13" t="str">
        <x:v>PLANNED</x:v>
      </x:c>
    </x:row>
    <x:row r="12">
      <x:c r="A12" s="7" t="str">
        <x:v>SIMULTANEOUS_COMPARE</x:v>
      </x:c>
      <x:c r="B12" s="7" t="str">
        <x:v>Одновременное сравнение
Simultaneous comparison</x:v>
      </x:c>
      <x:c r="C12" s="7" t="str">
        <x:v>T5838, shotgun, рупоры, отражатель, резонаторы
T5838, shotgun, horns, reflector, resonators</x:v>
      </x:c>
      <x:c r="D12" s="7" t="str">
        <x:v>Одна мачта, одно время, один алгоритм
One mast, time and algorithm</x:v>
      </x:c>
      <x:c r="E12" s="7" t="str">
        <x:v>Синхронные WAV и калибровка
Synchronous WAV and calibration</x:v>
      </x:c>
      <x:c r="F12" s="7" t="str">
        <x:v>Физический выигрыш без отдельной настройки
Physical gain without separate tuning</x:v>
      </x:c>
      <x:c r="G12" s="7" t="str">
        <x:v>PLANNED</x:v>
      </x:c>
    </x:row>
    <x:row r="13">
      <x:c r="A13" s="13" t="str">
        <x:v>INTEGRATION_GATE</x:v>
      </x:c>
      <x:c r="B13" s="13" t="str">
        <x:v>Шлюз интеграции
Integration gate</x:v>
      </x:c>
      <x:c r="C13" s="13" t="str">
        <x:v>Питание, интерфейс, защита, механика
Power, interface, protection, mechanics</x:v>
      </x:c>
      <x:c r="D13" s="13" t="str">
        <x:v>После выбора физической головки
After physical-head selection</x:v>
      </x:c>
      <x:c r="E13" s="13" t="str">
        <x:v>ICD, ECO и перечень проверок
ICD, ECO and verification list</x:v>
      </x:c>
      <x:c r="F13" s="13" t="str">
        <x:v>Серийные платы не меняются без ECO
No production-board change without ECO</x:v>
      </x:c>
      <x:c r="G13" s="13" t="str">
        <x:v>PLANNED</x:v>
      </x:c>
    </x:row>
  </x:sheetData>
  <x:conditionalFormatting sqref="G6:G13">
    <x:cfRule type="expression" dxfId="0" priority="1">
      <x:formula>G6="PLANNED"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58" hidden="0" customWidth="1"/>
    <x:col min="3" max="3" width="74" hidden="0" customWidth="1"/>
    <x:col min="4" max="4" width="30" hidden="0" customWidth="1"/>
  </x:cols>
  <x:sheetData>
    <x:row r="2">
      <x:c r="A2" s="1" t="str">
        <x:v>Источники</x:v>
      </x:c>
    </x:row>
    <x:row r="3">
      <x:c r="A3" s="2" t="str">
        <x:v>Primary and manufacturer sources used in Rev C</x:v>
      </x:c>
    </x:row>
    <x:row r="4">
      <x:c r="A4" s="3"/>
      <x:c r="B4" s="3"/>
      <x:c r="C4" s="3"/>
      <x:c r="D4" s="3"/>
    </x:row>
    <x:row r="5">
      <x:c r="A5" s="10" t="str">
        <x:v>ID</x:v>
      </x:c>
      <x:c r="B5" s="10" t="str">
        <x:v>Источник / Source</x:v>
      </x:c>
      <x:c r="C5" s="10" t="str">
        <x:v>URL</x:v>
      </x:c>
      <x:c r="D5" s="10" t="str">
        <x:v>Использование / Use</x:v>
      </x:c>
    </x:row>
    <x:row r="6">
      <x:c r="A6" s="7" t="str">
        <x:v>S01</x:v>
      </x:c>
      <x:c r="B6" s="7" t="str">
        <x:v>TDK InvenSense T5838 product page and DS-000383 datasheet</x:v>
      </x:c>
      <x:c r="C6" s="7" t="str">
        <x:v>https://www.invensense.tdk.com/en-us/products/microphone/t5838</x:v>
      </x:c>
      <x:c r="D6" s="7" t="str">
        <x:v>Baseline microphone</x:v>
      </x:c>
    </x:row>
    <x:row r="7">
      <x:c r="A7" s="13" t="str">
        <x:v>S02</x:v>
      </x:c>
      <x:c r="B7" s="13" t="str">
        <x:v>Infineon IM73D122 product data</x:v>
      </x:c>
      <x:c r="C7" s="13" t="str">
        <x:v>https://www.infineon.com/part/IM73D122</x:v>
      </x:c>
      <x:c r="D7" s="13" t="str">
        <x:v>Low-noise digital MEMS</x:v>
      </x:c>
    </x:row>
    <x:row r="8">
      <x:c r="A8" s="7" t="str">
        <x:v>S03</x:v>
      </x:c>
      <x:c r="B8" s="7" t="str">
        <x:v>Infineon IM73A135 datasheet</x:v>
      </x:c>
      <x:c r="C8" s="7" t="str">
        <x:v>https://www.infineon.com/assets/row/public/documents/24/49/infineon-im73a135-datasheet-en.pdf</x:v>
      </x:c>
      <x:c r="D8" s="7" t="str">
        <x:v>Low-noise analog MEMS</x:v>
      </x:c>
    </x:row>
    <x:row r="9">
      <x:c r="A9" s="13" t="str">
        <x:v>S04</x:v>
      </x:c>
      <x:c r="B9" s="13" t="str">
        <x:v>RODE NTG5 specifications</x:v>
      </x:c>
      <x:c r="C9" s="13" t="str">
        <x:v>https://rode.com/en-us/products/ntg5</x:v>
      </x:c>
      <x:c r="D9" s="13" t="str">
        <x:v>Directional reference microphone</x:v>
      </x:c>
    </x:row>
    <x:row r="10">
      <x:c r="A10" s="7" t="str">
        <x:v>S05</x:v>
      </x:c>
      <x:c r="B10" s="7" t="str">
        <x:v>Sennheiser MKH 416 specifications</x:v>
      </x:c>
      <x:c r="C10" s="7" t="str">
        <x:v>https://docs.cloud.sennheiser.com/en-us/mkh-416-mkh-418-s/specs-mkh-416.html</x:v>
      </x:c>
      <x:c r="D10" s="7" t="str">
        <x:v>Directional comparator</x:v>
      </x:c>
    </x:row>
    <x:row r="11">
      <x:c r="A11" s="13" t="str">
        <x:v>S06</x:v>
      </x:c>
      <x:c r="B11" s="13" t="str">
        <x:v>Outdoor Microphone Range Tests and Spectral Analysis of UAV Acoustic Signatures</x:v>
      </x:c>
      <x:c r="C11" s="13" t="str">
        <x:v>https://pmc.ncbi.nlm.nih.gov/articles/PMC12656299/</x:v>
      </x:c>
      <x:c r="D11" s="13" t="str">
        <x:v>Outdoor UAV acoustic measurement</x:v>
      </x:c>
    </x:row>
    <x:row r="12">
      <x:c r="A12" s="7" t="str">
        <x:v>S07</x:v>
      </x:c>
      <x:c r="B12" s="7" t="str">
        <x:v>NASA atmospheric propagation relation and absorption discussion</x:v>
      </x:c>
      <x:c r="C12" s="7" t="str">
        <x:v>https://ntrs.nasa.gov/api/citations/19750024046/downloads/19750024046.pdf</x:v>
      </x:c>
      <x:c r="D12" s="7" t="str">
        <x:v>Propagation basis</x:v>
      </x:c>
    </x:row>
    <x:row r="13">
      <x:c r="A13" s="13" t="str">
        <x:v>S08</x:v>
      </x:c>
      <x:c r="B13" s="13" t="str">
        <x:v>The response of Helmholtz resonator to external excitation</x:v>
      </x:c>
      <x:c r="C13" s="13" t="str">
        <x:v>https://acoustics.ippt.pan.pl/index.php/aa/article/view/471</x:v>
      </x:c>
      <x:c r="D13" s="13" t="str">
        <x:v>Resonator behavior</x:v>
      </x:c>
    </x:row>
    <x:row r="14">
      <x:c r="A14" s="7" t="str">
        <x:v>S09</x:v>
      </x:c>
      <x:c r="B14" s="7" t="str">
        <x:v>Characterization of gain and directivity of exponential horn receivers</x:v>
      </x:c>
      <x:c r="C14" s="7" t="str">
        <x:v>https://www.engr.colostate.edu/~notaros/Papers/JASA_Acoustic_Horns.pdf</x:v>
      </x:c>
      <x:c r="D14" s="7" t="str">
        <x:v>Horn receivers</x:v>
      </x:c>
    </x:row>
    <x:row r="15">
      <x:c r="A15" s="13" t="str">
        <x:v>S10</x:v>
      </x:c>
      <x:c r="B15" s="13" t="str">
        <x:v>Monaural sound localization based on structure-induced acoustic resonance</x:v>
      </x:c>
      <x:c r="C15" s="13" t="str">
        <x:v>https://pubmed.ncbi.nlm.nih.gov/25668214/</x:v>
      </x:c>
      <x:c r="D15" s="13" t="str">
        <x:v>Pyramidal resonance and localization</x:v>
      </x:c>
    </x:row>
    <x:row r="16">
      <x:c r="A16" s="7" t="str">
        <x:v>S11</x:v>
      </x:c>
      <x:c r="B16" s="7" t="str">
        <x:v>Assembling cheap high-performance microphones for recording terrestrial wildlife</x:v>
      </x:c>
      <x:c r="C16" s="7" t="str">
        <x:v>https://f1000research.com/articles/7-1984</x:v>
      </x:c>
      <x:c r="D16" s="7" t="str">
        <x:v>Horn measurement example</x:v>
      </x:c>
    </x:row>
  </x:sheetData>
  <x:pageMargins left="0.7" right="0.7" top="0.75" bottom="0.75" header="0.3" footer="0.3"/>
</x:worksheet>
</file>