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ee908b97548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f8aa1c97d914cda"/>
    <x:sheet xmlns:r="http://schemas.openxmlformats.org/officeDocument/2006/relationships" name="Procurement" sheetId="2" r:id="R7fbafd8b97484465"/>
    <x:sheet xmlns:r="http://schemas.openxmlformats.org/officeDocument/2006/relationships" name="Engineering BOM" sheetId="3" r:id="R09e9eb8e4ee0464d"/>
    <x:sheet xmlns:r="http://schemas.openxmlformats.org/officeDocument/2006/relationships" name="RFQ" sheetId="4" r:id="R64fda1d17d7d4e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</x:fills>
  <x:borders count="2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 patternType="solid">
          <x:bgColor rgb="FFFDE8E8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DE8E8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483d420a034f2b" /><Relationship Type="http://schemas.openxmlformats.org/officeDocument/2006/relationships/theme" Target="/xl/theme/theme1.xml" Id="Ra24c9abc39fd4059" /><Relationship Type="http://schemas.openxmlformats.org/officeDocument/2006/relationships/sharedStrings" Target="/xl/sharedStrings.xml" Id="R38c3342014f547ec" /><Relationship Type="http://schemas.openxmlformats.org/officeDocument/2006/relationships/worksheet" Target="/xl/worksheets/sheet1.xml" Id="Rdf8aa1c97d914cda" /><Relationship Type="http://schemas.openxmlformats.org/officeDocument/2006/relationships/worksheet" Target="/xl/worksheets/sheet2.xml" Id="R7fbafd8b97484465" /><Relationship Type="http://schemas.openxmlformats.org/officeDocument/2006/relationships/worksheet" Target="/xl/worksheets/sheet3.xml" Id="R09e9eb8e4ee0464d" /><Relationship Type="http://schemas.openxmlformats.org/officeDocument/2006/relationships/worksheet" Target="/xl/worksheets/sheet4.xml" Id="R64fda1d17d7d4e23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R20" headerRowCount="1" totalsRowCount="0" totalsRowShown="0">
  <x:tableColumns count="18">
    <x:tableColumn id="1" name="RFQ_ID"/>
    <x:tableColumn id="2" name="Category"/>
    <x:tableColumn id="3" name="Manufacturer"/>
    <x:tableColumn id="4" name="MPN_or_spec"/>
    <x:tableColumn id="5" name="Required_qty_4"/>
    <x:tableColumn id="6" name="Required_qty_10"/>
    <x:tableColumn id="7" name="Required_qty_20"/>
    <x:tableColumn id="8" name="Preferred_channel"/>
    <x:tableColumn id="9" name="Quote_date"/>
    <x:tableColumn id="10" name="Supplier"/>
    <x:tableColumn id="11" name="URL"/>
    <x:tableColumn id="12" name="MOQ"/>
    <x:tableColumn id="13" name="Lead_time_days"/>
    <x:tableColumn id="14" name="Stock_claim"/>
    <x:tableColumn id="15" name="Traceability_required"/>
    <x:tableColumn id="16" name="Sample_required"/>
    <x:tableColumn id="17" name="Status"/>
    <x:tableColumn id="18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ff2e9d8bbc46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de0ebe5340249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f3a100b53a49c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33" t="n">
        <x:v>20</x:v>
      </x:c>
      <x:c r="B8" s="34" t="n">
        <x:f>SUMIF('Engineering BOM'!$A$2:$A$294,"ASM-MAIN",'Engineering BOM'!$P$2:$P$294)</x:f>
        <x:v>20</x:v>
      </x:c>
      <x:c r="C8" s="34" t="n">
        <x:f>SUMIF('Engineering BOM'!$A$2:$A$294,"ASM-PWR",'Engineering BOM'!$P$2:$P$294)</x:f>
        <x:v>20</x:v>
      </x:c>
      <x:c r="D8" s="34" t="n">
        <x:f>SUMIF('Engineering BOM'!$A$2:$A$294,"ASM-MIC",'Engineering BOM'!$P$2:$P$294)</x:f>
        <x:v>80</x:v>
      </x:c>
      <x:c r="E8" s="34" t="n">
        <x:f>SUMIF('Engineering BOM'!$A$2:$A$294,"MK1",'Engineering BOM'!$P$2:$P$294)</x:f>
        <x:v>80</x:v>
      </x:c>
      <x:c r="F8" s="35" t="n">
        <x:f>SUMIF('Engineering BOM'!$A$2:$A$294,"HSG-VC",'Engineering BOM'!$P$2:$P$294)</x:f>
        <x:v>20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d8f938fa8397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U8, PWR-TVS-01, PWR-FUSE-01, HSG-VC</x:v>
      </x:c>
      <x:c r="C23" s="73" t="str">
        <x:v>Close regional modem identity, surge/fuse coordination and housing FAI supplier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BLOCKED_ENGINEERING_SELECTION</x:v>
      </x:c>
      <x:c r="W30" s="14" t="str">
        <x:v>SELECTED_PENDING_REGION_OPERATOR_BURST_SAMPLE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89ff2e9d8bbc463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SELECTED_PENDING_REGION_OPERATOR_BURST_SAMPLE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exact ordered firmware/region identity;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BLOCKED_ENGINEERING_SELECTION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de0ebe53402491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5" hidden="0" customWidth="1"/>
    <x:col min="15" max="15" width="15" hidden="0" customWidth="1"/>
    <x:col min="16" max="16" width="15" hidden="0" customWidth="1"/>
    <x:col min="17" max="17" width="24" hidden="0" customWidth="1"/>
    <x:col min="18" max="18" width="38" hidden="0" customWidth="1"/>
  </x:cols>
  <x:sheetData>
    <x:row r="1" ht="34" customHeight="1">
      <x:c r="A1" s="11" t="str">
        <x:v>RFQ_ID</x:v>
      </x:c>
      <x:c r="B1" s="12" t="str">
        <x:v>Category</x:v>
      </x:c>
      <x:c r="C1" s="12" t="str">
        <x:v>Manufacturer</x:v>
      </x:c>
      <x:c r="D1" s="12" t="str">
        <x:v>MPN_or_spec</x:v>
      </x:c>
      <x:c r="E1" s="12" t="str">
        <x:v>Required_qty_4</x:v>
      </x:c>
      <x:c r="F1" s="12" t="str">
        <x:v>Required_qty_10</x:v>
      </x:c>
      <x:c r="G1" s="12" t="str">
        <x:v>Required_qty_20</x:v>
      </x:c>
      <x:c r="H1" s="12" t="str">
        <x:v>Preferred_channel</x:v>
      </x:c>
      <x:c r="I1" s="12" t="str">
        <x:v>Quote_date</x:v>
      </x:c>
      <x:c r="J1" s="12" t="str">
        <x:v>Supplier</x:v>
      </x:c>
      <x:c r="K1" s="12" t="str">
        <x:v>URL</x:v>
      </x:c>
      <x:c r="L1" s="12" t="str">
        <x:v>MOQ</x:v>
      </x:c>
      <x:c r="M1" s="12" t="str">
        <x:v>Lead_time_days</x:v>
      </x:c>
      <x:c r="N1" s="12" t="str">
        <x:v>Stock_claim</x:v>
      </x:c>
      <x:c r="O1" s="12" t="str">
        <x:v>Traceability_required</x:v>
      </x:c>
      <x:c r="P1" s="12" t="str">
        <x:v>Sample_required</x:v>
      </x:c>
      <x:c r="Q1" s="12" t="str">
        <x:v>Status</x:v>
      </x:c>
      <x:c r="R1" s="13" t="str">
        <x:v>Blocking_check</x:v>
      </x:c>
    </x:row>
    <x:row r="2">
      <x:c r="A2" s="2" t="str">
        <x:v>RFQ-001</x:v>
      </x:c>
      <x:c r="B2" s="2" t="str">
        <x:v>MCU</x:v>
      </x:c>
      <x:c r="C2" s="2" t="str">
        <x:v>STMicroelectronics</x:v>
      </x:c>
      <x:c r="D2" s="14" t="str">
        <x:v>STM32U585VIT6Q</x:v>
      </x:c>
      <x:c r="E2" s="16" t="n">
        <x:v>5</x:v>
      </x:c>
      <x:c r="F2" s="16" t="n">
        <x:v>13</x:v>
      </x:c>
      <x:c r="G2" s="16" t="n">
        <x:v>25</x:v>
      </x:c>
      <x:c r="H2" s="2" t="str">
        <x:v>Authorized distributor</x:v>
      </x:c>
      <x:c r="I2" s="2" t="str"/>
      <x:c r="J2" s="2" t="str"/>
      <x:c r="K2" s="2" t="str"/>
      <x:c r="L2" s="16" t="str"/>
      <x:c r="M2" s="16" t="str"/>
      <x:c r="N2" s="2" t="str"/>
      <x:c r="O2" s="2" t="str">
        <x:v>Yes</x:v>
      </x:c>
      <x:c r="P2" s="2" t="str">
        <x:v>Yes</x:v>
      </x:c>
      <x:c r="Q2" s="14" t="str">
        <x:v>RFQ_REQUIRED</x:v>
      </x:c>
      <x:c r="R2" s="17" t="str">
        <x:v>Package marking ID readout and exact LQFP100 package control</x:v>
      </x:c>
    </x:row>
    <x:row r="3">
      <x:c r="A3" s="2" t="str">
        <x:v>RFQ-002</x:v>
      </x:c>
      <x:c r="B3" s="2" t="str">
        <x:v>Microphone</x:v>
      </x:c>
      <x:c r="C3" s="2" t="str">
        <x:v>TDK InvenSense</x:v>
      </x:c>
      <x:c r="D3" s="14" t="str">
        <x:v>MMICT5838-00-012 same lot</x:v>
      </x:c>
      <x:c r="E3" s="16" t="n">
        <x:v>20</x:v>
      </x:c>
      <x:c r="F3" s="16" t="n">
        <x:v>48</x:v>
      </x:c>
      <x:c r="G3" s="16" t="n">
        <x:v>96</x:v>
      </x:c>
      <x:c r="H3" s="2" t="str">
        <x:v>Authorized distributor</x:v>
      </x:c>
      <x:c r="I3" s="2" t="str"/>
      <x:c r="J3" s="2" t="str"/>
      <x:c r="K3" s="2" t="str"/>
      <x:c r="L3" s="16" t="str"/>
      <x:c r="M3" s="16" t="str"/>
      <x:c r="N3" s="2" t="str"/>
      <x:c r="O3" s="2" t="str">
        <x:v>Yes</x:v>
      </x:c>
      <x:c r="P3" s="2" t="str">
        <x:v>Yes</x:v>
      </x:c>
      <x:c r="Q3" s="14" t="str">
        <x:v>RFQ_REQUIRED</x:v>
      </x:c>
      <x:c r="R3" s="17" t="str">
        <x:v>Acoustic sensitivity noise phase matching and bottom-port assembly control</x:v>
      </x:c>
    </x:row>
    <x:row r="4">
      <x:c r="A4" s="2" t="str">
        <x:v>RFQ-003</x:v>
      </x:c>
      <x:c r="B4" s="2" t="str">
        <x:v>Cellular</x:v>
      </x:c>
      <x:c r="C4" s="2" t="str">
        <x:v>Quectel</x:v>
      </x:c>
      <x:c r="D4" s="14" t="str">
        <x:v>BG95-M3 regional firmware identity</x:v>
      </x:c>
      <x:c r="E4" s="16" t="n">
        <x:v>5</x:v>
      </x:c>
      <x:c r="F4" s="16" t="n">
        <x:v>13</x:v>
      </x:c>
      <x:c r="G4" s="16" t="n">
        <x:v>25</x:v>
      </x:c>
      <x:c r="H4" s="2" t="str">
        <x:v>Quectel authorized channel</x:v>
      </x:c>
      <x:c r="I4" s="2" t="str"/>
      <x:c r="J4" s="2" t="str"/>
      <x:c r="K4" s="2" t="str"/>
      <x:c r="L4" s="16" t="str"/>
      <x:c r="M4" s="16" t="str"/>
      <x:c r="N4" s="2" t="str"/>
      <x:c r="O4" s="2" t="str">
        <x:v>Yes</x:v>
      </x:c>
      <x:c r="P4" s="2" t="str">
        <x:v>Yes</x:v>
      </x:c>
      <x:c r="Q4" s="14" t="str">
        <x:v>RFQ_REQUIRED</x:v>
      </x:c>
      <x:c r="R4" s="17" t="str">
        <x:v>Ordered regional identity operator bands IMEI attach burst and TLS</x:v>
      </x:c>
    </x:row>
    <x:row r="5">
      <x:c r="A5" s="2" t="str">
        <x:v>RFQ-004</x:v>
      </x:c>
      <x:c r="B5" s="2" t="str">
        <x:v>GNSS</x:v>
      </x:c>
      <x:c r="C5" s="2" t="str">
        <x:v>u-blox</x:v>
      </x:c>
      <x:c r="D5" s="14" t="str">
        <x:v>MAX-M10S-00B</x:v>
      </x:c>
      <x:c r="E5" s="16" t="n">
        <x:v>5</x:v>
      </x:c>
      <x:c r="F5" s="16" t="n">
        <x:v>13</x:v>
      </x:c>
      <x:c r="G5" s="16" t="n">
        <x:v>25</x:v>
      </x:c>
      <x:c r="H5" s="2" t="str">
        <x:v>Authorized distributor</x:v>
      </x:c>
      <x:c r="I5" s="2" t="str"/>
      <x:c r="J5" s="2" t="str"/>
      <x:c r="K5" s="2" t="str"/>
      <x:c r="L5" s="16" t="str"/>
      <x:c r="M5" s="16" t="str"/>
      <x:c r="N5" s="2" t="str"/>
      <x:c r="O5" s="2" t="str">
        <x:v>Yes</x:v>
      </x:c>
      <x:c r="P5" s="2" t="str">
        <x:v>Yes</x:v>
      </x:c>
      <x:c r="Q5" s="14" t="str">
        <x:v>RFQ_REQUIRED</x:v>
      </x:c>
      <x:c r="R5" s="17" t="str">
        <x:v>Fix sensitivity PPS and antenna interface</x:v>
      </x:c>
    </x:row>
    <x:row r="6">
      <x:c r="A6" s="2" t="str">
        <x:v>RFQ-005</x:v>
      </x:c>
      <x:c r="B6" s="2" t="str">
        <x:v>LoRa</x:v>
      </x:c>
      <x:c r="C6" s="2" t="str">
        <x:v>Ebyte</x:v>
      </x:c>
      <x:c r="D6" s="14" t="str">
        <x:v>E22-900M22S</x:v>
      </x:c>
      <x:c r="E6" s="16" t="n">
        <x:v>6</x:v>
      </x:c>
      <x:c r="F6" s="16" t="n">
        <x:v>13</x:v>
      </x:c>
      <x:c r="G6" s="16" t="n">
        <x:v>26</x:v>
      </x:c>
      <x:c r="H6" s="2" t="str">
        <x:v>Ebyte official or authorized</x:v>
      </x:c>
      <x:c r="I6" s="2" t="str"/>
      <x:c r="J6" s="2" t="str"/>
      <x:c r="K6" s="2" t="str"/>
      <x:c r="L6" s="16" t="str"/>
      <x:c r="M6" s="16" t="str"/>
      <x:c r="N6" s="2" t="str"/>
      <x:c r="O6" s="2" t="str">
        <x:v>Yes</x:v>
      </x:c>
      <x:c r="P6" s="2" t="str">
        <x:v>Yes</x:v>
      </x:c>
      <x:c r="Q6" s="14" t="str">
        <x:v>RFQ_REQUIRED</x:v>
      </x:c>
      <x:c r="R6" s="17" t="str">
        <x:v>Quote and COC must state 20x14 22-pad castellated-ANT option with no module IPEX fitted; conducted RF RU868 windows 864-865 and 868.7-869.2 MHz plus sleep current</x:v>
      </x:c>
    </x:row>
    <x:row r="7">
      <x:c r="A7" s="2" t="str">
        <x:v>RFQ-006</x:v>
      </x:c>
      <x:c r="B7" s="2" t="str">
        <x:v>BLE</x:v>
      </x:c>
      <x:c r="C7" s="2" t="str">
        <x:v>Raytac</x:v>
      </x:c>
      <x:c r="D7" s="14" t="str">
        <x:v>MDBT50Q-P1MV2</x:v>
      </x:c>
      <x:c r="E7" s="16" t="n">
        <x:v>5</x:v>
      </x:c>
      <x:c r="F7" s="16" t="n">
        <x:v>13</x:v>
      </x:c>
      <x:c r="G7" s="16" t="n">
        <x:v>25</x:v>
      </x:c>
      <x:c r="H7" s="2" t="str">
        <x:v>Raytac authorized or traceable distributor</x:v>
      </x:c>
      <x:c r="I7" s="2" t="str"/>
      <x:c r="J7" s="2" t="str"/>
      <x:c r="K7" s="2" t="str"/>
      <x:c r="L7" s="16" t="str"/>
      <x:c r="M7" s="16" t="str"/>
      <x:c r="N7" s="2" t="str"/>
      <x:c r="O7" s="2" t="str">
        <x:v>Yes</x:v>
      </x:c>
      <x:c r="P7" s="2" t="str">
        <x:v>Yes</x:v>
      </x:c>
      <x:c r="Q7" s="14" t="str">
        <x:v>RFQ_REQUIRED</x:v>
      </x:c>
      <x:c r="R7" s="17" t="str">
        <x:v>Exact module suffix integrated-antenna keepout BLE pairing OTA current and RF range</x:v>
      </x:c>
    </x:row>
    <x:row r="8">
      <x:c r="A8" s="2" t="str">
        <x:v>RFQ-007</x:v>
      </x:c>
      <x:c r="B8" s="2" t="str">
        <x:v>QSPI NOR</x:v>
      </x:c>
      <x:c r="C8" s="2" t="str">
        <x:v>Winbond</x:v>
      </x:c>
      <x:c r="D8" s="14" t="str">
        <x:v>W25Q512JVFIQ</x:v>
      </x:c>
      <x:c r="E8" s="16" t="n">
        <x:v>5</x:v>
      </x:c>
      <x:c r="F8" s="16" t="n">
        <x:v>13</x:v>
      </x:c>
      <x:c r="G8" s="16" t="n">
        <x:v>25</x:v>
      </x:c>
      <x:c r="H8" s="2" t="str">
        <x:v>Authorized or traceable tier-1</x:v>
      </x:c>
      <x:c r="I8" s="2" t="str"/>
      <x:c r="J8" s="2" t="str"/>
      <x:c r="K8" s="2" t="str"/>
      <x:c r="L8" s="16" t="str"/>
      <x:c r="M8" s="16" t="str"/>
      <x:c r="N8" s="2" t="str"/>
      <x:c r="O8" s="2" t="str">
        <x:v>Yes</x:v>
      </x:c>
      <x:c r="P8" s="2" t="str">
        <x:v>Yes</x:v>
      </x:c>
      <x:c r="Q8" s="14" t="str">
        <x:v>RFQ_REQUIRED</x:v>
      </x:c>
      <x:c r="R8" s="17" t="str">
        <x:v>JEDEC ID full read write erase soak</x:v>
      </x:c>
    </x:row>
    <x:row r="9">
      <x:c r="A9" s="2" t="str">
        <x:v>RFQ-008</x:v>
      </x:c>
      <x:c r="B9" s="2" t="str">
        <x:v>Battery</x:v>
      </x:c>
      <x:c r="C9" s="2" t="str">
        <x:v>TBD</x:v>
      </x:c>
      <x:c r="D9" s="14" t="str">
        <x:v>12.8 V 40-60 Ah LiFePO4 with BMS</x:v>
      </x:c>
      <x:c r="E9" s="16" t="n">
        <x:v>5</x:v>
      </x:c>
      <x:c r="F9" s="16" t="n">
        <x:v>11</x:v>
      </x:c>
      <x:c r="G9" s="16" t="n">
        <x:v>21</x:v>
      </x:c>
      <x:c r="H9" s="2" t="str">
        <x:v>Cell or pack manufacturer</x:v>
      </x:c>
      <x:c r="I9" s="2" t="str"/>
      <x:c r="J9" s="2" t="str"/>
      <x:c r="K9" s="2" t="str"/>
      <x:c r="L9" s="16" t="str"/>
      <x:c r="M9" s="16" t="str"/>
      <x:c r="N9" s="2" t="str"/>
      <x:c r="O9" s="2" t="str">
        <x:v>Yes</x:v>
      </x:c>
      <x:c r="P9" s="2" t="str">
        <x:v>Yes</x:v>
      </x:c>
      <x:c r="Q9" s="14" t="str">
        <x:v>RFQ_REQUIRED</x:v>
      </x:c>
      <x:c r="R9" s="17" t="str">
        <x:v>UN38.3 MSDS capacity DCIR thresholds low-temp inhibit</x:v>
      </x:c>
    </x:row>
    <x:row r="10">
      <x:c r="A10" s="2" t="str">
        <x:v>RFQ-009</x:v>
      </x:c>
      <x:c r="B10" s="2" t="str">
        <x:v>Solar</x:v>
      </x:c>
      <x:c r="C10" s="2" t="str">
        <x:v>TBD</x:v>
      </x:c>
      <x:c r="D10" s="14" t="str">
        <x:v>60-80 W outdoor panel</x:v>
      </x:c>
      <x:c r="E10" s="16" t="n">
        <x:v>5</x:v>
      </x:c>
      <x:c r="F10" s="16" t="n">
        <x:v>11</x:v>
      </x:c>
      <x:c r="G10" s="16" t="n">
        <x:v>21</x:v>
      </x:c>
      <x:c r="H10" s="2" t="str">
        <x:v>Panel manufacturer</x:v>
      </x:c>
      <x:c r="I10" s="2" t="str"/>
      <x:c r="J10" s="2" t="str"/>
      <x:c r="K10" s="2" t="str"/>
      <x:c r="L10" s="16" t="str"/>
      <x:c r="M10" s="16" t="str"/>
      <x:c r="N10" s="2" t="str"/>
      <x:c r="O10" s="2" t="str">
        <x:v>Yes</x:v>
      </x:c>
      <x:c r="P10" s="2" t="str">
        <x:v>Yes</x:v>
      </x:c>
      <x:c r="Q10" s="14" t="str">
        <x:v>RFQ_REQUIRED</x:v>
      </x:c>
      <x:c r="R10" s="17" t="str">
        <x:v>Voc Isc Pmax insulation weathering evidence</x:v>
      </x:c>
    </x:row>
    <x:row r="11">
      <x:c r="A11" s="2" t="str">
        <x:v>RFQ-010</x:v>
      </x:c>
      <x:c r="B11" s="2" t="str">
        <x:v>MPPT</x:v>
      </x:c>
      <x:c r="C11" s="2" t="str">
        <x:v>TBD</x:v>
      </x:c>
      <x:c r="D11" s="14" t="str">
        <x:v>10 A LiFePO4 sealed MPPT</x:v>
      </x:c>
      <x:c r="E11" s="16" t="n">
        <x:v>5</x:v>
      </x:c>
      <x:c r="F11" s="16" t="n">
        <x:v>11</x:v>
      </x:c>
      <x:c r="G11" s="16" t="n">
        <x:v>21</x:v>
      </x:c>
      <x:c r="H11" s="2" t="str">
        <x:v>Controller manufacturer</x:v>
      </x:c>
      <x:c r="I11" s="2" t="str"/>
      <x:c r="J11" s="2" t="str"/>
      <x:c r="K11" s="2" t="str"/>
      <x:c r="L11" s="16" t="str"/>
      <x:c r="M11" s="16" t="str"/>
      <x:c r="N11" s="2" t="str"/>
      <x:c r="O11" s="2" t="str">
        <x:v>Yes</x:v>
      </x:c>
      <x:c r="P11" s="2" t="str">
        <x:v>Yes</x:v>
      </x:c>
      <x:c r="Q11" s="14" t="str">
        <x:v>RFQ_REQUIRED</x:v>
      </x:c>
      <x:c r="R11" s="17" t="str">
        <x:v>Charge profile cold Voc low-temp reverse current quiescent</x:v>
      </x:c>
    </x:row>
    <x:row r="12">
      <x:c r="A12" s="2" t="str">
        <x:v>RFQ-011</x:v>
      </x:c>
      <x:c r="B12" s="2" t="str">
        <x:v>PCBA main</x:v>
      </x:c>
      <x:c r="C12" s="2" t="str">
        <x:v>TBD</x:v>
      </x:c>
      <x:c r="D12" s="14" t="str">
        <x:v>6-layer assembled main PCB 110x75x1.6 mm</x:v>
      </x:c>
      <x:c r="E12" s="16" t="n">
        <x:v>5</x:v>
      </x:c>
      <x:c r="F12" s="16" t="n">
        <x:v>11</x:v>
      </x:c>
      <x:c r="G12" s="16" t="n">
        <x:v>22</x:v>
      </x:c>
      <x:c r="H12" s="2" t="str">
        <x:v>Qualified CM with AOI</x:v>
      </x:c>
      <x:c r="I12" s="2" t="str"/>
      <x:c r="J12" s="2" t="str"/>
      <x:c r="K12" s="2" t="str"/>
      <x:c r="L12" s="16" t="str"/>
      <x:c r="M12" s="16" t="str"/>
      <x:c r="N12" s="2" t="str"/>
      <x:c r="O12" s="2" t="str">
        <x:v>Yes</x:v>
      </x:c>
      <x:c r="P12" s="2" t="str">
        <x:v>Yes</x:v>
      </x:c>
      <x:c r="Q12" s="14" t="str">
        <x:v>RFQ_REQUIRED</x:v>
      </x:c>
      <x:c r="R12" s="17" t="str">
        <x:v>final stackup and 50 Ohm coupon; DFM stencil traceability test coverage; MAIN-AUTH-011 outline/keepout compliance</x:v>
      </x:c>
    </x:row>
    <x:row r="13">
      <x:c r="A13" s="2" t="str">
        <x:v>RFQ-012</x:v>
      </x:c>
      <x:c r="B13" s="2" t="str">
        <x:v>PCBA mic</x:v>
      </x:c>
      <x:c r="C13" s="2" t="str">
        <x:v>TBD</x:v>
      </x:c>
      <x:c r="D13" s="14" t="str">
        <x:v>2-layer assembled microphone PCB</x:v>
      </x:c>
      <x:c r="E13" s="16" t="n">
        <x:v>18</x:v>
      </x:c>
      <x:c r="F13" s="16" t="n">
        <x:v>44</x:v>
      </x:c>
      <x:c r="G13" s="16" t="n">
        <x:v>88</x:v>
      </x:c>
      <x:c r="H13" s="2" t="str">
        <x:v>Qualified CM with AOI</x:v>
      </x:c>
      <x:c r="I13" s="2" t="str"/>
      <x:c r="J13" s="2" t="str"/>
      <x:c r="K13" s="2" t="str"/>
      <x:c r="L13" s="16" t="str"/>
      <x:c r="M13" s="16" t="str"/>
      <x:c r="N13" s="2" t="str"/>
      <x:c r="O13" s="2" t="str">
        <x:v>Yes</x:v>
      </x:c>
      <x:c r="P13" s="2" t="str">
        <x:v>Yes</x:v>
      </x:c>
      <x:c r="Q13" s="14" t="str">
        <x:v>RFQ_REQUIRED</x:v>
      </x:c>
      <x:c r="R13" s="17" t="str">
        <x:v>Acoustic port contamination and lot control</x:v>
      </x:c>
    </x:row>
    <x:row r="14">
      <x:c r="A14" s="2" t="str">
        <x:v>RFQ-013</x:v>
      </x:c>
      <x:c r="B14" s="2" t="str">
        <x:v>PCBA power</x:v>
      </x:c>
      <x:c r="C14" s="2" t="str">
        <x:v>TBD</x:v>
      </x:c>
      <x:c r="D14" s="14" t="str">
        <x:v>assembled power PCB stackup pending DIM-003</x:v>
      </x:c>
      <x:c r="E14" s="16" t="n">
        <x:v>5</x:v>
      </x:c>
      <x:c r="F14" s="16" t="n">
        <x:v>11</x:v>
      </x:c>
      <x:c r="G14" s="16" t="n">
        <x:v>22</x:v>
      </x:c>
      <x:c r="H14" s="2" t="str">
        <x:v>Qualified CM with thermal process</x:v>
      </x:c>
      <x:c r="I14" s="2" t="str"/>
      <x:c r="J14" s="2" t="str"/>
      <x:c r="K14" s="2" t="str"/>
      <x:c r="L14" s="16" t="str"/>
      <x:c r="M14" s="16" t="str"/>
      <x:c r="N14" s="2" t="str"/>
      <x:c r="O14" s="2" t="str">
        <x:v>Yes</x:v>
      </x:c>
      <x:c r="P14" s="2" t="str">
        <x:v>Yes</x:v>
      </x:c>
      <x:c r="Q14" s="14" t="str">
        <x:v>RFQ_REQUIRED</x:v>
      </x:c>
      <x:c r="R14" s="17" t="str">
        <x:v>Current thermal copper Kelvin routing and functional test</x:v>
      </x:c>
    </x:row>
    <x:row r="15">
      <x:c r="A15" s="2" t="str">
        <x:v>RFQ-014</x:v>
      </x:c>
      <x:c r="B15" s="2" t="str">
        <x:v>Harness</x:v>
      </x:c>
      <x:c r="C15" s="2" t="str">
        <x:v>TBD</x:v>
      </x:c>
      <x:c r="D15" s="14" t="str">
        <x:v>Labeled station harness set</x:v>
      </x:c>
      <x:c r="E15" s="16" t="n">
        <x:v>5</x:v>
      </x:c>
      <x:c r="F15" s="16" t="n">
        <x:v>11</x:v>
      </x:c>
      <x:c r="G15" s="16" t="n">
        <x:v>22</x:v>
      </x:c>
      <x:c r="H15" s="2" t="str">
        <x:v>Qualified harness factory</x:v>
      </x:c>
      <x:c r="I15" s="2" t="str"/>
      <x:c r="J15" s="2" t="str"/>
      <x:c r="K15" s="2" t="str"/>
      <x:c r="L15" s="16" t="str"/>
      <x:c r="M15" s="16" t="str"/>
      <x:c r="N15" s="2" t="str"/>
      <x:c r="O15" s="2" t="str">
        <x:v>Yes</x:v>
      </x:c>
      <x:c r="P15" s="2" t="str">
        <x:v>Yes</x:v>
      </x:c>
      <x:c r="Q15" s="14" t="str">
        <x:v>RFQ_REQUIRED</x:v>
      </x:c>
      <x:c r="R15" s="17" t="str">
        <x:v>Crimp tooling pull force exact lengths and 100 percent continuity</x:v>
      </x:c>
    </x:row>
    <x:row r="16">
      <x:c r="A16" s="2" t="str">
        <x:v>RFQ-015</x:v>
      </x:c>
      <x:c r="B16" s="2" t="str">
        <x:v>SIM switch</x:v>
      </x:c>
      <x:c r="C16" s="2" t="str">
        <x:v>Texas Instruments</x:v>
      </x:c>
      <x:c r="D16" s="14" t="str">
        <x:v>TS3A27518EPWR</x:v>
      </x:c>
      <x:c r="E16" s="16" t="n">
        <x:v>5</x:v>
      </x:c>
      <x:c r="F16" s="16" t="n">
        <x:v>13</x:v>
      </x:c>
      <x:c r="G16" s="16" t="n">
        <x:v>25</x:v>
      </x:c>
      <x:c r="H16" s="2" t="str">
        <x:v>Authorized distributor</x:v>
      </x:c>
      <x:c r="I16" s="2" t="str"/>
      <x:c r="J16" s="2" t="str"/>
      <x:c r="K16" s="2" t="str"/>
      <x:c r="L16" s="16" t="str"/>
      <x:c r="M16" s="16" t="str"/>
      <x:c r="N16" s="2" t="str"/>
      <x:c r="O16" s="2" t="str">
        <x:v>Yes</x:v>
      </x:c>
      <x:c r="P16" s="2" t="str">
        <x:v>Yes</x:v>
      </x:c>
      <x:c r="Q16" s="14" t="str">
        <x:v>RFQ_REQUIRED</x:v>
      </x:c>
      <x:c r="R16" s="17" t="str">
        <x:v>Supply leakage Ron capacitance ESD and BG95 signal integrity</x:v>
      </x:c>
    </x:row>
    <x:row r="17">
      <x:c r="A17" s="2" t="str">
        <x:v>RFQ-016</x:v>
      </x:c>
      <x:c r="B17" s="2" t="str">
        <x:v>SIM connector</x:v>
      </x:c>
      <x:c r="C17" s="2" t="str">
        <x:v>TE Connectivity</x:v>
      </x:c>
      <x:c r="D17" s="14" t="str">
        <x:v>2336582-1</x:v>
      </x:c>
      <x:c r="E17" s="16" t="n">
        <x:v>10</x:v>
      </x:c>
      <x:c r="F17" s="16" t="n">
        <x:v>26</x:v>
      </x:c>
      <x:c r="G17" s="16" t="n">
        <x:v>50</x:v>
      </x:c>
      <x:c r="H17" s="2" t="str">
        <x:v>Authorized or traceable TE distributor</x:v>
      </x:c>
      <x:c r="I17" s="2" t="str"/>
      <x:c r="J17" s="2" t="str"/>
      <x:c r="K17" s="2" t="str"/>
      <x:c r="L17" s="16" t="str"/>
      <x:c r="M17" s="16" t="str"/>
      <x:c r="N17" s="2" t="str"/>
      <x:c r="O17" s="2" t="str">
        <x:v>Yes</x:v>
      </x:c>
      <x:c r="P17" s="2" t="str">
        <x:v>Yes</x:v>
      </x:c>
      <x:c r="Q17" s="14" t="str">
        <x:v>RFQ_REQUIRED</x:v>
      </x:c>
      <x:c r="R17" s="17" t="str">
        <x:v>Exact drawing revision mating cycles coplanarity card detect and service access</x:v>
      </x:c>
    </x:row>
    <x:row r="18">
      <x:c r="A18" s="2" t="str">
        <x:v>RFQ-017</x:v>
      </x:c>
      <x:c r="B18" s="2" t="str">
        <x:v>Vacuum-cast housing</x:v>
      </x:c>
      <x:c r="C18" s="2" t="str">
        <x:v>TBD</x:v>
      </x:c>
      <x:c r="D18" s="14" t="str">
        <x:v>Outdoor polyurethane housing set with inserts seals and service cover</x:v>
      </x:c>
      <x:c r="E18" s="16" t="n">
        <x:v>4</x:v>
      </x:c>
      <x:c r="F18" s="16" t="n">
        <x:v>10</x:v>
      </x:c>
      <x:c r="G18" s="16" t="n">
        <x:v>20</x:v>
      </x:c>
      <x:c r="H18" s="2" t="str">
        <x:v>Qualified vacuum casting manufacturer</x:v>
      </x:c>
      <x:c r="I18" s="2" t="str"/>
      <x:c r="J18" s="2" t="str"/>
      <x:c r="K18" s="2" t="str"/>
      <x:c r="L18" s="16" t="str"/>
      <x:c r="M18" s="16" t="str"/>
      <x:c r="N18" s="2" t="str"/>
      <x:c r="O18" s="2" t="str">
        <x:v>Yes</x:v>
      </x:c>
      <x:c r="P18" s="2" t="str">
        <x:v>Yes</x:v>
      </x:c>
      <x:c r="Q18" s="14" t="str">
        <x:v>RFQ_REQUIRED</x:v>
      </x:c>
      <x:c r="R18" s="17" t="str">
        <x:v>FAI shrink cure material UV finish leak fit acoustic and RF checks for selected EVT lot</x:v>
      </x:c>
    </x:row>
    <x:row r="19">
      <x:c r="A19" s="2" t="str">
        <x:v>RFQ-018</x:v>
      </x:c>
      <x:c r="B19" s="2" t="str">
        <x:v>3D-printed fallback housing</x:v>
      </x:c>
      <x:c r="C19" s="2" t="str">
        <x:v>TBD</x:v>
      </x:c>
      <x:c r="D19" s="14" t="str">
        <x:v>Outdoor printed housing set with inserts seals and service cover</x:v>
      </x:c>
      <x:c r="E19" s="16" t="n">
        <x:v>0</x:v>
      </x:c>
      <x:c r="F19" s="16" t="n">
        <x:v>0</x:v>
      </x:c>
      <x:c r="G19" s="16" t="n">
        <x:v>0</x:v>
      </x:c>
      <x:c r="H19" s="2" t="str">
        <x:v>Qualified print supplier or controlled FlashForge 5M Pro process</x:v>
      </x:c>
      <x:c r="I19" s="2" t="str"/>
      <x:c r="J19" s="2" t="str"/>
      <x:c r="K19" s="2" t="str"/>
      <x:c r="L19" s="16" t="str"/>
      <x:c r="M19" s="16" t="str"/>
      <x:c r="N19" s="2" t="str"/>
      <x:c r="O19" s="2" t="str">
        <x:v>Yes</x:v>
      </x:c>
      <x:c r="P19" s="2" t="str">
        <x:v>Yes</x:v>
      </x:c>
      <x:c r="Q19" s="14" t="str">
        <x:v>CONDITIONAL_CAPACITY_QUOTE</x:v>
      </x:c>
      <x:c r="R19" s="17" t="str">
        <x:v>Quote capacity for 4 10 and 20; procure only after fallback activation</x:v>
      </x:c>
    </x:row>
    <x:row r="20">
      <x:c r="A20" s="2" t="str">
        <x:v>RFQ-019</x:v>
      </x:c>
      <x:c r="B20" s="2" t="str">
        <x:v>Injection-molding DFM</x:v>
      </x:c>
      <x:c r="C20" s="2" t="str">
        <x:v>TBD</x:v>
      </x:c>
      <x:c r="D20" s="14" t="str">
        <x:v>Independent CAD DFM and tool quotation package</x:v>
      </x:c>
      <x:c r="E20" s="16" t="n">
        <x:v>0</x:v>
      </x:c>
      <x:c r="F20" s="16" t="n">
        <x:v>0</x:v>
      </x:c>
      <x:c r="G20" s="16" t="n">
        <x:v>0</x:v>
      </x:c>
      <x:c r="H20" s="2" t="str">
        <x:v>Qualified mold manufacturer</x:v>
      </x:c>
      <x:c r="I20" s="2" t="str"/>
      <x:c r="J20" s="2" t="str"/>
      <x:c r="K20" s="2" t="str"/>
      <x:c r="L20" s="16" t="str"/>
      <x:c r="M20" s="16" t="str"/>
      <x:c r="N20" s="2" t="str"/>
      <x:c r="O20" s="2" t="str">
        <x:v>Yes</x:v>
      </x:c>
      <x:c r="P20" s="2" t="str">
        <x:v>No</x:v>
      </x:c>
      <x:c r="Q20" s="14" t="str">
        <x:v>SOURCE_DATA_AND_DFM_ONLY</x:v>
      </x:c>
      <x:c r="R20" s="17" t="str">
        <x:v>Review tool concept material draft wall ribs bosses parting ejector shrink and expected tooling lead time; no tooling authorization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def3a100b53a49c5"/>
  </x:tableParts>
</x:worksheet>
</file>