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0113d531c645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8352d42e169410b"/>
    <x:sheet xmlns:r="http://schemas.openxmlformats.org/officeDocument/2006/relationships" name="Procurement" sheetId="2" r:id="R5ac2f8986e744106"/>
    <x:sheet xmlns:r="http://schemas.openxmlformats.org/officeDocument/2006/relationships" name="Engineering BOM" sheetId="3" r:id="R7bd15f0b5ac6427a"/>
    <x:sheet xmlns:r="http://schemas.openxmlformats.org/officeDocument/2006/relationships" name="RFQ" sheetId="4" r:id="R5b32fd3412eb4a02"/>
    <x:sheet xmlns:r="http://schemas.openxmlformats.org/officeDocument/2006/relationships" name="Cost estimate" sheetId="5" r:id="Rc4abb065d37a41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#,##0"/>
    <x:numFmt numFmtId="201" formatCode="0"/>
    <x:numFmt numFmtId="202" formatCode="#,##0&quot; RUB&quot;"/>
    <x:numFmt numFmtId="203" formatCode="yyyy-mm-dd"/>
    <x:numFmt numFmtId="204" formatCode="#,##0 &quot;RUB&quot;"/>
    <x:numFmt numFmtId="205" formatCode="0.0000"/>
    <x:numFmt numFmtId="206" formatCode="0.00"/>
    <x:numFmt numFmtId="207" formatCode="0.0%"/>
  </x:numFmts>
  <x:fonts count="21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6"/>
      <x:color rgb="FF1F2937"/>
      <x:name val="Arial"/>
    </x:font>
    <x:font>
      <x:sz val="11"/>
      <x:name val="Arial"/>
    </x:font>
    <x:font>
      <x:b/>
      <x:sz val="10"/>
      <x:color rgb="FF1F2937"/>
      <x:name val="Arial"/>
    </x:font>
    <x:font>
      <x:sz val="10"/>
      <x:name val="Arial"/>
    </x:font>
    <x:font>
      <x:b/>
      <x:sz val="10"/>
      <x:color rgb="FFB91C1C"/>
      <x:name val="Arial"/>
    </x:font>
    <x:font>
      <x:b/>
      <x:sz val="11"/>
      <x:color rgb="FF1F2937"/>
      <x:name val="Arial"/>
    </x:font>
    <x:font>
      <x:sz val="10"/>
      <x:color rgb="FF9A3412"/>
      <x:name val="Arial"/>
    </x:font>
    <x:font>
      <x:i/>
      <x:sz val="10"/>
      <x:color rgb="FF4B5563"/>
      <x:name val="Arial"/>
    </x:font>
    <x:font>
      <x:sz val="9"/>
      <x:name val="Arial"/>
    </x:font>
    <x:font>
      <x:b/>
      <x:sz val="9"/>
      <x:color rgb="FFFFFFFF"/>
      <x:name val="Arial"/>
    </x:font>
    <x:font>
      <x:b/>
      <x:sz val="10"/>
      <x:color rgb="FFC62828"/>
      <x:name val="Arial"/>
    </x:font>
    <x:font>
      <x:b/>
      <x:sz val="15"/>
      <x:color rgb="FF1F2937"/>
      <x:name val="Arial"/>
    </x:font>
    <x:font>
      <x:i/>
      <x:sz val="10"/>
      <x:color rgb="FF5B6472"/>
      <x:name val="Arial"/>
    </x:font>
    <x:font>
      <x:sz val="9"/>
      <x:color rgb="FF1F2937"/>
      <x:name val="Arial"/>
    </x:font>
    <x:font>
      <x:b/>
      <x:sz val="14"/>
      <x:color rgb="FF1F2937"/>
      <x:name val="Arial"/>
    </x:font>
    <x:font>
      <x:i/>
      <x:sz val="9"/>
      <x:color rgb="FF4B5563"/>
      <x:name val="Arial"/>
    </x:font>
    <x:font>
      <x:sz val="9"/>
      <x:color rgb="FF0000FF"/>
      <x:name val="Arial"/>
    </x:font>
    <x:font>
      <x:i/>
      <x:sz val="9"/>
      <x:color rgb="FF7C4A03"/>
      <x:name val="Arial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DE8E8"/>
      </x:patternFill>
    </x:fill>
    <x:fill>
      <x:patternFill patternType="solid">
        <x:fgColor rgb="FFFFF7E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DE9E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5B6573"/>
      </x:patternFill>
    </x:fill>
    <x:fill>
      <x:patternFill patternType="solid">
        <x:fgColor rgb="FF2F6B4F"/>
      </x:patternFill>
    </x:fill>
    <x:fill>
      <x:patternFill patternType="solid">
        <x:fgColor rgb="FFE6F4EA"/>
      </x:patternFill>
    </x:fill>
    <x:fill>
      <x:patternFill patternType="solid">
        <x:fgColor rgb="FFFFF4E5"/>
      </x:patternFill>
    </x:fill>
  </x:fills>
  <x:borders count="33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1F4E78"/>
      </x:bottom>
    </x:border>
    <x:border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bottom style="thin">
        <x:color rgb="FFD1D5DB"/>
      </x:bottom>
    </x:border>
    <x:border>
      <x:left style="thin">
        <x:color rgb="FFD1D5DB"/>
      </x:left>
      <x:bottom style="thin">
        <x:color rgb="FFD1D5DB"/>
      </x:bottom>
    </x:border>
    <x:border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left style="thin">
        <x:color rgb="FFD1D5DB"/>
      </x:left>
      <x:top style="thin">
        <x:color rgb="FFD1D5DB"/>
      </x:top>
      <x:bottom style="thin">
        <x:color rgb="FFD1D5DB"/>
      </x:bottom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  <x:right style="thin">
        <x:color rgb="FFD1D5DB"/>
      </x:right>
      <x:top style="thin">
        <x:color rgb="FFD1D5DB"/>
      </x:top>
    </x:border>
    <x:border>
      <x:left style="thin">
        <x:color rgb="FFD1D5DB"/>
      </x:left>
      <x:top style="thin">
        <x:color rgb="FFD1D5DB"/>
      </x:top>
    </x:border>
    <x:border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bottom style="thin">
        <x:color rgb="FFFED7AA"/>
      </x:bottom>
    </x:border>
    <x:border>
      <x:left style="thin">
        <x:color rgb="FFFED7AA"/>
      </x:left>
      <x:bottom style="thin">
        <x:color rgb="FFFED7AA"/>
      </x:bottom>
    </x:border>
    <x:border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right style="thin">
        <x:color rgb="FFFED7AA"/>
      </x:right>
      <x:top style="thin">
        <x:color rgb="FFFED7AA"/>
      </x:top>
      <x:bottom style="thin">
        <x:color rgb="FFFED7AA"/>
      </x:bottom>
    </x:border>
    <x:border>
      <x:left style="thin">
        <x:color rgb="FFFED7AA"/>
      </x:left>
      <x:top style="thin">
        <x:color rgb="FFFED7AA"/>
      </x:top>
      <x:bottom style="thin">
        <x:color rgb="FFFED7AA"/>
      </x:bottom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  <x:right style="thin">
        <x:color rgb="FFFED7AA"/>
      </x:right>
      <x:top style="thin">
        <x:color rgb="FFFED7AA"/>
      </x:top>
    </x:border>
    <x:border>
      <x:left style="thin">
        <x:color rgb="FFFED7AA"/>
      </x:left>
      <x:top style="thin">
        <x:color rgb="FFFED7AA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bottom style="thin">
        <x:color rgb="FF8091A5"/>
      </x:bottom>
    </x:border>
    <x:border>
      <x:bottom style="thin">
        <x:color rgb="FF4F81BD"/>
      </x:bottom>
    </x:border>
    <x:border>
      <x:bottom style="thin">
        <x:color rgb="FFD7E3EC"/>
      </x:bottom>
    </x:border>
    <x:border>
      <x:top style="thin">
        <x:color rgb="FFD7E3EC"/>
      </x:top>
      <x:bottom style="thin">
        <x:color rgb="FFD7E3EC"/>
      </x:bottom>
    </x:border>
    <x:border>
      <x:top style="thin">
        <x:color rgb="FFD7E3EC"/>
      </x:top>
      <x:bottom style="thin">
        <x:color rgb="FF9FBAD0"/>
      </x:bottom>
    </x:border>
    <x:border>
      <x:top style="thin">
        <x:color rgb="FFE9C46A"/>
      </x:top>
    </x:border>
    <x:border>
      <x:bottom style="thin">
        <x:color rgb="FF9FBAD0"/>
      </x:bottom>
    </x:border>
  </x:borders>
  <x:cellStyleXfs count="1">
    <x:xf numFmtId="0" fontId="0" fillId="0" borderId="0"/>
  </x:cellStyleXfs>
  <x:cellXfs count="20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0" fillId="0" borderId="4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0" fontId="4" fillId="0" borderId="5" xfId="0" applyNumberFormat="1" applyFont="1" applyFill="1" applyBorder="1"/>
    <x:xf numFmtId="200" fontId="4" fillId="0" borderId="6" xfId="0" applyNumberFormat="1" applyFont="1" applyFill="1" applyBorder="1"/>
    <x:xf numFmtId="200" fontId="4" fillId="0" borderId="7" xfId="0" applyNumberFormat="1" applyFont="1" applyFill="1" applyBorder="1"/>
    <x:xf numFmtId="200" fontId="4" fillId="0" borderId="8" xfId="0" applyNumberFormat="1" applyFont="1" applyFill="1" applyBorder="1"/>
    <x:xf numFmtId="200" fontId="4" fillId="0" borderId="9" xfId="0" applyNumberFormat="1" applyFont="1" applyFill="1" applyBorder="1"/>
    <x:xf numFmtId="200" fontId="4" fillId="0" borderId="10" xfId="0" applyNumberFormat="1" applyFont="1" applyFill="1" applyBorder="1"/>
    <x:xf numFmtId="200" fontId="4" fillId="0" borderId="11" xfId="0" applyNumberFormat="1" applyFont="1" applyFill="1" applyBorder="1"/>
    <x:xf numFmtId="200" fontId="4" fillId="0" borderId="12" xfId="0" applyNumberFormat="1" applyFont="1" applyFill="1" applyBorder="1"/>
    <x:xf numFmtId="200" fontId="4" fillId="0" borderId="13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6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14" xfId="0" applyNumberFormat="1" applyFont="1" applyFill="1" applyBorder="1"/>
    <x:xf numFmtId="0" fontId="9" fillId="5" borderId="15" xfId="0" applyNumberFormat="1" applyFont="1" applyFill="1" applyBorder="1"/>
    <x:xf numFmtId="0" fontId="9" fillId="5" borderId="16" xfId="0" applyNumberFormat="1" applyFont="1" applyFill="1" applyBorder="1"/>
    <x:xf numFmtId="0" fontId="9" fillId="5" borderId="17" xfId="0" applyNumberFormat="1" applyFont="1" applyFill="1" applyBorder="1"/>
    <x:xf numFmtId="0" fontId="9" fillId="5" borderId="18" xfId="0" applyNumberFormat="1" applyFont="1" applyFill="1" applyBorder="1"/>
    <x:xf numFmtId="0" fontId="9" fillId="5" borderId="19" xfId="0" applyNumberFormat="1" applyFont="1" applyFill="1" applyBorder="1"/>
    <x:xf numFmtId="0" fontId="9" fillId="5" borderId="20" xfId="0" applyNumberFormat="1" applyFont="1" applyFill="1" applyBorder="1"/>
    <x:xf numFmtId="0" fontId="9" fillId="5" borderId="21" xfId="0" applyNumberFormat="1" applyFont="1" applyFill="1" applyBorder="1"/>
    <x:xf numFmtId="0" fontId="9" fillId="5" borderId="22" xfId="0" applyNumberFormat="1" applyFont="1" applyFill="1" applyBorder="1"/>
    <x:xf numFmtId="0" fontId="9" fillId="5" borderId="14" xfId="0" applyNumberFormat="1" applyFont="1" applyFill="1" applyBorder="1" applyAlignment="1">
      <x:alignment wrapText="1"/>
    </x:xf>
    <x:xf numFmtId="0" fontId="9" fillId="5" borderId="15" xfId="0" applyNumberFormat="1" applyFont="1" applyFill="1" applyBorder="1" applyAlignment="1">
      <x:alignment wrapText="1"/>
    </x:xf>
    <x:xf numFmtId="0" fontId="9" fillId="5" borderId="16" xfId="0" applyNumberFormat="1" applyFont="1" applyFill="1" applyBorder="1" applyAlignment="1">
      <x:alignment wrapText="1"/>
    </x:xf>
    <x:xf numFmtId="0" fontId="9" fillId="5" borderId="17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0" fontId="9" fillId="5" borderId="19" xfId="0" applyNumberFormat="1" applyFont="1" applyFill="1" applyBorder="1" applyAlignment="1">
      <x:alignment wrapText="1"/>
    </x:xf>
    <x:xf numFmtId="0" fontId="9" fillId="5" borderId="20" xfId="0" applyNumberFormat="1" applyFont="1" applyFill="1" applyBorder="1" applyAlignment="1">
      <x:alignment wrapText="1"/>
    </x:xf>
    <x:xf numFmtId="0" fontId="9" fillId="5" borderId="21" xfId="0" applyNumberFormat="1" applyFont="1" applyFill="1" applyBorder="1" applyAlignment="1">
      <x:alignment wrapText="1"/>
    </x:xf>
    <x:xf numFmtId="0" fontId="9" fillId="5" borderId="22" xfId="0" applyNumberFormat="1" applyFont="1" applyFill="1" applyBorder="1" applyAlignment="1">
      <x:alignment wrapText="1"/>
    </x:xf>
    <x:xf numFmtId="0" fontId="9" fillId="5" borderId="14" xfId="0" applyNumberFormat="1" applyFont="1" applyFill="1" applyBorder="1" applyAlignment="1">
      <x:alignment vertical="top" wrapText="1"/>
    </x:xf>
    <x:xf numFmtId="0" fontId="9" fillId="5" borderId="15" xfId="0" applyNumberFormat="1" applyFont="1" applyFill="1" applyBorder="1" applyAlignment="1">
      <x:alignment vertical="top" wrapText="1"/>
    </x:xf>
    <x:xf numFmtId="0" fontId="9" fillId="5" borderId="16" xfId="0" applyNumberFormat="1" applyFont="1" applyFill="1" applyBorder="1" applyAlignment="1">
      <x:alignment vertical="top" wrapText="1"/>
    </x:xf>
    <x:xf numFmtId="0" fontId="9" fillId="5" borderId="17" xfId="0" applyNumberFormat="1" applyFont="1" applyFill="1" applyBorder="1" applyAlignment="1">
      <x:alignment vertical="top" wrapText="1"/>
    </x:xf>
    <x:xf numFmtId="0" fontId="9" fillId="5" borderId="18" xfId="0" applyNumberFormat="1" applyFont="1" applyFill="1" applyBorder="1" applyAlignment="1">
      <x:alignment vertical="top" wrapText="1"/>
    </x:xf>
    <x:xf numFmtId="0" fontId="9" fillId="5" borderId="19" xfId="0" applyNumberFormat="1" applyFont="1" applyFill="1" applyBorder="1" applyAlignment="1">
      <x:alignment vertical="top" wrapText="1"/>
    </x:xf>
    <x:xf numFmtId="0" fontId="9" fillId="5" borderId="20" xfId="0" applyNumberFormat="1" applyFont="1" applyFill="1" applyBorder="1" applyAlignment="1">
      <x:alignment vertical="top" wrapText="1"/>
    </x:xf>
    <x:xf numFmtId="0" fontId="9" fillId="5" borderId="21" xfId="0" applyNumberFormat="1" applyFont="1" applyFill="1" applyBorder="1" applyAlignment="1">
      <x:alignment vertical="top" wrapText="1"/>
    </x:xf>
    <x:xf numFmtId="0" fontId="9" fillId="5" borderId="2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 wrapText="1"/>
    </x:xf>
    <x:xf numFmtId="201" fontId="11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201" fontId="11" fillId="0" borderId="0" xfId="0" applyNumberFormat="1" applyFont="1" applyFill="1" applyBorder="1" applyAlignment="1">
      <x:alignment wrapText="1"/>
    </x:xf>
    <x:xf numFmtId="200" fontId="4" fillId="6" borderId="11" xfId="0" applyNumberFormat="1" applyFont="1" applyFill="1" applyBorder="1"/>
    <x:xf numFmtId="200" fontId="4" fillId="6" borderId="12" xfId="0" applyNumberFormat="1" applyFont="1" applyFill="1" applyBorder="1"/>
    <x:xf numFmtId="200" fontId="4" fillId="6" borderId="13" xfId="0" applyNumberFormat="1" applyFont="1" applyFill="1" applyBorder="1"/>
    <x:xf numFmtId="200" fontId="5" fillId="6" borderId="11" xfId="0" applyNumberFormat="1" applyFont="1" applyFill="1" applyBorder="1"/>
    <x:xf numFmtId="200" fontId="5" fillId="6" borderId="12" xfId="0" applyNumberFormat="1" applyFont="1" applyFill="1" applyBorder="1"/>
    <x:xf numFmtId="200" fontId="5" fillId="6" borderId="13" xfId="0" applyNumberFormat="1" applyFont="1" applyFill="1" applyBorder="1"/>
    <x:xf numFmtId="200" fontId="5" fillId="6" borderId="11" xfId="0" applyNumberFormat="1" applyFont="1" applyFill="1" applyBorder="1" applyAlignment="1">
      <x:alignment vertical="center"/>
    </x:xf>
    <x:xf numFmtId="200" fontId="5" fillId="6" borderId="12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3" xfId="0" applyNumberFormat="1" applyFont="1" applyFill="1" applyBorder="1"/>
    <x:xf numFmtId="0" fontId="5" fillId="7" borderId="24" xfId="0" applyNumberFormat="1" applyFont="1" applyFill="1" applyBorder="1"/>
    <x:xf numFmtId="0" fontId="5" fillId="7" borderId="25" xfId="0" applyNumberFormat="1" applyFont="1" applyFill="1" applyBorder="1"/>
    <x:xf numFmtId="0" fontId="5" fillId="7" borderId="23" xfId="0" applyNumberFormat="1" applyFont="1" applyFill="1" applyBorder="1" applyAlignment="1">
      <x:alignment vertical="center"/>
    </x:xf>
    <x:xf numFmtId="0" fontId="5" fillId="7" borderId="24" xfId="0" applyNumberFormat="1" applyFont="1" applyFill="1" applyBorder="1" applyAlignment="1">
      <x:alignment vertical="center"/>
    </x:xf>
    <x:xf numFmtId="0" fontId="5" fillId="7" borderId="25" xfId="0" applyNumberFormat="1" applyFont="1" applyFill="1" applyBorder="1" applyAlignment="1">
      <x:alignment vertical="center"/>
    </x:xf>
    <x:xf numFmtId="0" fontId="5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vertical="center"/>
    </x:xf>
    <x:xf numFmtId="0" fontId="13" fillId="8" borderId="25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/>
    </x:xf>
    <x:xf numFmtId="0" fontId="0" fillId="0" borderId="26" xfId="0" applyNumberFormat="1" applyFont="1" applyFill="1" applyBorder="1"/>
    <x:xf numFmtId="0" fontId="15" fillId="0" borderId="0" xfId="0" applyNumberFormat="1" applyFont="1" applyFill="1" applyBorder="1"/>
    <x:xf numFmtId="0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2" fontId="8" fillId="0" borderId="0" xfId="0" applyNumberFormat="1" applyFont="1" applyFill="1" applyBorder="1"/>
    <x:xf numFmtId="0" fontId="16" fillId="0" borderId="0" xfId="0" applyNumberFormat="1" applyFont="1" applyFill="1" applyBorder="1"/>
    <x:xf numFmtId="0" fontId="16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2" fillId="9" borderId="0" xfId="0" applyNumberFormat="1" applyFont="1" applyFill="1" applyBorder="1" applyAlignment="1">
      <x:alignment horizontal="center" wrapText="1"/>
    </x:xf>
    <x:xf numFmtId="0" fontId="12" fillId="9" borderId="0" xfId="0" applyNumberFormat="1" applyFont="1" applyFill="1" applyBorder="1" applyAlignment="1">
      <x:alignment horizontal="center" vertical="center" wrapText="1"/>
    </x:xf>
    <x:xf numFmtId="200" fontId="16" fillId="0" borderId="0" xfId="0" applyNumberFormat="1" applyFont="1" applyFill="1" applyBorder="1"/>
    <x:xf numFmtId="201" fontId="16" fillId="0" borderId="0" xfId="0" applyNumberFormat="1" applyFont="1" applyFill="1" applyBorder="1"/>
    <x:xf numFmtId="203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vertical="center"/>
    </x:xf>
    <x:xf numFmtId="200" fontId="16" fillId="0" borderId="0" xfId="0" applyNumberFormat="1" applyFont="1" applyFill="1" applyBorder="1" applyAlignment="1">
      <x:alignment vertical="center"/>
    </x:xf>
    <x:xf numFmtId="203" fontId="16" fillId="0" borderId="0" xfId="0" applyNumberFormat="1" applyFont="1" applyFill="1" applyBorder="1" applyAlignment="1">
      <x:alignment vertical="center"/>
    </x:xf>
    <x:xf numFmtId="201" fontId="16" fillId="0" borderId="0" xfId="0" applyNumberFormat="1" applyFont="1" applyFill="1" applyBorder="1" applyAlignment="1">
      <x:alignment vertical="center"/>
    </x:xf>
    <x:xf numFmtId="0" fontId="16" fillId="0" borderId="0" xfId="0" applyNumberFormat="1" applyFont="1" applyFill="1" applyBorder="1" applyAlignment="1">
      <x:alignment vertical="center" wrapText="0"/>
    </x:xf>
    <x:xf numFmtId="0" fontId="17" fillId="0" borderId="0" xfId="0" applyNumberFormat="1" applyFont="1" applyFill="1" applyBorder="1" applyAlignment="1">
      <x:alignment vertical="center"/>
    </x:xf>
    <x:xf numFmtId="0" fontId="17" fillId="0" borderId="27" xfId="0" applyNumberFormat="1" applyFont="1" applyFill="1" applyBorder="1" applyAlignment="1">
      <x:alignment vertical="center"/>
    </x:xf>
    <x:xf numFmtId="0" fontId="18" fillId="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3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1" fillId="11" borderId="0" xfId="0" applyNumberFormat="1" applyFont="1" applyFill="1" applyBorder="1" applyAlignment="1">
      <x:alignment vertical="center"/>
    </x:xf>
    <x:xf numFmtId="0" fontId="12" fillId="11" borderId="0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/>
    </x:xf>
    <x:xf numFmtId="0" fontId="12" fillId="11" borderId="2" xfId="0" applyNumberFormat="1" applyFont="1" applyFill="1" applyBorder="1" applyAlignment="1">
      <x:alignment vertical="center"/>
    </x:xf>
    <x:xf numFmtId="0" fontId="12" fillId="11" borderId="3" xfId="0" applyNumberFormat="1" applyFont="1" applyFill="1" applyBorder="1" applyAlignment="1">
      <x:alignment vertical="center"/>
    </x:xf>
    <x:xf numFmtId="0" fontId="12" fillId="11" borderId="1" xfId="0" applyNumberFormat="1" applyFont="1" applyFill="1" applyBorder="1" applyAlignment="1">
      <x:alignment vertical="center" wrapText="1"/>
    </x:xf>
    <x:xf numFmtId="0" fontId="12" fillId="11" borderId="2" xfId="0" applyNumberFormat="1" applyFont="1" applyFill="1" applyBorder="1" applyAlignment="1">
      <x:alignment vertical="center" wrapText="1"/>
    </x:xf>
    <x:xf numFmtId="0" fontId="12" fillId="11" borderId="3" xfId="0" applyNumberFormat="1" applyFont="1" applyFill="1" applyBorder="1" applyAlignment="1">
      <x:alignment vertical="center" wrapText="1"/>
    </x:xf>
    <x:xf numFmtId="0" fontId="12" fillId="11" borderId="1" xfId="0" applyNumberFormat="1" applyFont="1" applyFill="1" applyBorder="1" applyAlignment="1">
      <x:alignment horizontal="center" vertical="center" wrapText="1"/>
    </x:xf>
    <x:xf numFmtId="0" fontId="12" fillId="11" borderId="2" xfId="0" applyNumberFormat="1" applyFont="1" applyFill="1" applyBorder="1" applyAlignment="1">
      <x:alignment horizontal="center" vertical="center" wrapText="1"/>
    </x:xf>
    <x:xf numFmtId="0" fontId="12" fillId="11" borderId="3" xfId="0" applyNumberFormat="1" applyFont="1" applyFill="1" applyBorder="1" applyAlignment="1">
      <x:alignment horizontal="center" vertical="center" wrapText="1"/>
    </x:xf>
    <x:xf numFmtId="0" fontId="1" fillId="0" borderId="28" xfId="0" applyNumberFormat="1" applyFont="1" applyFill="1" applyBorder="1" applyAlignment="1">
      <x:alignment vertical="center"/>
    </x:xf>
    <x:xf numFmtId="0" fontId="1" fillId="0" borderId="29" xfId="0" applyNumberFormat="1" applyFont="1" applyFill="1" applyBorder="1" applyAlignment="1">
      <x:alignment vertical="center"/>
    </x:xf>
    <x:xf numFmtId="0" fontId="1" fillId="0" borderId="30" xfId="0" applyNumberFormat="1" applyFont="1" applyFill="1" applyBorder="1" applyAlignment="1">
      <x:alignment vertical="center"/>
    </x:xf>
    <x:xf numFmtId="0" fontId="1" fillId="12" borderId="3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204" fontId="1" fillId="0" borderId="28" xfId="0" applyNumberFormat="1" applyFont="1" applyFill="1" applyBorder="1" applyAlignment="1">
      <x:alignment vertical="center"/>
    </x:xf>
    <x:xf numFmtId="204" fontId="1" fillId="0" borderId="29" xfId="0" applyNumberFormat="1" applyFont="1" applyFill="1" applyBorder="1" applyAlignment="1">
      <x:alignment vertical="center"/>
    </x:xf>
    <x:xf numFmtId="204" fontId="5" fillId="12" borderId="30" xfId="0" applyNumberFormat="1" applyFont="1" applyFill="1" applyBorder="1" applyAlignment="1">
      <x:alignment vertical="center"/>
    </x:xf>
    <x:xf numFmtId="0" fontId="19" fillId="0" borderId="0" xfId="0" applyNumberFormat="1" applyFont="1" applyFill="1" applyBorder="1" applyAlignment="1">
      <x:alignment vertical="center"/>
    </x:xf>
    <x:xf numFmtId="205" fontId="19" fillId="0" borderId="0" xfId="0" applyNumberFormat="1" applyFont="1" applyFill="1" applyBorder="1" applyAlignment="1">
      <x:alignment vertical="center"/>
    </x:xf>
    <x:xf numFmtId="206" fontId="19" fillId="0" borderId="0" xfId="0" applyNumberFormat="1" applyFont="1" applyFill="1" applyBorder="1" applyAlignment="1">
      <x:alignment vertical="center"/>
    </x:xf>
    <x:xf numFmtId="207" fontId="19" fillId="0" borderId="0" xfId="0" applyNumberFormat="1" applyFont="1" applyFill="1" applyBorder="1" applyAlignment="1">
      <x:alignment vertical="center"/>
    </x:xf>
    <x:xf numFmtId="201" fontId="19" fillId="0" borderId="0" xfId="0" applyNumberFormat="1" applyFont="1" applyFill="1" applyBorder="1" applyAlignment="1">
      <x:alignment vertical="center"/>
    </x:xf>
    <x:xf numFmtId="204" fontId="16" fillId="0" borderId="0" xfId="0" applyNumberFormat="1" applyFont="1" applyFill="1" applyBorder="1" applyAlignment="1">
      <x:alignment vertical="center"/>
    </x:xf>
    <x:xf numFmtId="207" fontId="16" fillId="0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20" fillId="13" borderId="31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32" xfId="0" applyNumberFormat="1" applyFont="1" applyFill="1" applyBorder="1"/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23" xfId="0" applyNumberFormat="1" applyFont="1" applyFill="1" applyBorder="1" applyAlignment="1">
      <x:alignment vertical="center"/>
    </x:xf>
    <x:xf numFmtId="0" fontId="5" fillId="14" borderId="24" xfId="0" applyNumberFormat="1" applyFont="1" applyFill="1" applyBorder="1" applyAlignment="1">
      <x:alignment vertical="center"/>
    </x:xf>
    <x:xf numFmtId="0" fontId="5" fillId="14" borderId="25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2" fillId="15" borderId="0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/>
    </x:xf>
    <x:xf numFmtId="0" fontId="12" fillId="15" borderId="2" xfId="0" applyNumberFormat="1" applyFont="1" applyFill="1" applyBorder="1" applyAlignment="1">
      <x:alignment vertical="center"/>
    </x:xf>
    <x:xf numFmtId="0" fontId="12" fillId="15" borderId="3" xfId="0" applyNumberFormat="1" applyFont="1" applyFill="1" applyBorder="1" applyAlignment="1">
      <x:alignment vertical="center"/>
    </x:xf>
    <x:xf numFmtId="0" fontId="12" fillId="15" borderId="1" xfId="0" applyNumberFormat="1" applyFont="1" applyFill="1" applyBorder="1" applyAlignment="1">
      <x:alignment vertical="center" wrapText="1"/>
    </x:xf>
    <x:xf numFmtId="0" fontId="12" fillId="15" borderId="2" xfId="0" applyNumberFormat="1" applyFont="1" applyFill="1" applyBorder="1" applyAlignment="1">
      <x:alignment vertical="center" wrapText="1"/>
    </x:xf>
    <x:xf numFmtId="0" fontId="12" fillId="15" borderId="3" xfId="0" applyNumberFormat="1" applyFont="1" applyFill="1" applyBorder="1" applyAlignment="1">
      <x:alignment vertical="center" wrapText="1"/>
    </x:xf>
    <x:xf numFmtId="0" fontId="12" fillId="15" borderId="1" xfId="0" applyNumberFormat="1" applyFont="1" applyFill="1" applyBorder="1" applyAlignment="1">
      <x:alignment horizontal="center" vertical="center" wrapText="1"/>
    </x:xf>
    <x:xf numFmtId="0" fontId="12" fillId="15" borderId="2" xfId="0" applyNumberFormat="1" applyFont="1" applyFill="1" applyBorder="1" applyAlignment="1">
      <x:alignment horizontal="center" vertical="center" wrapText="1"/>
    </x:xf>
    <x:xf numFmtId="0" fontId="12" fillId="15" borderId="3" xfId="0" applyNumberFormat="1" applyFont="1" applyFill="1" applyBorder="1" applyAlignment="1">
      <x:alignment horizontal="center" vertical="center" wrapText="1"/>
    </x:xf>
    <x:xf numFmtId="0" fontId="12" fillId="16" borderId="2" xfId="0" applyNumberFormat="1" applyFont="1" applyFill="1" applyBorder="1" applyAlignment="1">
      <x:alignment horizontal="center" vertical="center" wrapText="1"/>
    </x:xf>
    <x:xf numFmtId="0" fontId="12" fillId="17" borderId="2" xfId="0" applyNumberFormat="1" applyFont="1" applyFill="1" applyBorder="1" applyAlignment="1">
      <x:alignment horizontal="center" vertical="center" wrapText="1"/>
    </x:xf>
    <x:xf numFmtId="0" fontId="1" fillId="18" borderId="30" xfId="0" applyNumberFormat="1" applyFont="1" applyFill="1" applyBorder="1" applyAlignment="1">
      <x:alignment vertical="center"/>
    </x:xf>
    <x:xf numFmtId="0" fontId="5" fillId="18" borderId="30" xfId="0" applyNumberFormat="1" applyFont="1" applyFill="1" applyBorder="1" applyAlignment="1">
      <x:alignment vertical="center"/>
    </x:xf>
    <x:xf numFmtId="204" fontId="5" fillId="18" borderId="3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 applyAlignment="1">
      <x:alignment vertical="center"/>
    </x:xf>
    <x:xf numFmtId="0" fontId="20" fillId="19" borderId="0" xfId="0" applyNumberFormat="1" applyFont="1" applyFill="1" applyBorder="1" applyAlignment="1">
      <x:alignment vertical="center"/>
    </x:xf>
    <x:xf numFmtId="0" fontId="20" fillId="19" borderId="31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5" fillId="14" borderId="0" xfId="0" applyNumberFormat="1" applyFont="1" applyFill="1" applyBorder="1"/>
    <x:xf numFmtId="0" fontId="5" fillId="14" borderId="32" xfId="0" applyNumberFormat="1" applyFont="1" applyFill="1" applyBorder="1"/>
  </x:cellXfs>
  <x:cellStyles count="1">
    <x:cellStyle name="Normal" xfId="0"/>
  </x:cellStyles>
  <x:dxfs count="9"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B91C1C"/>
      </x:font>
      <x:fill>
        <x:patternFill>
          <x:bgColor rgb="FFFDE8E8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color rgb="FF7A5200"/>
      </x:font>
      <x:fill>
        <x:patternFill>
          <x:bgColor rgb="FFFFF4CC"/>
        </x:patternFill>
      </x:fill>
    </x:dxf>
    <x:dxf>
      <x:font>
        <x:color rgb="FF7A52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5c60778c6f48a6" /><Relationship Type="http://schemas.openxmlformats.org/officeDocument/2006/relationships/theme" Target="/xl/theme/theme1.xml" Id="R1523f25702934f7d" /><Relationship Type="http://schemas.openxmlformats.org/officeDocument/2006/relationships/sharedStrings" Target="/xl/sharedStrings.xml" Id="R1b1b74c02b604227" /><Relationship Type="http://schemas.openxmlformats.org/officeDocument/2006/relationships/worksheet" Target="/xl/worksheets/sheet1.xml" Id="R58352d42e169410b" /><Relationship Type="http://schemas.openxmlformats.org/officeDocument/2006/relationships/worksheet" Target="/xl/worksheets/sheet2.xml" Id="R5ac2f8986e744106" /><Relationship Type="http://schemas.openxmlformats.org/officeDocument/2006/relationships/worksheet" Target="/xl/worksheets/sheet3.xml" Id="R7bd15f0b5ac6427a" /><Relationship Type="http://schemas.openxmlformats.org/officeDocument/2006/relationships/worksheet" Target="/xl/worksheets/sheet4.xml" Id="R5b32fd3412eb4a02" /><Relationship Type="http://schemas.openxmlformats.org/officeDocument/2006/relationships/worksheet" Target="/xl/worksheets/sheet5.xml" Id="Rc4abb065d37a4143" /></Relationships>
</file>

<file path=xl/tables/table1.xml><?xml version="1.0" encoding="utf-8"?>
<x:table xmlns:x="http://schemas.openxmlformats.org/spreadsheetml/2006/main" id="1" name="ProcurementTable" displayName="ProcurementTable" ref="A1:Y125" headerRowCount="1" totalsRowCount="0" totalsRowShown="0">
  <x:autoFilter ref="A1:Y125"/>
  <x:tableColumns count="25">
    <x:tableColumn id="1" name="Procurement_ID"/>
    <x:tableColumn id="2" name="Assemblies"/>
    <x:tableColumn id="3" name="Item_IDs"/>
    <x:tableColumn id="4" name="RefDes"/>
    <x:tableColumn id="5" name="Category"/>
    <x:tableColumn id="6" name="Manufacturer"/>
    <x:tableColumn id="7" name="MPN"/>
    <x:tableColumn id="8" name="Package"/>
    <x:tableColumn id="9" name="Value"/>
    <x:tableColumn id="10" name="Variant"/>
    <x:tableColumn id="11" name="Population"/>
    <x:tableColumn id="12" name="Qty_4"/>
    <x:tableColumn id="13" name="Spares_4"/>
    <x:tableColumn id="14" name="Procure_qty_4"/>
    <x:tableColumn id="15" name="Qty_10"/>
    <x:tableColumn id="16" name="Spares_10"/>
    <x:tableColumn id="17" name="Procure_qty_10"/>
    <x:tableColumn id="18" name="Qty_20"/>
    <x:tableColumn id="19" name="Spares_20"/>
    <x:tableColumn id="20" name="Procure_qty_20"/>
    <x:tableColumn id="21" name="Spare_policy"/>
    <x:tableColumn id="22" name="BOM_disposition"/>
    <x:tableColumn id="23" name="Status"/>
    <x:tableColumn id="24" name="China_source_policy"/>
    <x:tableColumn id="25" name="Incoming_contro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ineeringBomTable" displayName="EngineeringBomTable" ref="A1:AC296" headerRowCount="1" totalsRowCount="0" totalsRowShown="0">
  <x:autoFilter ref="A1:AC296"/>
  <x:tableColumns count="29">
    <x:tableColumn id="1" name="Item_ID"/>
    <x:tableColumn id="2" name="Assembly"/>
    <x:tableColumn id="3" name="RefDes"/>
    <x:tableColumn id="4" name="Category"/>
    <x:tableColumn id="5" name="Description"/>
    <x:tableColumn id="6" name="Manufacturer"/>
    <x:tableColumn id="7" name="MPN"/>
    <x:tableColumn id="8" name="Package"/>
    <x:tableColumn id="9" name="Qty_per_station"/>
    <x:tableColumn id="10" name="Qty_4"/>
    <x:tableColumn id="11" name="Spares_4"/>
    <x:tableColumn id="12" name="Procure_qty_4"/>
    <x:tableColumn id="13" name="Qty_10"/>
    <x:tableColumn id="14" name="Spares_10"/>
    <x:tableColumn id="15" name="Procure_qty_10"/>
    <x:tableColumn id="16" name="Qty_20"/>
    <x:tableColumn id="17" name="Spares_20"/>
    <x:tableColumn id="18" name="Procure_qty_20"/>
    <x:tableColumn id="19" name="Spare_policy"/>
    <x:tableColumn id="20" name="Variant"/>
    <x:tableColumn id="21" name="Status"/>
    <x:tableColumn id="22" name="China_source_policy"/>
    <x:tableColumn id="23" name="Incoming_control"/>
    <x:tableColumn id="24" name="Notes"/>
    <x:tableColumn id="25" name="Value"/>
    <x:tableColumn id="26" name="Line_class"/>
    <x:tableColumn id="27" name="Population"/>
    <x:tableColumn id="28" name="Temperature_C"/>
    <x:tableColumn id="29" name="BOM_disposi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qTable" displayName="RfqTable" ref="A1:S28" headerRowCount="1" totalsRowCount="0" totalsRowShown="0">
  <x:autoFilter ref="A1:S28"/>
  <x:tableColumns count="19">
    <x:tableColumn id="1" name="RFQ_ID"/>
    <x:tableColumn id="2" name="BOM_Item_IDs"/>
    <x:tableColumn id="3" name="Category"/>
    <x:tableColumn id="4" name="Manufacturer"/>
    <x:tableColumn id="5" name="MPN_or_spec"/>
    <x:tableColumn id="6" name="Required_qty_4"/>
    <x:tableColumn id="7" name="Required_qty_10"/>
    <x:tableColumn id="8" name="Required_qty_20"/>
    <x:tableColumn id="9" name="Preferred_channel"/>
    <x:tableColumn id="10" name="Quote_date"/>
    <x:tableColumn id="11" name="Supplier"/>
    <x:tableColumn id="12" name="URL"/>
    <x:tableColumn id="13" name="MOQ"/>
    <x:tableColumn id="14" name="Lead_time_days"/>
    <x:tableColumn id="15" name="Stock_claim"/>
    <x:tableColumn id="16" name="Traceability_required"/>
    <x:tableColumn id="17" name="Sample_required"/>
    <x:tableColumn id="18" name="Status"/>
    <x:tableColumn id="19" name="Blocking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stEstimateTable" displayName="CostEstimateTable" ref="A12:R136" headerRowCount="1" totalsRowCount="0" totalsRowShown="0">
  <x:tableColumns count="18">
    <x:tableColumn id="1" name="Procurement ID"/>
    <x:tableColumn id="2" name="Manufacturer"/>
    <x:tableColumn id="3" name="MPN"/>
    <x:tableColumn id="4" name="Category"/>
    <x:tableColumn id="5" name="Unit price, RUB"/>
    <x:tableColumn id="6" name="Price basis"/>
    <x:tableColumn id="7" name="Displayed source price"/>
    <x:tableColumn id="8" name="Currency"/>
    <x:tableColumn id="9" name="Source URL"/>
    <x:tableColumn id="10" name="Checked on"/>
    <x:tableColumn id="11" name="Confidence"/>
    <x:tableColumn id="12" name="Qty 4"/>
    <x:tableColumn id="13" name="Cost 4, RUB"/>
    <x:tableColumn id="14" name="Qty 10"/>
    <x:tableColumn id="15" name="Cost 10, RUB"/>
    <x:tableColumn id="16" name="Qty 20"/>
    <x:tableColumn id="17" name="Cost 20, RUB"/>
    <x:tableColumn id="18" name="Estimate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6f6539921fd42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1b3c1d3e9434c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2659db785274d6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0c0f8a011c44450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52" hidden="0" customWidth="1"/>
    <x:col min="3" max="3" width="58" hidden="0" customWidth="1"/>
    <x:col min="4" max="4" width="22" hidden="0" customWidth="1"/>
    <x:col min="5" max="5" width="22" hidden="0" customWidth="1"/>
    <x:col min="6" max="6" width="22" hidden="0" customWidth="1"/>
  </x:cols>
  <x:sheetData>
    <x:row r="2">
      <x:c r="A2" s="18" t="str">
        <x:v>Dioneya EVT-PRE-20 Rev.A production BOM</x:v>
      </x:c>
      <x:c r="B2" s="18"/>
      <x:c r="C2" s="18"/>
      <x:c r="D2" s="18"/>
      <x:c r="E2" s="18"/>
      <x:c r="F2" s="18"/>
    </x:row>
    <x:row r="3">
      <x:c r="A3" s="19"/>
      <x:c r="B3" s="19"/>
      <x:c r="C3" s="19"/>
      <x:c r="D3" s="19"/>
      <x:c r="E3" s="19"/>
      <x:c r="F3" s="19"/>
    </x:row>
    <x:row r="5" ht="32" customHeight="1">
      <x:c r="A5" s="24" t="str">
        <x:v>Lot stations</x:v>
      </x:c>
      <x:c r="B5" s="24" t="str">
        <x:v>PCB-MAIN PCBA</x:v>
      </x:c>
      <x:c r="C5" s="24" t="str">
        <x:v>PCB-PWR PCBA</x:v>
      </x:c>
      <x:c r="D5" s="24" t="str">
        <x:v>PCB-MIC PCBA</x:v>
      </x:c>
      <x:c r="E5" s="24" t="str">
        <x:v>T5838 microphones</x:v>
      </x:c>
      <x:c r="F5" s="24" t="str">
        <x:v>Vacuum-cast housings</x:v>
      </x:c>
    </x:row>
    <x:row r="6">
      <x:c r="A6" s="27" t="n">
        <x:v>4</x:v>
      </x:c>
      <x:c r="B6" s="28" t="n">
        <x:f>SUMIF('Engineering BOM'!$A$2:$A$296,"ASM-MAIN",'Engineering BOM'!$J$2:$J$296)</x:f>
        <x:v>4</x:v>
      </x:c>
      <x:c r="C6" s="28" t="n">
        <x:f>SUMIF('Engineering BOM'!$A$2:$A$296,"ASM-PWR",'Engineering BOM'!$J$2:$J$296)</x:f>
        <x:v>4</x:v>
      </x:c>
      <x:c r="D6" s="28" t="n">
        <x:f>SUMIF('Engineering BOM'!$A$2:$A$296,"ASM-MIC",'Engineering BOM'!$J$2:$J$296)</x:f>
        <x:v>16</x:v>
      </x:c>
      <x:c r="E6" s="28" t="n">
        <x:f>SUMIF('Engineering BOM'!$A$2:$A$296,"MK1",'Engineering BOM'!$J$2:$J$296)</x:f>
        <x:v>16</x:v>
      </x:c>
      <x:c r="F6" s="29" t="n">
        <x:f>SUMIF('Engineering BOM'!$A$2:$A$296,"HSG-VC",'Engineering BOM'!$J$2:$J$296)</x:f>
        <x:v>4</x:v>
      </x:c>
    </x:row>
    <x:row r="7">
      <x:c r="A7" s="30" t="n">
        <x:v>10</x:v>
      </x:c>
      <x:c r="B7" s="31" t="n">
        <x:f>SUMIF('Engineering BOM'!$A$2:$A$296,"ASM-MAIN",'Engineering BOM'!$M$2:$M$296)</x:f>
        <x:v>10</x:v>
      </x:c>
      <x:c r="C7" s="31" t="n">
        <x:f>SUMIF('Engineering BOM'!$A$2:$A$296,"ASM-PWR",'Engineering BOM'!$M$2:$M$296)</x:f>
        <x:v>10</x:v>
      </x:c>
      <x:c r="D7" s="31" t="n">
        <x:f>SUMIF('Engineering BOM'!$A$2:$A$296,"ASM-MIC",'Engineering BOM'!$M$2:$M$296)</x:f>
        <x:v>40</x:v>
      </x:c>
      <x:c r="E7" s="31" t="n">
        <x:f>SUMIF('Engineering BOM'!$A$2:$A$296,"MK1",'Engineering BOM'!$M$2:$M$296)</x:f>
        <x:v>40</x:v>
      </x:c>
      <x:c r="F7" s="32" t="n">
        <x:f>SUMIF('Engineering BOM'!$A$2:$A$296,"HSG-VC",'Engineering BOM'!$M$2:$M$296)</x:f>
        <x:v>10</x:v>
      </x:c>
    </x:row>
    <x:row r="8">
      <x:c r="A8" s="93" t="n">
        <x:v>20</x:v>
      </x:c>
      <x:c r="B8" s="94" t="n">
        <x:f>SUMIF('Engineering BOM'!$A$2:$A$296,"ASM-MAIN",'Engineering BOM'!$P$2:$P$296)</x:f>
        <x:v>20</x:v>
      </x:c>
      <x:c r="C8" s="94" t="n">
        <x:f>SUMIF('Engineering BOM'!$A$2:$A$296,"ASM-PWR",'Engineering BOM'!$P$2:$P$296)</x:f>
        <x:v>20</x:v>
      </x:c>
      <x:c r="D8" s="94" t="n">
        <x:f>SUMIF('Engineering BOM'!$A$2:$A$296,"ASM-MIC",'Engineering BOM'!$P$2:$P$296)</x:f>
        <x:v>80</x:v>
      </x:c>
      <x:c r="E8" s="94" t="n">
        <x:f>SUMIF('Engineering BOM'!$A$2:$A$296,"MK1",'Engineering BOM'!$P$2:$P$296)</x:f>
        <x:v>80</x:v>
      </x:c>
      <x:c r="F8" s="95" t="n">
        <x:f>SUMIF('Engineering BOM'!$A$2:$A$296,"HSG-VC",'Engineering BOM'!$P$2:$P$296)</x:f>
        <x:v>20</x:v>
      </x:c>
    </x:row>
    <x:row r="9" ht="20" customHeight="1">
      <x:c r="A9" s="101" t="str">
        <x:v>Selected scenario</x:v>
      </x:c>
      <x:c r="B9" s="102" t="str">
        <x:v>EVT-20</x:v>
      </x:c>
      <x:c r="C9" s="102" t="str">
        <x:v>20 stations</x:v>
      </x:c>
      <x:c r="D9" s="102" t="str">
        <x:v>DIO-EVT-001..020</x:v>
      </x:c>
      <x:c r="E9" s="102" t="str">
        <x:v>Purchase gate</x:v>
      </x:c>
      <x:c r="F9" s="106" t="str">
        <x:v>BLOCKED</x:v>
      </x:c>
    </x:row>
    <x:row r="11">
      <x:c r="A11" s="37" t="str">
        <x:v>Control</x:v>
      </x:c>
      <x:c r="B11" s="37" t="str">
        <x:v>Status</x:v>
      </x:c>
    </x:row>
    <x:row r="12">
      <x:c r="A12" s="38" t="str">
        <x:v>Source commit</x:v>
      </x:c>
      <x:c r="B12" s="38" t="str">
        <x:v>cf9ee11a9491</x:v>
      </x:c>
    </x:row>
    <x:row r="13">
      <x:c r="A13" s="38" t="str">
        <x:v>Engineering BOM rows</x:v>
      </x:c>
      <x:c r="B13" s="39" t="n">
        <x:v>295</x:v>
      </x:c>
    </x:row>
    <x:row r="14">
      <x:c r="A14" s="38" t="str">
        <x:v>Procurement roll-up rows</x:v>
      </x:c>
      <x:c r="B14" s="39" t="n">
        <x:v>124</x:v>
      </x:c>
    </x:row>
    <x:row r="15">
      <x:c r="A15" s="38" t="str">
        <x:v>QG-1</x:v>
      </x:c>
      <x:c r="B15" s="38" t="str">
        <x:v>PASS</x:v>
      </x:c>
    </x:row>
    <x:row r="16">
      <x:c r="A16" s="38" t="str">
        <x:v>QG-2 production release</x:v>
      </x:c>
      <x:c r="B16" s="41" t="str">
        <x:v>BLOCKED</x:v>
      </x:c>
    </x:row>
    <x:row r="17">
      <x:c r="A17" s="201" t="str">
        <x:v>Board procurement basis</x:v>
      </x:c>
      <x:c r="B17" s="201" t="str">
        <x:v>PRIMARY: full PCBA; ALT: bare PCB quotation only; 2 spare PCB-MAIN / PCB-PWR / PCB-MIC in either track</x:v>
      </x:c>
      <x:c r="C17" s="201"/>
      <x:c r="D17" s="201"/>
      <x:c r="E17" s="201"/>
      <x:c r="F17" s="201"/>
    </x:row>
    <x:row r="19">
      <x:c r="A19" s="42" t="str">
        <x:v>Open production-release blockers</x:v>
      </x:c>
    </x:row>
    <x:row r="20">
      <x:c r="A20" s="44" t="str">
        <x:v>Blocker</x:v>
      </x:c>
      <x:c r="B20" s="44" t="str">
        <x:v>Affected items</x:v>
      </x:c>
      <x:c r="C20" s="44" t="str">
        <x:v>Required closure evidence</x:v>
      </x:c>
    </x:row>
    <x:row r="21" ht="24" hidden="0" customHeight="1">
      <x:c r="A21" s="65" t="str">
        <x:v>System physical qualification</x:v>
      </x:c>
      <x:c r="B21" s="66" t="str">
        <x:v>BAT1, PV1, MPPT1, MPPT-TEMP, ANT-CELL, ANT-GNSS, ANT-LORA, RF-PIGTAIL</x:v>
      </x:c>
      <x:c r="C21" s="67" t="str">
        <x:v>Complete assembly/EOL/EVT physical evidence and supplier quotes; no separate pre-order qualification unit or receiving hold</x:v>
      </x:c>
    </x:row>
    <x:row r="22">
      <x:c r="A22" s="68" t="str">
        <x:v>PCB and assembly release</x:v>
      </x:c>
      <x:c r="B22" s="69" t="str">
        <x:v>ASM-MAIN, PCB-MAIN, ASM-PWR, PCB-PWR, ASM-MIC, PCB-MIC</x:v>
      </x:c>
      <x:c r="C22" s="70" t="str">
        <x:v>Complete routing, DRC, Review B, CAM/DFM and supplier release</x:v>
      </x:c>
    </x:row>
    <x:row r="23">
      <x:c r="A23" s="71" t="str">
        <x:v>Input protection and supplier release</x:v>
      </x:c>
      <x:c r="B23" s="72" t="str">
        <x:v>PWR-TVS-01, PWR-FUSE-01, HARNESS, HSG-VC</x:v>
      </x:c>
      <x:c r="C23" s="73" t="str">
        <x:v>Close the remaining 16/20 PCB-PWR physical tests plus harness and housing supplier/manufacturing release</x:v>
      </x:c>
    </x:row>
    <x:row r="25">
      <x:c r="A25" s="76" t="str">
        <x:v>Deferred physical EVT</x:v>
      </x:c>
      <x:c r="B25" s="76" t="str">
        <x:v>Operator, physical SIM-cycle and 24-hour evidence is collected after station assembly. It does not replace PCB Review B or strict BOM QG-2.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24" hidden="0" customWidth="1"/>
    <x:col min="22" max="22" width="24" hidden="0" customWidth="1"/>
    <x:col min="23" max="23" width="24" hidden="0" customWidth="1"/>
    <x:col min="24" max="24" width="38" hidden="0" customWidth="1"/>
    <x:col min="25" max="25" width="38" hidden="0" customWidth="1"/>
  </x:cols>
  <x:sheetData>
    <x:row r="1" ht="34" customHeight="1">
      <x:c r="A1" s="11" t="str">
        <x:v>Procurement_ID</x:v>
      </x:c>
      <x:c r="B1" s="12" t="str">
        <x:v>Assemblies</x:v>
      </x:c>
      <x:c r="C1" s="12" t="str">
        <x:v>Item_IDs</x:v>
      </x:c>
      <x:c r="D1" s="12" t="str">
        <x:v>RefDes</x:v>
      </x:c>
      <x:c r="E1" s="12" t="str">
        <x:v>Category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Value</x:v>
      </x:c>
      <x:c r="J1" s="12" t="str">
        <x:v>Variant</x:v>
      </x:c>
      <x:c r="K1" s="12" t="str">
        <x:v>Population</x:v>
      </x:c>
      <x:c r="L1" s="12" t="str">
        <x:v>Qty_4</x:v>
      </x:c>
      <x:c r="M1" s="12" t="str">
        <x:v>Spares_4</x:v>
      </x:c>
      <x:c r="N1" s="12" t="str">
        <x:v>Procure_qty_4</x:v>
      </x:c>
      <x:c r="O1" s="12" t="str">
        <x:v>Qty_10</x:v>
      </x:c>
      <x:c r="P1" s="12" t="str">
        <x:v>Spares_10</x:v>
      </x:c>
      <x:c r="Q1" s="12" t="str">
        <x:v>Procure_qty_10</x:v>
      </x:c>
      <x:c r="R1" s="12" t="str">
        <x:v>Qty_20</x:v>
      </x:c>
      <x:c r="S1" s="12" t="str">
        <x:v>Spares_20</x:v>
      </x:c>
      <x:c r="T1" s="12" t="str">
        <x:v>Procure_qty_20</x:v>
      </x:c>
      <x:c r="U1" s="12" t="str">
        <x:v>Spare_policy</x:v>
      </x:c>
      <x:c r="V1" s="12" t="str">
        <x:v>BOM_disposition</x:v>
      </x:c>
      <x:c r="W1" s="12" t="str">
        <x:v>Status</x:v>
      </x:c>
      <x:c r="X1" s="12" t="str">
        <x:v>China_source_policy</x:v>
      </x:c>
      <x:c r="Y1" s="13" t="str">
        <x:v>Incoming_control</x:v>
      </x:c>
    </x:row>
    <x:row r="2">
      <x:c r="A2" s="2" t="str">
        <x:v>PR-001</x:v>
      </x:c>
      <x:c r="B2" s="14" t="str">
        <x:v>PCB-MAIN</x:v>
      </x:c>
      <x:c r="C2" s="14" t="str">
        <x:v>ASM-MAIN</x:v>
      </x:c>
      <x:c r="D2" s="14" t="str">
        <x:v>-</x:v>
      </x:c>
      <x:c r="E2" s="2" t="str">
        <x:v>PCBA</x:v>
      </x:c>
      <x:c r="F2" s="2" t="str">
        <x:v>Contract manufacturer</x:v>
      </x:c>
      <x:c r="G2" s="2" t="str">
        <x:v>TBD</x:v>
      </x:c>
      <x:c r="H2" s="2" t="str">
        <x:v>6-layer PCBA</x:v>
      </x:c>
      <x:c r="I2" s="2" t="str"/>
      <x:c r="J2" s="2" t="str">
        <x:v>COMMON</x:v>
      </x:c>
      <x:c r="K2" s="2" t="str">
        <x:v>N/A</x:v>
      </x:c>
      <x:c r="L2" s="16" t="n">
        <x:v>4</x:v>
      </x:c>
      <x:c r="M2" s="16" t="n">
        <x:v>2</x:v>
      </x:c>
      <x:c r="N2" s="16" t="n">
        <x:v>6</x:v>
      </x:c>
      <x:c r="O2" s="16" t="n">
        <x:v>10</x:v>
      </x:c>
      <x:c r="P2" s="16" t="n">
        <x:v>2</x:v>
      </x:c>
      <x:c r="Q2" s="16" t="n">
        <x:v>12</x:v>
      </x:c>
      <x:c r="R2" s="16" t="n">
        <x:v>20</x:v>
      </x:c>
      <x:c r="S2" s="16" t="n">
        <x:v>2</x:v>
      </x:c>
      <x:c r="T2" s="16" t="n">
        <x:v>22</x:v>
      </x:c>
      <x:c r="U2" s="14" t="str">
        <x:v>FIXED_LOT_MIN</x:v>
      </x:c>
      <x:c r="V2" s="14" t="str">
        <x:v>BLOCKED_SUPPLIER_RELEASE</x:v>
      </x:c>
      <x:c r="W2" s="14" t="str">
        <x:v>RFQ_REQUIRED</x:v>
      </x:c>
      <x:c r="X2" s="17" t="str">
        <x:v>Direct CM quotation</x:v>
      </x:c>
      <x:c r="Y2" s="17" t="str">
        <x:v>AOI plus X-ray where hidden joints plus functional test</x:v>
      </x:c>
    </x:row>
    <x:row r="3">
      <x:c r="A3" s="2" t="str">
        <x:v>PR-002</x:v>
      </x:c>
      <x:c r="B3" s="14" t="str">
        <x:v>PCB-MIC</x:v>
      </x:c>
      <x:c r="C3" s="14" t="str">
        <x:v>ASM-MIC</x:v>
      </x:c>
      <x:c r="D3" s="14" t="str">
        <x:v>-</x:v>
      </x:c>
      <x:c r="E3" s="2" t="str">
        <x:v>PCBA</x:v>
      </x:c>
      <x:c r="F3" s="2" t="str">
        <x:v>Contract manufacturer</x:v>
      </x:c>
      <x:c r="G3" s="2" t="str">
        <x:v>TBD</x:v>
      </x:c>
      <x:c r="H3" s="2" t="str">
        <x:v>2-layer PCBA</x:v>
      </x:c>
      <x:c r="I3" s="2" t="str"/>
      <x:c r="J3" s="2" t="str">
        <x:v>COMMON</x:v>
      </x:c>
      <x:c r="K3" s="2" t="str">
        <x:v>N/A</x:v>
      </x:c>
      <x:c r="L3" s="16" t="n">
        <x:v>16</x:v>
      </x:c>
      <x:c r="M3" s="16" t="n">
        <x:v>2</x:v>
      </x:c>
      <x:c r="N3" s="16" t="n">
        <x:v>18</x:v>
      </x:c>
      <x:c r="O3" s="16" t="n">
        <x:v>40</x:v>
      </x:c>
      <x:c r="P3" s="16" t="n">
        <x:v>2</x:v>
      </x:c>
      <x:c r="Q3" s="16" t="n">
        <x:v>42</x:v>
      </x:c>
      <x:c r="R3" s="16" t="n">
        <x:v>80</x:v>
      </x:c>
      <x:c r="S3" s="16" t="n">
        <x:v>2</x:v>
      </x:c>
      <x:c r="T3" s="16" t="n">
        <x:v>82</x:v>
      </x:c>
      <x:c r="U3" s="14" t="str">
        <x:v>FIXED_LOT_MIN</x:v>
      </x:c>
      <x:c r="V3" s="14" t="str">
        <x:v>BLOCKED_SUPPLIER_RELEASE</x:v>
      </x:c>
      <x:c r="W3" s="14" t="str">
        <x:v>RFQ_REQUIRED</x:v>
      </x:c>
      <x:c r="X3" s="17" t="str">
        <x:v>Direct CM quotation</x:v>
      </x:c>
      <x:c r="Y3" s="17" t="str">
        <x:v>AOI acoustic port inspection channel functional test</x:v>
      </x:c>
    </x:row>
    <x:row r="4">
      <x:c r="A4" s="2" t="str">
        <x:v>PR-003</x:v>
      </x:c>
      <x:c r="B4" s="14" t="str">
        <x:v>PCB-PWR</x:v>
      </x:c>
      <x:c r="C4" s="14" t="str">
        <x:v>ASM-PWR</x:v>
      </x:c>
      <x:c r="D4" s="14" t="str">
        <x:v>-</x:v>
      </x:c>
      <x:c r="E4" s="2" t="str">
        <x:v>PCBA</x:v>
      </x:c>
      <x:c r="F4" s="2" t="str">
        <x:v>Contract manufacturer</x:v>
      </x:c>
      <x:c r="G4" s="2" t="str">
        <x:v>TBD</x:v>
      </x:c>
      <x:c r="H4" s="2" t="str">
        <x:v>4-layer PCBA; outer 2 oz target; inner 1 oz target; final stackup pending DFM</x:v>
      </x:c>
      <x:c r="I4" s="2" t="str"/>
      <x:c r="J4" s="2" t="str">
        <x:v>COMMON</x:v>
      </x:c>
      <x:c r="K4" s="2" t="str">
        <x:v>N/A</x:v>
      </x:c>
      <x:c r="L4" s="16" t="n">
        <x:v>4</x:v>
      </x:c>
      <x:c r="M4" s="16" t="n">
        <x:v>2</x:v>
      </x:c>
      <x:c r="N4" s="16" t="n">
        <x:v>6</x:v>
      </x:c>
      <x:c r="O4" s="16" t="n">
        <x:v>10</x:v>
      </x:c>
      <x:c r="P4" s="16" t="n">
        <x:v>2</x:v>
      </x:c>
      <x:c r="Q4" s="16" t="n">
        <x:v>12</x:v>
      </x:c>
      <x:c r="R4" s="16" t="n">
        <x:v>20</x:v>
      </x:c>
      <x:c r="S4" s="16" t="n">
        <x:v>2</x:v>
      </x:c>
      <x:c r="T4" s="16" t="n">
        <x:v>22</x:v>
      </x:c>
      <x:c r="U4" s="14" t="str">
        <x:v>FIXED_LOT_MIN</x:v>
      </x:c>
      <x:c r="V4" s="14" t="str">
        <x:v>BLOCKED_SUPPLIER_RELEASE</x:v>
      </x:c>
      <x:c r="W4" s="14" t="str">
        <x:v>RFQ_REQUIRED</x:v>
      </x:c>
      <x:c r="X4" s="17" t="str">
        <x:v>Direct CM quotation</x:v>
      </x:c>
      <x:c r="Y4" s="17" t="str">
        <x:v>AOI functional high-current thermal</x:v>
      </x:c>
    </x:row>
    <x:row r="5">
      <x:c r="A5" s="2" t="str">
        <x:v>PR-004</x:v>
      </x:c>
      <x:c r="B5" s="14" t="str">
        <x:v>SYSTEM</x:v>
      </x:c>
      <x:c r="C5" s="14" t="str">
        <x:v>HARNESS</x:v>
      </x:c>
      <x:c r="D5" s="14" t="str">
        <x:v>-</x:v>
      </x:c>
      <x:c r="E5" s="2" t="str">
        <x:v>Harness</x:v>
      </x:c>
      <x:c r="F5" s="2" t="str">
        <x:v>TBD</x:v>
      </x:c>
      <x:c r="G5" s="2" t="str">
        <x:v>TBD</x:v>
      </x:c>
      <x:c r="H5" s="2" t="str">
        <x:v>Assembly</x:v>
      </x:c>
      <x:c r="I5" s="2" t="str"/>
      <x:c r="J5" s="2" t="str">
        <x:v>COMMON</x:v>
      </x:c>
      <x:c r="K5" s="2" t="str">
        <x:v>FITTED</x:v>
      </x:c>
      <x:c r="L5" s="16" t="n">
        <x:v>4</x:v>
      </x:c>
      <x:c r="M5" s="16" t="n">
        <x:v>1</x:v>
      </x:c>
      <x:c r="N5" s="16" t="n">
        <x:v>5</x:v>
      </x:c>
      <x:c r="O5" s="16" t="n">
        <x:v>10</x:v>
      </x:c>
      <x:c r="P5" s="16" t="n">
        <x:v>1</x:v>
      </x:c>
      <x:c r="Q5" s="16" t="n">
        <x:v>11</x:v>
      </x:c>
      <x:c r="R5" s="16" t="n">
        <x:v>20</x:v>
      </x:c>
      <x:c r="S5" s="16" t="n">
        <x:v>2</x:v>
      </x:c>
      <x:c r="T5" s="16" t="n">
        <x:v>22</x:v>
      </x:c>
      <x:c r="U5" s="14" t="str">
        <x:v>SCALE_CEIL_FROM_20_BASELINE</x:v>
      </x:c>
      <x:c r="V5" s="14" t="str">
        <x:v>BLOCKED_SELECTION</x:v>
      </x:c>
      <x:c r="W5" s="14" t="str">
        <x:v>OPEN_MECHANICAL_LENGTH_FREEZE</x:v>
      </x:c>
      <x:c r="X5" s="17" t="str">
        <x:v>Qualified harness factory</x:v>
      </x:c>
      <x:c r="Y5" s="17" t="str">
        <x:v>100 percent continuity polarity pull sample</x:v>
      </x:c>
    </x:row>
    <x:row r="6">
      <x:c r="A6" s="2" t="str">
        <x:v>PR-005</x:v>
      </x:c>
      <x:c r="B6" s="14" t="str">
        <x:v>SYSTEM</x:v>
      </x:c>
      <x:c r="C6" s="14" t="str">
        <x:v>HSG-3D</x:v>
      </x:c>
      <x:c r="D6" s="14" t="str">
        <x:v>HSG1</x:v>
      </x:c>
      <x:c r="E6" s="2" t="str">
        <x:v>Housing</x:v>
      </x:c>
      <x:c r="F6" s="2" t="str">
        <x:v>TBD</x:v>
      </x:c>
      <x:c r="G6" s="2" t="str">
        <x:v>TBD</x:v>
      </x:c>
      <x:c r="H6" s="2" t="str">
        <x:v>Assembly</x:v>
      </x:c>
      <x:c r="I6" s="2" t="str"/>
      <x:c r="J6" s="2" t="str">
        <x:v>THREE_D_PRINT_FALLBACK</x:v>
      </x:c>
      <x:c r="K6" s="2" t="str">
        <x:v>N/A</x:v>
      </x:c>
      <x:c r="L6" s="16" t="n">
        <x:v>0</x:v>
      </x:c>
      <x:c r="M6" s="16" t="n">
        <x:v>0</x:v>
      </x:c>
      <x:c r="N6" s="16" t="n">
        <x:v>0</x:v>
      </x:c>
      <x:c r="O6" s="16" t="n">
        <x:v>0</x:v>
      </x:c>
      <x:c r="P6" s="16" t="n">
        <x:v>0</x:v>
      </x:c>
      <x:c r="Q6" s="16" t="n">
        <x:v>0</x:v>
      </x:c>
      <x:c r="R6" s="16" t="n">
        <x:v>0</x:v>
      </x:c>
      <x:c r="S6" s="16" t="n">
        <x:v>0</x:v>
      </x:c>
      <x:c r="T6" s="16" t="n">
        <x:v>0</x:v>
      </x:c>
      <x:c r="U6" s="14" t="str">
        <x:v>NONE</x:v>
      </x:c>
      <x:c r="V6" s="14" t="str">
        <x:v>CONDITIONAL_NOT_RELEASED</x:v>
      </x:c>
      <x:c r="W6" s="14" t="str">
        <x:v>SOURCE_PACKAGE_REQUIRED</x:v>
      </x:c>
      <x:c r="X6" s="17" t="str">
        <x:v>Qualified print supplier or controlled FlashForge 5M Pro process</x:v>
      </x:c>
      <x:c r="Y6" s="17" t="str">
        <x:v>Engineering sample dimensions material finish leak fit acoustic and RF checks</x:v>
      </x:c>
    </x:row>
    <x:row r="7">
      <x:c r="A7" s="2" t="str">
        <x:v>PR-006</x:v>
      </x:c>
      <x:c r="B7" s="14" t="str">
        <x:v>SYSTEM</x:v>
      </x:c>
      <x:c r="C7" s="14" t="str">
        <x:v>HSG-IM</x:v>
      </x:c>
      <x:c r="D7" s="14" t="str">
        <x:v>HSG1</x:v>
      </x:c>
      <x:c r="E7" s="2" t="str">
        <x:v>Housing</x:v>
      </x:c>
      <x:c r="F7" s="2" t="str">
        <x:v>TBD</x:v>
      </x:c>
      <x:c r="G7" s="2" t="str">
        <x:v>TBD</x:v>
      </x:c>
      <x:c r="H7" s="2" t="str">
        <x:v>Source_data</x:v>
      </x:c>
      <x:c r="I7" s="2" t="str"/>
      <x:c r="J7" s="2" t="str">
        <x:v>INJECTION_MOLDING_FUTURE</x:v>
      </x:c>
      <x:c r="K7" s="2" t="str">
        <x:v>N/A</x:v>
      </x:c>
      <x:c r="L7" s="16" t="n">
        <x:v>0</x:v>
      </x:c>
      <x:c r="M7" s="16" t="n">
        <x:v>0</x:v>
      </x:c>
      <x:c r="N7" s="16" t="n">
        <x:v>0</x:v>
      </x:c>
      <x:c r="O7" s="16" t="n">
        <x:v>0</x:v>
      </x:c>
      <x:c r="P7" s="16" t="n">
        <x:v>0</x:v>
      </x:c>
      <x:c r="Q7" s="16" t="n">
        <x:v>0</x:v>
      </x:c>
      <x:c r="R7" s="16" t="n">
        <x:v>0</x:v>
      </x:c>
      <x:c r="S7" s="16" t="n">
        <x:v>0</x:v>
      </x:c>
      <x:c r="T7" s="16" t="n">
        <x:v>0</x:v>
      </x:c>
      <x:c r="U7" s="14" t="str">
        <x:v>NONE</x:v>
      </x:c>
      <x:c r="V7" s="14" t="str">
        <x:v>CONDITIONAL_NOT_RELEASED</x:v>
      </x:c>
      <x:c r="W7" s="14" t="str">
        <x:v>SOURCE_PACKAGE_REQUIRED</x:v>
      </x:c>
      <x:c r="X7" s="17" t="str">
        <x:v>Qualified mold manufacturer for DFM quotation</x:v>
      </x:c>
      <x:c r="Y7" s="17" t="str">
        <x:v>Source audit wall draft ribs bosses parting ejector shrink material and tooling concept</x:v>
      </x:c>
    </x:row>
    <x:row r="8">
      <x:c r="A8" s="2" t="str">
        <x:v>PR-007</x:v>
      </x:c>
      <x:c r="B8" s="14" t="str">
        <x:v>SYSTEM</x:v>
      </x:c>
      <x:c r="C8" s="14" t="str">
        <x:v>HSG-VC</x:v>
      </x:c>
      <x:c r="D8" s="14" t="str">
        <x:v>HSG1</x:v>
      </x:c>
      <x:c r="E8" s="2" t="str">
        <x:v>Housing</x:v>
      </x:c>
      <x:c r="F8" s="2" t="str">
        <x:v>TBD</x:v>
      </x:c>
      <x:c r="G8" s="2" t="str">
        <x:v>TBD</x:v>
      </x:c>
      <x:c r="H8" s="2" t="str">
        <x:v>Assembly</x:v>
      </x:c>
      <x:c r="I8" s="2" t="str"/>
      <x:c r="J8" s="2" t="str">
        <x:v>VACUUM_CASTING_PRIMARY</x:v>
      </x:c>
      <x:c r="K8" s="2" t="str">
        <x:v>N/A</x:v>
      </x:c>
      <x:c r="L8" s="16" t="n">
        <x:v>4</x:v>
      </x:c>
      <x:c r="M8" s="16" t="n">
        <x:v>0</x:v>
      </x:c>
      <x:c r="N8" s="16" t="n">
        <x:v>4</x:v>
      </x:c>
      <x:c r="O8" s="16" t="n">
        <x:v>10</x:v>
      </x:c>
      <x:c r="P8" s="16" t="n">
        <x:v>0</x:v>
      </x:c>
      <x:c r="Q8" s="16" t="n">
        <x:v>10</x:v>
      </x:c>
      <x:c r="R8" s="16" t="n">
        <x:v>20</x:v>
      </x:c>
      <x:c r="S8" s="16" t="n">
        <x:v>0</x:v>
      </x:c>
      <x:c r="T8" s="16" t="n">
        <x:v>20</x:v>
      </x:c>
      <x:c r="U8" s="14" t="str">
        <x:v>NONE</x:v>
      </x:c>
      <x:c r="V8" s="14" t="str">
        <x:v>CONDITIONAL_NOT_RELEASED</x:v>
      </x:c>
      <x:c r="W8" s="14" t="str">
        <x:v>RFQ_REQUIRED</x:v>
      </x:c>
      <x:c r="X8" s="17" t="str">
        <x:v>Qualified vacuum casting manufacturer</x:v>
      </x:c>
      <x:c r="Y8" s="17" t="str">
        <x:v>FAI dimensions material cure finish inserts leak fit acoustic and RF checks</x:v>
      </x:c>
    </x:row>
    <x:row r="9">
      <x:c r="A9" s="2" t="str">
        <x:v>PR-008</x:v>
      </x:c>
      <x:c r="B9" s="14" t="str">
        <x:v>PCB-MAIN</x:v>
      </x:c>
      <x:c r="C9" s="14" t="str">
        <x:v>PCB-MAIN</x:v>
      </x:c>
      <x:c r="D9" s="14" t="str">
        <x:v>-</x:v>
      </x:c>
      <x:c r="E9" s="2" t="str">
        <x:v>Bare PCB</x:v>
      </x:c>
      <x:c r="F9" s="2" t="str">
        <x:v>Qualified PCB fab</x:v>
      </x:c>
      <x:c r="G9" s="2" t="str">
        <x:v>TBD</x:v>
      </x:c>
      <x:c r="H9" s="2" t="str">
        <x:v>6-layer FR-4 110x75x1.6 mm</x:v>
      </x:c>
      <x:c r="I9" s="2" t="str"/>
      <x:c r="J9" s="2" t="str">
        <x:v>COMMON</x:v>
      </x:c>
      <x:c r="K9" s="2" t="str">
        <x:v>N/A</x:v>
      </x:c>
      <x:c r="L9" s="16" t="n">
        <x:v>4</x:v>
      </x:c>
      <x:c r="M9" s="16" t="n">
        <x:v>2</x:v>
      </x:c>
      <x:c r="N9" s="16" t="n">
        <x:v>6</x:v>
      </x:c>
      <x:c r="O9" s="16" t="n">
        <x:v>10</x:v>
      </x:c>
      <x:c r="P9" s="16" t="n">
        <x:v>2</x:v>
      </x:c>
      <x:c r="Q9" s="16" t="n">
        <x:v>12</x:v>
      </x:c>
      <x:c r="R9" s="16" t="n">
        <x:v>20</x:v>
      </x:c>
      <x:c r="S9" s="16" t="n">
        <x:v>2</x:v>
      </x:c>
      <x:c r="T9" s="16" t="n">
        <x:v>22</x:v>
      </x:c>
      <x:c r="U9" s="14" t="str">
        <x:v>FIXED_LOT_MIN</x:v>
      </x:c>
      <x:c r="V9" s="14" t="str">
        <x:v>BLOCKED_SUPPLIER_RELEASE</x:v>
      </x:c>
      <x:c r="W9" s="14" t="str">
        <x:v>RFQ_REQUIRED</x:v>
      </x:c>
      <x:c r="X9" s="17" t="str">
        <x:v>Two independent fab quotations</x:v>
      </x:c>
      <x:c r="Y9" s="17" t="str">
        <x:v>Coupon dimensions finish stackup impedance and netlist test</x:v>
      </x:c>
    </x:row>
    <x:row r="10">
      <x:c r="A10" s="2" t="str">
        <x:v>PR-009</x:v>
      </x:c>
      <x:c r="B10" s="14" t="str">
        <x:v>PCB-MIC</x:v>
      </x:c>
      <x:c r="C10" s="14" t="str">
        <x:v>PCB-MIC</x:v>
      </x:c>
      <x:c r="D10" s="14" t="str">
        <x:v>-</x:v>
      </x:c>
      <x:c r="E10" s="2" t="str">
        <x:v>Bare PCB</x:v>
      </x:c>
      <x:c r="F10" s="2" t="str">
        <x:v>Qualified PCB fab</x:v>
      </x:c>
      <x:c r="G10" s="2" t="str">
        <x:v>TBD</x:v>
      </x:c>
      <x:c r="H10" s="2" t="str">
        <x:v>2-layer FR-4</x:v>
      </x:c>
      <x:c r="I10" s="2" t="str"/>
      <x:c r="J10" s="2" t="str">
        <x:v>COMMON</x:v>
      </x:c>
      <x:c r="K10" s="2" t="str">
        <x:v>N/A</x:v>
      </x:c>
      <x:c r="L10" s="16" t="n">
        <x:v>16</x:v>
      </x:c>
      <x:c r="M10" s="16" t="n">
        <x:v>2</x:v>
      </x:c>
      <x:c r="N10" s="16" t="n">
        <x:v>18</x:v>
      </x:c>
      <x:c r="O10" s="16" t="n">
        <x:v>40</x:v>
      </x:c>
      <x:c r="P10" s="16" t="n">
        <x:v>2</x:v>
      </x:c>
      <x:c r="Q10" s="16" t="n">
        <x:v>42</x:v>
      </x:c>
      <x:c r="R10" s="16" t="n">
        <x:v>80</x:v>
      </x:c>
      <x:c r="S10" s="16" t="n">
        <x:v>2</x:v>
      </x:c>
      <x:c r="T10" s="16" t="n">
        <x:v>82</x:v>
      </x:c>
      <x:c r="U10" s="14" t="str">
        <x:v>FIXED_LOT_MIN</x:v>
      </x:c>
      <x:c r="V10" s="14" t="str">
        <x:v>BLOCKED_SUPPLIER_RELEASE</x:v>
      </x:c>
      <x:c r="W10" s="14" t="str">
        <x:v>RFQ_REQUIRED</x:v>
      </x:c>
      <x:c r="X10" s="17" t="str">
        <x:v>Two independent fab quotations</x:v>
      </x:c>
      <x:c r="Y10" s="17" t="str">
        <x:v>Outline hole position finish netlist</x:v>
      </x:c>
    </x:row>
    <x:row r="11">
      <x:c r="A11" s="2" t="str">
        <x:v>PR-010</x:v>
      </x:c>
      <x:c r="B11" s="14" t="str">
        <x:v>PCB-PWR</x:v>
      </x:c>
      <x:c r="C11" s="14" t="str">
        <x:v>PCB-PWR</x:v>
      </x:c>
      <x:c r="D11" s="14" t="str">
        <x:v>-</x:v>
      </x:c>
      <x:c r="E11" s="2" t="str">
        <x:v>Bare PCB</x:v>
      </x:c>
      <x:c r="F11" s="2" t="str">
        <x:v>Qualified PCB fab</x:v>
      </x:c>
      <x:c r="G11" s="2" t="str">
        <x:v>TBD</x:v>
      </x:c>
      <x:c r="H11" s="2" t="str">
        <x:v>4-layer FR-4; outer 2 oz target; inner 1 oz target; final stackup pending DFM</x:v>
      </x:c>
      <x:c r="I11" s="2" t="str"/>
      <x:c r="J11" s="2" t="str">
        <x:v>COMMON</x:v>
      </x:c>
      <x:c r="K11" s="2" t="str">
        <x:v>N/A</x:v>
      </x:c>
      <x:c r="L11" s="16" t="n">
        <x:v>4</x:v>
      </x:c>
      <x:c r="M11" s="16" t="n">
        <x:v>2</x:v>
      </x:c>
      <x:c r="N11" s="16" t="n">
        <x:v>6</x:v>
      </x:c>
      <x:c r="O11" s="16" t="n">
        <x:v>10</x:v>
      </x:c>
      <x:c r="P11" s="16" t="n">
        <x:v>2</x:v>
      </x:c>
      <x:c r="Q11" s="16" t="n">
        <x:v>12</x:v>
      </x:c>
      <x:c r="R11" s="16" t="n">
        <x:v>20</x:v>
      </x:c>
      <x:c r="S11" s="16" t="n">
        <x:v>2</x:v>
      </x:c>
      <x:c r="T11" s="16" t="n">
        <x:v>22</x:v>
      </x:c>
      <x:c r="U11" s="14" t="str">
        <x:v>FIXED_LOT_MIN</x:v>
      </x:c>
      <x:c r="V11" s="14" t="str">
        <x:v>BLOCKED_SUPPLIER_RELEASE</x:v>
      </x:c>
      <x:c r="W11" s="14" t="str">
        <x:v>RFQ_REQUIRED</x:v>
      </x:c>
      <x:c r="X11" s="17" t="str">
        <x:v>Two independent fab quotations</x:v>
      </x:c>
      <x:c r="Y11" s="17" t="str">
        <x:v>Copper thickness netlist high-current and Kelvin review</x:v>
      </x:c>
    </x:row>
    <x:row r="12">
      <x:c r="A12" s="2" t="str">
        <x:v>PR-011</x:v>
      </x:c>
      <x:c r="B12" s="14" t="str">
        <x:v>PCB-PWR</x:v>
      </x:c>
      <x:c r="C12" s="14" t="str">
        <x:v>PWR-FUSE-01</x:v>
      </x:c>
      <x:c r="D12" s="14" t="str">
        <x:v>F1</x:v>
      </x:c>
      <x:c r="E12" s="2" t="str">
        <x:v>Protection</x:v>
      </x:c>
      <x:c r="F12" s="2" t="str">
        <x:v>Littelfuse</x:v>
      </x:c>
      <x:c r="G12" s="2" t="str">
        <x:v>0451008.MRL</x:v>
      </x:c>
      <x:c r="H12" s="2" t="str">
        <x:v>Nano2_451_6.1x2.69mm</x:v>
      </x:c>
      <x:c r="I12" s="2" t="str"/>
      <x:c r="J12" s="2" t="str">
        <x:v>COMMON</x:v>
      </x:c>
      <x:c r="K12" s="2" t="str">
        <x:v>FITTED</x:v>
      </x:c>
      <x:c r="L12" s="16" t="n">
        <x:v>4</x:v>
      </x:c>
      <x:c r="M12" s="16" t="n">
        <x:v>2</x:v>
      </x:c>
      <x:c r="N12" s="16" t="n">
        <x:v>6</x:v>
      </x:c>
      <x:c r="O12" s="16" t="n">
        <x:v>10</x:v>
      </x:c>
      <x:c r="P12" s="16" t="n">
        <x:v>5</x:v>
      </x:c>
      <x:c r="Q12" s="16" t="n">
        <x:v>15</x:v>
      </x:c>
      <x:c r="R12" s="16" t="n">
        <x:v>20</x:v>
      </x:c>
      <x:c r="S12" s="16" t="n">
        <x:v>10</x:v>
      </x:c>
      <x:c r="T12" s="16" t="n">
        <x:v>30</x:v>
      </x:c>
      <x:c r="U12" s="14" t="str">
        <x:v>SCALE_CEIL_FROM_20_BASELINE</x:v>
      </x:c>
      <x:c r="V12" s="14" t="str">
        <x:v>CONTROLLED_PENDING_VERIFICATION</x:v>
      </x:c>
      <x:c r="W12" s="14" t="str">
        <x:v>CANDIDATE_SELECTED_FOR_EVT_QUALIFICATION_NATIVE_VALUE_ECO_APPLIED_REPEAT_EVIDENCE_PASS_PHYSICAL_QUALIFICATION_PENDING</x:v>
      </x:c>
      <x:c r="X12" s="17" t="str">
        <x:v>Authorized distributor</x:v>
      </x:c>
      <x:c r="Y12" s="17" t="str">
        <x:v>Marking continuity and controlled fault clearing</x:v>
      </x:c>
    </x:row>
    <x:row r="13">
      <x:c r="A13" s="2" t="str">
        <x:v>PR-012</x:v>
      </x:c>
      <x:c r="B13" s="14" t="str">
        <x:v>PCB-MAIN</x:v>
      </x:c>
      <x:c r="C13" s="14" t="str">
        <x:v>J-SIM1 | J-SIM2</x:v>
      </x:c>
      <x:c r="D13" s="14" t="str">
        <x:v>J6 | J7</x:v>
      </x:c>
      <x:c r="E13" s="2" t="str">
        <x:v>SIM</x:v>
      </x:c>
      <x:c r="F13" s="2" t="str">
        <x:v>TE Connectivity</x:v>
      </x:c>
      <x:c r="G13" s="2" t="str">
        <x:v>2336582-1</x:v>
      </x:c>
      <x:c r="H13" s="2" t="str">
        <x:v>Nano-SIM 4FF connector with DET</x:v>
      </x:c>
      <x:c r="I13" s="2" t="str"/>
      <x:c r="J13" s="2" t="str">
        <x:v>COMMON</x:v>
      </x:c>
      <x:c r="K13" s="2" t="str">
        <x:v>FITTED</x:v>
      </x:c>
      <x:c r="L13" s="16" t="n">
        <x:v>8</x:v>
      </x:c>
      <x:c r="M13" s="16" t="n">
        <x:v>2</x:v>
      </x:c>
      <x:c r="N13" s="16" t="n">
        <x:v>10</x:v>
      </x:c>
      <x:c r="O13" s="16" t="n">
        <x:v>20</x:v>
      </x:c>
      <x:c r="P13" s="16" t="n">
        <x:v>6</x:v>
      </x:c>
      <x:c r="Q13" s="16" t="n">
        <x:v>26</x:v>
      </x:c>
      <x:c r="R13" s="16" t="n">
        <x:v>40</x:v>
      </x:c>
      <x:c r="S13" s="16" t="n">
        <x:v>10</x:v>
      </x:c>
      <x:c r="T13" s="16" t="n">
        <x:v>50</x:v>
      </x:c>
      <x:c r="U13" s="14" t="str">
        <x:v>SCALE_CEIL_FROM_20_BASELINE</x:v>
      </x:c>
      <x:c r="V13" s="14" t="str">
        <x:v>CONTROLLED_PENDING_VERIFICATION</x:v>
      </x:c>
      <x:c r="W13" s="14" t="str">
        <x:v>TECHNICALLY_SELECTED_PROCUREMENT_RISK</x:v>
      </x:c>
      <x:c r="X13" s="17" t="str">
        <x:v>Approved connector vendor</x:v>
      </x:c>
      <x:c r="Y13" s="17" t="str">
        <x:v>Mating cycles card detect coplanarity and ESD</x:v>
      </x:c>
    </x:row>
    <x:row r="14">
      <x:c r="A14" s="2" t="str">
        <x:v>PR-013</x:v>
      </x:c>
      <x:c r="B14" s="14" t="str">
        <x:v>HARNESS-PWR-MAIN</x:v>
      </x:c>
      <x:c r="C14" s="14" t="str">
        <x:v>H-PWR-MAIN</x:v>
      </x:c>
      <x:c r="D14" s="14" t="str">
        <x:v>H_PWR_MAIN:A/B</x:v>
      </x:c>
      <x:c r="E14" s="2" t="str">
        <x:v>Housing</x:v>
      </x:c>
      <x:c r="F14" s="2" t="str">
        <x:v>Molex</x:v>
      </x:c>
      <x:c r="G14" s="2" t="str">
        <x:v>43025-1200</x:v>
      </x:c>
      <x:c r="H14" s="2" t="str">
        <x:v>Micro-Fit 3.0 12-circuit housing</x:v>
      </x:c>
      <x:c r="I14" s="2" t="str"/>
      <x:c r="J14" s="2" t="str">
        <x:v>COMMON</x:v>
      </x:c>
      <x:c r="K14" s="2" t="str">
        <x:v>FITTED</x:v>
      </x:c>
      <x:c r="L14" s="16" t="n">
        <x:v>8</x:v>
      </x:c>
      <x:c r="M14" s="16" t="n">
        <x:v>1</x:v>
      </x:c>
      <x:c r="N14" s="16" t="n">
        <x:v>9</x:v>
      </x:c>
      <x:c r="O14" s="16" t="n">
        <x:v>20</x:v>
      </x:c>
      <x:c r="P14" s="16" t="n">
        <x:v>2</x:v>
      </x:c>
      <x:c r="Q14" s="16" t="n">
        <x:v>22</x:v>
      </x:c>
      <x:c r="R14" s="16" t="n">
        <x:v>40</x:v>
      </x:c>
      <x:c r="S14" s="16" t="n">
        <x:v>4</x:v>
      </x:c>
      <x:c r="T14" s="16" t="n">
        <x:v>44</x:v>
      </x:c>
      <x:c r="U14" s="14" t="str">
        <x:v>SCALE_CEIL_FROM_20_BASELINE</x:v>
      </x:c>
      <x:c r="V14" s="14" t="str">
        <x:v>CONTROLLED_PENDING_VERIFICATION</x:v>
      </x:c>
      <x:c r="W14" s="14" t="str">
        <x:v>SELECTED_PENDING_MECHANICS_I2C_TEST</x:v>
      </x:c>
      <x:c r="X14" s="17" t="str">
        <x:v>Authorized or traceable tier-1 channel</x:v>
      </x:c>
      <x:c r="Y14" s="17" t="str">
        <x:v>Marking MPN package orientation electrical functional sample</x:v>
      </x:c>
    </x:row>
    <x:row r="15">
      <x:c r="A15" s="2" t="str">
        <x:v>PR-014</x:v>
      </x:c>
      <x:c r="B15" s="14" t="str">
        <x:v>HARNESS-PWR-MAIN</x:v>
      </x:c>
      <x:c r="C15" s="14" t="str">
        <x:v>T-PWR-MAIN-CTL</x:v>
      </x:c>
      <x:c r="D15" s="14" t="str">
        <x:v>H_PWR_MAIN control contacts</x:v>
      </x:c>
      <x:c r="E15" s="2" t="str">
        <x:v>Terminal</x:v>
      </x:c>
      <x:c r="F15" s="2" t="str">
        <x:v>Molex</x:v>
      </x:c>
      <x:c r="G15" s="2" t="str">
        <x:v>43030-0001</x:v>
      </x:c>
      <x:c r="H15" s="2" t="str">
        <x:v>Micro-Fit female crimp terminal 20-24 AWG class</x:v>
      </x:c>
      <x:c r="I15" s="2" t="str"/>
      <x:c r="J15" s="2" t="str">
        <x:v>COMMON</x:v>
      </x:c>
      <x:c r="K15" s="2" t="str">
        <x:v>FITTED</x:v>
      </x:c>
      <x:c r="L15" s="16" t="n">
        <x:v>48</x:v>
      </x:c>
      <x:c r="M15" s="16" t="n">
        <x:v>3</x:v>
      </x:c>
      <x:c r="N15" s="16" t="n">
        <x:v>51</x:v>
      </x:c>
      <x:c r="O15" s="16" t="n">
        <x:v>120</x:v>
      </x:c>
      <x:c r="P15" s="16" t="n">
        <x:v>6</x:v>
      </x:c>
      <x:c r="Q15" s="16" t="n">
        <x:v>126</x:v>
      </x:c>
      <x:c r="R15" s="16" t="n">
        <x:v>240</x:v>
      </x:c>
      <x:c r="S15" s="16" t="n">
        <x:v>12</x:v>
      </x:c>
      <x:c r="T15" s="16" t="n">
        <x:v>252</x:v>
      </x:c>
      <x:c r="U15" s="14" t="str">
        <x:v>SCALE_CEIL_FROM_20_BASELINE</x:v>
      </x:c>
      <x:c r="V15" s="14" t="str">
        <x:v>CONTROLLED_PENDING_VERIFICATION</x:v>
      </x:c>
      <x:c r="W15" s="14" t="str">
        <x:v>SELECTED_PENDING_I2C_PULL_TEST</x:v>
      </x:c>
      <x:c r="X15" s="17" t="str">
        <x:v>Authorized or traceable tier-1 channel</x:v>
      </x:c>
      <x:c r="Y15" s="17" t="str">
        <x:v>Marking MPN package orientation electrical functional sample</x:v>
      </x:c>
    </x:row>
    <x:row r="16">
      <x:c r="A16" s="2" t="str">
        <x:v>PR-015</x:v>
      </x:c>
      <x:c r="B16" s="14" t="str">
        <x:v>HARNESS-PWR-MAIN</x:v>
      </x:c>
      <x:c r="C16" s="14" t="str">
        <x:v>T-PWR-MAIN-PWR</x:v>
      </x:c>
      <x:c r="D16" s="14" t="str">
        <x:v>H_PWR_MAIN power contacts</x:v>
      </x:c>
      <x:c r="E16" s="2" t="str">
        <x:v>Terminal</x:v>
      </x:c>
      <x:c r="F16" s="2" t="str">
        <x:v>Molex</x:v>
      </x:c>
      <x:c r="G16" s="2" t="str">
        <x:v>43030-0038</x:v>
      </x:c>
      <x:c r="H16" s="2" t="str">
        <x:v>Micro-Fit female crimp terminal 18 AWG class</x:v>
      </x:c>
      <x:c r="I16" s="2" t="str"/>
      <x:c r="J16" s="2" t="str">
        <x:v>COMMON</x:v>
      </x:c>
      <x:c r="K16" s="2" t="str">
        <x:v>FITTED</x:v>
      </x:c>
      <x:c r="L16" s="16" t="n">
        <x:v>48</x:v>
      </x:c>
      <x:c r="M16" s="16" t="n">
        <x:v>3</x:v>
      </x:c>
      <x:c r="N16" s="16" t="n">
        <x:v>51</x:v>
      </x:c>
      <x:c r="O16" s="16" t="n">
        <x:v>120</x:v>
      </x:c>
      <x:c r="P16" s="16" t="n">
        <x:v>6</x:v>
      </x:c>
      <x:c r="Q16" s="16" t="n">
        <x:v>126</x:v>
      </x:c>
      <x:c r="R16" s="16" t="n">
        <x:v>240</x:v>
      </x:c>
      <x:c r="S16" s="16" t="n">
        <x:v>12</x:v>
      </x:c>
      <x:c r="T16" s="16" t="n">
        <x:v>252</x:v>
      </x:c>
      <x:c r="U16" s="14" t="str">
        <x:v>SCALE_CEIL_FROM_20_BASELINE</x:v>
      </x:c>
      <x:c r="V16" s="14" t="str">
        <x:v>CONTROLLED_PENDING_VERIFICATION</x:v>
      </x:c>
      <x:c r="W16" s="14" t="str">
        <x:v>SELECTED_PENDING_CURRENT_PULL_TEST</x:v>
      </x:c>
      <x:c r="X16" s="17" t="str">
        <x:v>Authorized or traceable tier-1 channel</x:v>
      </x:c>
      <x:c r="Y16" s="17" t="str">
        <x:v>Marking MPN package orientation electrical functional sample</x:v>
      </x:c>
    </x:row>
    <x:row r="17">
      <x:c r="A17" s="2" t="str">
        <x:v>PR-016</x:v>
      </x:c>
      <x:c r="B17" s="14" t="str">
        <x:v>PCB-PWR</x:v>
      </x:c>
      <x:c r="C17" s="14" t="str">
        <x:v>J-PWR-IN</x:v>
      </x:c>
      <x:c r="D17" s="14" t="str">
        <x:v>J1</x:v>
      </x:c>
      <x:c r="E17" s="2" t="str">
        <x:v>Connector</x:v>
      </x:c>
      <x:c r="F17" s="2" t="str">
        <x:v>Molex</x:v>
      </x:c>
      <x:c r="G17" s="2" t="str">
        <x:v>430450213</x:v>
      </x:c>
      <x:c r="H17" s="2" t="str">
        <x:v>2 positions</x:v>
      </x:c>
      <x:c r="I17" s="2" t="str"/>
      <x:c r="J17" s="2" t="str">
        <x:v>COMMON</x:v>
      </x:c>
      <x:c r="K17" s="2" t="str">
        <x:v>FITTED</x:v>
      </x:c>
      <x:c r="L17" s="16" t="n">
        <x:v>4</x:v>
      </x:c>
      <x:c r="M17" s="16" t="n">
        <x:v>1</x:v>
      </x:c>
      <x:c r="N17" s="16" t="n">
        <x:v>5</x:v>
      </x:c>
      <x:c r="O17" s="16" t="n">
        <x:v>10</x:v>
      </x:c>
      <x:c r="P17" s="16" t="n">
        <x:v>3</x:v>
      </x:c>
      <x:c r="Q17" s="16" t="n">
        <x:v>13</x:v>
      </x:c>
      <x:c r="R17" s="16" t="n">
        <x:v>20</x:v>
      </x:c>
      <x:c r="S17" s="16" t="n">
        <x:v>5</x:v>
      </x:c>
      <x:c r="T17" s="16" t="n">
        <x:v>25</x:v>
      </x:c>
      <x:c r="U17" s="14" t="str">
        <x:v>SCALE_CEIL_FROM_20_BASELINE</x:v>
      </x:c>
      <x:c r="V17" s="14" t="str">
        <x:v>CONTROLLED_PENDING_VERIFICATION</x:v>
      </x:c>
      <x:c r="W17" s="14" t="str">
        <x:v>SELECTED_PENDING_MECHANICS</x:v>
      </x:c>
      <x:c r="X17" s="17" t="str">
        <x:v>Authorized or traceable tier-1 channel</x:v>
      </x:c>
      <x:c r="Y17" s="17" t="str">
        <x:v>Marking MPN package orientation electrical functional sample</x:v>
      </x:c>
    </x:row>
    <x:row r="18">
      <x:c r="A18" s="2" t="str">
        <x:v>PR-017</x:v>
      </x:c>
      <x:c r="B18" s="14" t="str">
        <x:v>PCB-MAIN | PCB-PWR</x:v>
      </x:c>
      <x:c r="C18" s="14" t="str">
        <x:v>J-PWR-MAIN | J-PWR-PWR</x:v>
      </x:c>
      <x:c r="D18" s="14" t="str">
        <x:v>J2 | J_PWR</x:v>
      </x:c>
      <x:c r="E18" s="2" t="str">
        <x:v>Connector</x:v>
      </x:c>
      <x:c r="F18" s="2" t="str">
        <x:v>Molex</x:v>
      </x:c>
      <x:c r="G18" s="2" t="str">
        <x:v>430451202</x:v>
      </x:c>
      <x:c r="H18" s="2" t="str">
        <x:v>12 positions</x:v>
      </x:c>
      <x:c r="I18" s="2" t="str"/>
      <x:c r="J18" s="2" t="str">
        <x:v>COMMON</x:v>
      </x:c>
      <x:c r="K18" s="2" t="str">
        <x:v>FITTED</x:v>
      </x:c>
      <x:c r="L18" s="16" t="n">
        <x:v>8</x:v>
      </x:c>
      <x:c r="M18" s="16" t="n">
        <x:v>2</x:v>
      </x:c>
      <x:c r="N18" s="16" t="n">
        <x:v>10</x:v>
      </x:c>
      <x:c r="O18" s="16" t="n">
        <x:v>20</x:v>
      </x:c>
      <x:c r="P18" s="16" t="n">
        <x:v>6</x:v>
      </x:c>
      <x:c r="Q18" s="16" t="n">
        <x:v>26</x:v>
      </x:c>
      <x:c r="R18" s="16" t="n">
        <x:v>40</x:v>
      </x:c>
      <x:c r="S18" s="16" t="n">
        <x:v>10</x:v>
      </x:c>
      <x:c r="T18" s="16" t="n">
        <x:v>50</x:v>
      </x:c>
      <x:c r="U18" s="14" t="str">
        <x:v>SCALE_CEIL_FROM_20_BASELINE</x:v>
      </x:c>
      <x:c r="V18" s="14" t="str">
        <x:v>CONTROLLED_PENDING_VERIFICATION</x:v>
      </x:c>
      <x:c r="W18" s="14" t="str">
        <x:v>MECHANICAL_AUTHORITY_FROZEN_PENDING_HARNESS_SI | SELECTED_ELECTRICAL_PENDING_MECHANICS</x:v>
      </x:c>
      <x:c r="X18" s="17" t="str">
        <x:v>Authorized Molex distributor</x:v>
      </x:c>
      <x:c r="Y18" s="17" t="str">
        <x:v>Marking dimensions latch mate continuity</x:v>
      </x:c>
    </x:row>
    <x:row r="19">
      <x:c r="A19" s="2" t="str">
        <x:v>PR-018</x:v>
      </x:c>
      <x:c r="B19" s="14" t="str">
        <x:v>PCB-MAIN</x:v>
      </x:c>
      <x:c r="C19" s="14" t="str">
        <x:v>J-TAMPER</x:v>
      </x:c>
      <x:c r="D19" s="14" t="str">
        <x:v>J13</x:v>
      </x:c>
      <x:c r="E19" s="2" t="str">
        <x:v>Connector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2" t="str"/>
      <x:c r="J19" s="2" t="str">
        <x:v>COMMON</x:v>
      </x:c>
      <x:c r="K19" s="2" t="str">
        <x:v>FITTED</x:v>
      </x:c>
      <x:c r="L19" s="16" t="n">
        <x:v>4</x:v>
      </x:c>
      <x:c r="M19" s="16" t="n">
        <x:v>1</x:v>
      </x:c>
      <x:c r="N19" s="16" t="n">
        <x:v>5</x:v>
      </x:c>
      <x:c r="O19" s="16" t="n">
        <x:v>10</x:v>
      </x:c>
      <x:c r="P19" s="16" t="n">
        <x:v>3</x:v>
      </x:c>
      <x:c r="Q19" s="16" t="n">
        <x:v>13</x:v>
      </x:c>
      <x:c r="R19" s="16" t="n">
        <x:v>20</x:v>
      </x:c>
      <x:c r="S19" s="16" t="n">
        <x:v>5</x:v>
      </x:c>
      <x:c r="T19" s="16" t="n">
        <x:v>25</x:v>
      </x:c>
      <x:c r="U19" s="14" t="str">
        <x:v>SCALE_CEIL_FROM_20_BASELINE</x:v>
      </x:c>
      <x:c r="V19" s="14" t="str">
        <x:v>CONTROLLED_PENDING_VERIFICATION</x:v>
      </x:c>
      <x:c r="W19" s="14" t="str">
        <x:v>MECHANICAL_AUTHORITY_FROZEN_PENDING_PHYSICAL_TEST</x:v>
      </x:c>
      <x:c r="X19" s="17" t="str">
        <x:v>Authorized Molex distributor</x:v>
      </x:c>
      <x:c r="Y19" s="17" t="str">
        <x:v>Mating pull continuity cable-break and cover-open fault coverage</x:v>
      </x:c>
    </x:row>
    <x:row r="20">
      <x:c r="A20" s="2" t="str">
        <x:v>PR-019</x:v>
      </x:c>
      <x:c r="B20" s="14" t="str">
        <x:v>PCB-MAIN | PCB-MIC</x:v>
      </x:c>
      <x:c r="C20" s="14" t="str">
        <x:v>J-MIC | J-MIC-MAIN</x:v>
      </x:c>
      <x:c r="D20" s="14" t="str">
        <x:v>J_MIC1;J_MIC2;J_MIC3;J_MIC4 | PCB-MIC:J1 x4</x:v>
      </x:c>
      <x:c r="E20" s="2" t="str">
        <x:v>Connector</x:v>
      </x:c>
      <x:c r="F20" s="2" t="str">
        <x:v>Molex</x:v>
      </x:c>
      <x:c r="G20" s="2" t="str">
        <x:v>5040500691</x:v>
      </x:c>
      <x:c r="H20" s="2" t="str">
        <x:v>Pico-Lock 1.50 mm 6-circuit right-angle SMT</x:v>
      </x:c>
      <x:c r="I20" s="2" t="str"/>
      <x:c r="J20" s="2" t="str">
        <x:v>COMMON</x:v>
      </x:c>
      <x:c r="K20" s="2" t="str">
        <x:v>FITTED</x:v>
      </x:c>
      <x:c r="L20" s="16" t="n">
        <x:v>32</x:v>
      </x:c>
      <x:c r="M20" s="16" t="n">
        <x:v>6</x:v>
      </x:c>
      <x:c r="N20" s="16" t="n">
        <x:v>38</x:v>
      </x:c>
      <x:c r="O20" s="16" t="n">
        <x:v>80</x:v>
      </x:c>
      <x:c r="P20" s="16" t="n">
        <x:v>12</x:v>
      </x:c>
      <x:c r="Q20" s="16" t="n">
        <x:v>92</x:v>
      </x:c>
      <x:c r="R20" s="16" t="n">
        <x:v>160</x:v>
      </x:c>
      <x:c r="S20" s="16" t="n">
        <x:v>24</x:v>
      </x:c>
      <x:c r="T20" s="16" t="n">
        <x:v>184</x:v>
      </x:c>
      <x:c r="U20" s="14" t="str">
        <x:v>SCALE_CEIL_FROM_20_BASELINE</x:v>
      </x:c>
      <x:c r="V20" s="14" t="str">
        <x:v>CONTROLLED_PENDING_VERIFICATION</x:v>
      </x:c>
      <x:c r="W20" s="14" t="str">
        <x:v>MECHANICAL_AUTHORITY_FROZEN_PENDING_SI_AAD</x:v>
      </x:c>
      <x:c r="X20" s="17" t="str">
        <x:v>Authorized Molex distributor | Authorized or traceable tier-1 channel</x:v>
      </x:c>
      <x:c r="Y20" s="17" t="str">
        <x:v>Marking MPN package orientation electrical functional sample | Mating pull test contact resistance continuity and temperature</x:v>
      </x:c>
    </x:row>
    <x:row r="21">
      <x:c r="A21" s="2" t="str">
        <x:v>PR-020</x:v>
      </x:c>
      <x:c r="B21" s="14" t="str">
        <x:v>HARNESS-MIC</x:v>
      </x:c>
      <x:c r="C21" s="14" t="str">
        <x:v>H-MIC</x:v>
      </x:c>
      <x:c r="D21" s="14" t="str">
        <x:v>H_MIC1:A/B;H_MIC2:A/B;H_MIC3:A/B;H_MIC4:A/B</x:v>
      </x:c>
      <x:c r="E21" s="2" t="str">
        <x:v>Housing</x:v>
      </x:c>
      <x:c r="F21" s="2" t="str">
        <x:v>Molex</x:v>
      </x:c>
      <x:c r="G21" s="2" t="str">
        <x:v>5040510601</x:v>
      </x:c>
      <x:c r="H21" s="2" t="str">
        <x:v>Pico-Lock 1.50 mm 6-circuit housing</x:v>
      </x:c>
      <x:c r="I21" s="2" t="str"/>
      <x:c r="J21" s="2" t="str">
        <x:v>COMMON</x:v>
      </x:c>
      <x:c r="K21" s="2" t="str">
        <x:v>FITTED</x:v>
      </x:c>
      <x:c r="L21" s="16" t="n">
        <x:v>32</x:v>
      </x:c>
      <x:c r="M21" s="16" t="n">
        <x:v>4</x:v>
      </x:c>
      <x:c r="N21" s="16" t="n">
        <x:v>36</x:v>
      </x:c>
      <x:c r="O21" s="16" t="n">
        <x:v>80</x:v>
      </x:c>
      <x:c r="P21" s="16" t="n">
        <x:v>8</x:v>
      </x:c>
      <x:c r="Q21" s="16" t="n">
        <x:v>88</x:v>
      </x:c>
      <x:c r="R21" s="16" t="n">
        <x:v>160</x:v>
      </x:c>
      <x:c r="S21" s="16" t="n">
        <x:v>16</x:v>
      </x:c>
      <x:c r="T21" s="16" t="n">
        <x:v>176</x:v>
      </x:c>
      <x:c r="U21" s="14" t="str">
        <x:v>SCALE_CEIL_FROM_20_BASELINE</x:v>
      </x:c>
      <x:c r="V21" s="14" t="str">
        <x:v>CONTROLLED_PENDING_VERIFICATION</x:v>
      </x:c>
      <x:c r="W21" s="14" t="str">
        <x:v>SELECTED_PENDING_HARNESS_LENGTH_PULL_TEST</x:v>
      </x:c>
      <x:c r="X21" s="17" t="str">
        <x:v>Authorized or traceable tier-1 channel</x:v>
      </x:c>
      <x:c r="Y21" s="17" t="str">
        <x:v>Marking MPN package orientation electrical functional sample</x:v>
      </x:c>
    </x:row>
    <x:row r="22">
      <x:c r="A22" s="2" t="str">
        <x:v>PR-021</x:v>
      </x:c>
      <x:c r="B22" s="14" t="str">
        <x:v>HARNESS-MIC</x:v>
      </x:c>
      <x:c r="C22" s="14" t="str">
        <x:v>T-MIC</x:v>
      </x:c>
      <x:c r="D22" s="14" t="str">
        <x:v>H_MIC1..H_MIC4 contacts</x:v>
      </x:c>
      <x:c r="E22" s="2" t="str">
        <x:v>Terminal</x:v>
      </x:c>
      <x:c r="F22" s="2" t="str">
        <x:v>Molex</x:v>
      </x:c>
      <x:c r="G22" s="2" t="str">
        <x:v>5040520098</x:v>
      </x:c>
      <x:c r="H22" s="2" t="str">
        <x:v>Pico-Lock crimp terminal 28-24 AWG</x:v>
      </x:c>
      <x:c r="I22" s="2" t="str"/>
      <x:c r="J22" s="2" t="str">
        <x:v>COMMON</x:v>
      </x:c>
      <x:c r="K22" s="2" t="str">
        <x:v>FITTED</x:v>
      </x:c>
      <x:c r="L22" s="16" t="n">
        <x:v>192</x:v>
      </x:c>
      <x:c r="M22" s="16" t="n">
        <x:v>48</x:v>
      </x:c>
      <x:c r="N22" s="16" t="n">
        <x:v>240</x:v>
      </x:c>
      <x:c r="O22" s="16" t="n">
        <x:v>480</x:v>
      </x:c>
      <x:c r="P22" s="16" t="n">
        <x:v>48</x:v>
      </x:c>
      <x:c r="Q22" s="16" t="n">
        <x:v>528</x:v>
      </x:c>
      <x:c r="R22" s="16" t="n">
        <x:v>960</x:v>
      </x:c>
      <x:c r="S22" s="16" t="n">
        <x:v>48</x:v>
      </x:c>
      <x:c r="T22" s="16" t="n">
        <x:v>1008</x:v>
      </x:c>
      <x:c r="U22" s="14" t="str">
        <x:v>FIXED_LOT_MIN</x:v>
      </x:c>
      <x:c r="V22" s="14" t="str">
        <x:v>CONTROLLED_PENDING_VERIFICATION</x:v>
      </x:c>
      <x:c r="W22" s="14" t="str">
        <x:v>SELECTED_PENDING_CRIMP_PULL_TEST</x:v>
      </x:c>
      <x:c r="X22" s="17" t="str">
        <x:v>Authorized or traceable tier-1 channel</x:v>
      </x:c>
      <x:c r="Y22" s="17" t="str">
        <x:v>Marking MPN package orientation electrical functional sample</x:v>
      </x:c>
    </x:row>
    <x:row r="23">
      <x:c r="A23" s="2" t="str">
        <x:v>PR-022</x:v>
      </x:c>
      <x:c r="B23" s="14" t="str">
        <x:v>SYSTEM</x:v>
      </x:c>
      <x:c r="C23" s="14" t="str">
        <x:v>ANT-GNSS</x:v>
      </x:c>
      <x:c r="D23" s="14" t="str">
        <x:v>AE2</x:v>
      </x:c>
      <x:c r="E23" s="2" t="str">
        <x:v>Antenna</x:v>
      </x:c>
      <x:c r="F23" s="2" t="str">
        <x:v>Taoglas</x:v>
      </x:c>
      <x:c r="G23" s="2" t="str">
        <x:v>AA.166.A.301111</x:v>
      </x:c>
      <x:c r="H23" s="2" t="str">
        <x:v>IP67 magnetic 37.8x40.4x10 mm with 3 m RG174 SMA(M)</x:v>
      </x:c>
      <x:c r="I23" s="2" t="str"/>
      <x:c r="J23" s="2" t="str">
        <x:v>COMMON</x:v>
      </x:c>
      <x:c r="K23" s="2" t="str">
        <x:v>FITTED</x:v>
      </x:c>
      <x:c r="L23" s="16" t="n">
        <x:v>4</x:v>
      </x:c>
      <x:c r="M23" s="16" t="n">
        <x:v>1</x:v>
      </x:c>
      <x:c r="N23" s="16" t="n">
        <x:v>5</x:v>
      </x:c>
      <x:c r="O23" s="16" t="n">
        <x:v>10</x:v>
      </x:c>
      <x:c r="P23" s="16" t="n">
        <x:v>1</x:v>
      </x:c>
      <x:c r="Q23" s="16" t="n">
        <x:v>11</x:v>
      </x:c>
      <x:c r="R23" s="16" t="n">
        <x:v>20</x:v>
      </x:c>
      <x:c r="S23" s="16" t="n">
        <x:v>2</x:v>
      </x:c>
      <x:c r="T23" s="16" t="n">
        <x:v>22</x:v>
      </x:c>
      <x:c r="U23" s="14" t="str">
        <x:v>SCALE_CEIL_FROM_20_BASELINE</x:v>
      </x:c>
      <x:c r="V23" s="14" t="str">
        <x:v>CONTROLLED</x:v>
      </x:c>
      <x:c r="W23" s="14" t="str">
        <x:v>CONTROLLED_EVT_PURCHASE_EXACT_MPN_VALIDATION_DURING_ASSEMBLY_EVT</x:v>
      </x:c>
      <x:c r="X23" s="17" t="str">
        <x:v>Taoglas or established distributor; exact AA.166.A.301111 only; no substitution</x:v>
      </x:c>
      <x:c r="Y23" s="17" t="str">
        <x:v>Reconcile PO packing slip quantity and visible damage; verify connector cable route current at 3.3 V receiver sensitivity PPS mounting and coexistence during assembly EOL and EVT</x:v>
      </x:c>
    </x:row>
    <x:row r="24">
      <x:c r="A24" s="2" t="str">
        <x:v>PR-023</x:v>
      </x:c>
      <x:c r="B24" s="14" t="str">
        <x:v>PCB-MAIN</x:v>
      </x:c>
      <x:c r="C24" s="14" t="str">
        <x:v>MAIN-010-FL1</x:v>
      </x:c>
      <x:c r="D24" s="14" t="str">
        <x:v>FL1</x:v>
      </x:c>
      <x:c r="E24" s="2" t="str">
        <x:v>SAW_Filter</x:v>
      </x:c>
      <x:c r="F24" s="2" t="str">
        <x:v>Abracon</x:v>
      </x:c>
      <x:c r="G24" s="2" t="str">
        <x:v>ABSES5AF-L100KM</x:v>
      </x:c>
      <x:c r="H24" s="2" t="str">
        <x:v>1109-5</x:v>
      </x:c>
      <x:c r="I24" s="2" t="str">
        <x:v>1582.4 MHz wideband GNSS SAW</x:v>
      </x:c>
      <x:c r="J24" s="2" t="str">
        <x:v>COMMON</x:v>
      </x:c>
      <x:c r="K24" s="2" t="str">
        <x:v>FITTED</x:v>
      </x:c>
      <x:c r="L24" s="16" t="n">
        <x:v>4</x:v>
      </x:c>
      <x:c r="M24" s="16" t="n">
        <x:v>0</x:v>
      </x:c>
      <x:c r="N24" s="16" t="n">
        <x:v>4</x:v>
      </x:c>
      <x:c r="O24" s="16" t="n">
        <x:v>10</x:v>
      </x:c>
      <x:c r="P24" s="16" t="n">
        <x:v>0</x:v>
      </x:c>
      <x:c r="Q24" s="16" t="n">
        <x:v>10</x:v>
      </x:c>
      <x:c r="R24" s="16" t="n">
        <x:v>20</x:v>
      </x:c>
      <x:c r="S24" s="16" t="n">
        <x:v>0</x:v>
      </x:c>
      <x:c r="T24" s="16" t="n">
        <x:v>20</x:v>
      </x:c>
      <x:c r="U24" s="14" t="str">
        <x:v>NONE</x:v>
      </x:c>
      <x:c r="V24" s="14" t="str">
        <x:v>CONTROLLED_PENDING_VERIFICATION</x:v>
      </x:c>
      <x:c r="W24" s="14" t="str">
        <x:v>SELECTED_PENDING_REVIEW_A</x:v>
      </x:c>
      <x:c r="X24" s="17" t="str">
        <x:v>Authorized or traceable tier-1 channel</x:v>
      </x:c>
      <x:c r="Y24" s="17" t="str">
        <x:v>Marking MPN package orientation electrical functional sample</x:v>
      </x:c>
    </x:row>
    <x:row r="25">
      <x:c r="A25" s="2" t="str">
        <x:v>PR-024</x:v>
      </x:c>
      <x:c r="B25" s="14" t="str">
        <x:v>PCB-MAIN</x:v>
      </x:c>
      <x:c r="C25" s="14" t="str">
        <x:v>U8</x:v>
      </x:c>
      <x:c r="D25" s="14" t="str">
        <x:v>U8</x:v>
      </x:c>
      <x:c r="E25" s="2" t="str">
        <x:v>Cellular</x:v>
      </x:c>
      <x:c r="F25" s="2" t="str">
        <x:v>Quectel</x:v>
      </x:c>
      <x:c r="G25" s="2" t="str">
        <x:v>BG95-M3</x:v>
      </x:c>
      <x:c r="H25" s="2" t="str">
        <x:v>LGA-102_23.6x19.9mm</x:v>
      </x:c>
      <x:c r="I25" s="2" t="str"/>
      <x:c r="J25" s="2" t="str">
        <x:v>COMMON</x:v>
      </x:c>
      <x:c r="K25" s="2" t="str">
        <x:v>FITTED</x:v>
      </x:c>
      <x:c r="L25" s="16" t="n">
        <x:v>4</x:v>
      </x:c>
      <x:c r="M25" s="16" t="n">
        <x:v>1</x:v>
      </x:c>
      <x:c r="N25" s="16" t="n">
        <x:v>5</x:v>
      </x:c>
      <x:c r="O25" s="16" t="n">
        <x:v>10</x:v>
      </x:c>
      <x:c r="P25" s="16" t="n">
        <x:v>3</x:v>
      </x:c>
      <x:c r="Q25" s="16" t="n">
        <x:v>13</x:v>
      </x:c>
      <x:c r="R25" s="16" t="n">
        <x:v>20</x:v>
      </x:c>
      <x:c r="S25" s="16" t="n">
        <x:v>5</x:v>
      </x:c>
      <x:c r="T25" s="16" t="n">
        <x:v>25</x:v>
      </x:c>
      <x:c r="U25" s="14" t="str">
        <x:v>SCALE_CEIL_FROM_20_BASELINE</x:v>
      </x:c>
      <x:c r="V25" s="14" t="str">
        <x:v>CONTROLLED_PENDING_VERIFICATION</x:v>
      </x:c>
      <x:c r="W25" s="14" t="str">
        <x:v>SELECTED_PENDING_INCOMING_ID_AND_POST_ASSEMBLY_EVT</x:v>
      </x:c>
      <x:c r="X25" s="17" t="str">
        <x:v>Quectel authorized channel or CM with traceability</x:v>
      </x:c>
      <x:c r="Y25" s="17" t="str">
        <x:v>IMEI label firmware RF conducted attach TLS</x:v>
      </x:c>
    </x:row>
    <x:row r="26">
      <x:c r="A26" s="2" t="str">
        <x:v>PR-025</x:v>
      </x:c>
      <x:c r="B26" s="14" t="str">
        <x:v>PCB-MAIN</x:v>
      </x:c>
      <x:c r="C26" s="14" t="str">
        <x:v>MAIN-010-FB1</x:v>
      </x:c>
      <x:c r="D26" s="14" t="str">
        <x:v>FB1</x:v>
      </x:c>
      <x:c r="E26" s="2" t="str">
        <x:v>Ferrite_Bead</x:v>
      </x:c>
      <x:c r="F26" s="2" t="str">
        <x:v>Murata</x:v>
      </x:c>
      <x:c r="G26" s="2" t="str">
        <x:v>BLM31KN601SN1L</x:v>
      </x:c>
      <x:c r="H26" s="2" t="str">
        <x:v>1206</x:v>
      </x:c>
      <x:c r="I26" s="2" t="str">
        <x:v>600 Ohm at 100 MHz</x:v>
      </x:c>
      <x:c r="J26" s="2" t="str">
        <x:v>COMMON</x:v>
      </x:c>
      <x:c r="K26" s="2" t="str">
        <x:v>FITTED</x:v>
      </x:c>
      <x:c r="L26" s="16" t="n">
        <x:v>4</x:v>
      </x:c>
      <x:c r="M26" s="16" t="n">
        <x:v>0</x:v>
      </x:c>
      <x:c r="N26" s="16" t="n">
        <x:v>4</x:v>
      </x:c>
      <x:c r="O26" s="16" t="n">
        <x:v>10</x:v>
      </x:c>
      <x:c r="P26" s="16" t="n">
        <x:v>0</x:v>
      </x:c>
      <x:c r="Q26" s="16" t="n">
        <x:v>10</x:v>
      </x:c>
      <x:c r="R26" s="16" t="n">
        <x:v>20</x:v>
      </x:c>
      <x:c r="S26" s="16" t="n">
        <x:v>0</x:v>
      </x:c>
      <x:c r="T26" s="16" t="n">
        <x:v>20</x:v>
      </x:c>
      <x:c r="U26" s="14" t="str">
        <x:v>NONE</x:v>
      </x:c>
      <x:c r="V26" s="14" t="str">
        <x:v>CONTROLLED_PENDING_VERIFICATION</x:v>
      </x:c>
      <x:c r="W26" s="14" t="str">
        <x:v>SELECTED_PENDING_REVIEW_A</x:v>
      </x:c>
      <x:c r="X26" s="17" t="str">
        <x:v>Authorized or traceable tier-1 channel</x:v>
      </x:c>
      <x:c r="Y26" s="17" t="str">
        <x:v>Marking MPN package orientation electrical functional sample</x:v>
      </x:c>
    </x:row>
    <x:row r="27" ht="60" hidden="0" customHeight="1">
      <x:c r="A27" s="14" t="str">
        <x:v>PR-026</x:v>
      </x:c>
      <x:c r="B27" s="14" t="str">
        <x:v>SYSTEM</x:v>
      </x:c>
      <x:c r="C27" s="14" t="str">
        <x:v>RF-PIGTAIL</x:v>
      </x:c>
      <x:c r="D27" s="14" t="str">
        <x:v>J8/J9/J10 cable</x:v>
      </x:c>
      <x:c r="E27" s="14" t="str">
        <x:v>RF cable</x:v>
      </x:c>
      <x:c r="F27" s="14" t="str">
        <x:v>Taoglas</x:v>
      </x:c>
      <x:c r="G27" s="14" t="str">
        <x:v>CAB.0243</x:v>
      </x:c>
      <x:c r="H27" s="14" t="str">
        <x:v>1.13 mm micro-coax 150 mm MHF I/U.FL-compatible R/A to waterproof SMA(F) bulkhead</x:v>
      </x:c>
      <x:c r="I27" s="14" t="str"/>
      <x:c r="J27" s="14" t="str">
        <x:v>COMMON</x:v>
      </x:c>
      <x:c r="K27" s="14" t="str">
        <x:v>FITTED</x:v>
      </x:c>
      <x:c r="L27" s="107" t="n">
        <x:v>12</x:v>
      </x:c>
      <x:c r="M27" s="107" t="n">
        <x:v>2</x:v>
      </x:c>
      <x:c r="N27" s="107" t="n">
        <x:v>14</x:v>
      </x:c>
      <x:c r="O27" s="107" t="n">
        <x:v>30</x:v>
      </x:c>
      <x:c r="P27" s="107" t="n">
        <x:v>3</x:v>
      </x:c>
      <x:c r="Q27" s="107" t="n">
        <x:v>33</x:v>
      </x:c>
      <x:c r="R27" s="107" t="n">
        <x:v>60</x:v>
      </x:c>
      <x:c r="S27" s="107" t="n">
        <x:v>6</x:v>
      </x:c>
      <x:c r="T27" s="107" t="n">
        <x:v>66</x:v>
      </x:c>
      <x:c r="U27" s="14" t="str">
        <x:v>SCALE_CEIL_FROM_20_BASELINE</x:v>
      </x:c>
      <x:c r="V27" s="14" t="str">
        <x:v>CONTROLLED</x:v>
      </x:c>
      <x:c r="W27" s="14" t="str">
        <x:v>CONTROLLED_EVT_PURCHASE_EXACT_MPN_VALIDATION_DURING_ASSEMBLY_EVT</x:v>
      </x:c>
      <x:c r="X27" s="17" t="str">
        <x:v>Taoglas or established distributor; exact CAB.0243 only; no substitution</x:v>
      </x:c>
      <x:c r="Y27" s="17" t="str">
        <x:v>Reconcile PO packing slip quantity and visible damage; verify every installed cable continuity polarity length and route then mate retention bend seal torque temperature and VNA performance during assembly EOL and EVT</x:v>
      </x:c>
    </x:row>
    <x:row r="28">
      <x:c r="A28" s="2" t="str">
        <x:v>PR-027</x:v>
      </x:c>
      <x:c r="B28" s="14" t="str">
        <x:v>PCB-PWR</x:v>
      </x:c>
      <x:c r="C28" s="14" t="str">
        <x:v>PWR-C-100N</x:v>
      </x:c>
      <x:c r="D28" s="14" t="str">
        <x:v>C1;C2;C4;C6</x:v>
      </x:c>
      <x:c r="E28" s="2" t="str">
        <x:v>Passive</x:v>
      </x:c>
      <x:c r="F28" s="2" t="str">
        <x:v>TDK</x:v>
      </x:c>
      <x:c r="G28" s="2" t="str">
        <x:v>CGA2B3X7R1E104K050BB</x:v>
      </x:c>
      <x:c r="H28" s="2" t="str">
        <x:v>0402</x:v>
      </x:c>
      <x:c r="I28" s="2" t="str">
        <x:v>100 nF 25 V X7R</x:v>
      </x:c>
      <x:c r="J28" s="2" t="str">
        <x:v>COMMON</x:v>
      </x:c>
      <x:c r="K28" s="2" t="str">
        <x:v>FITTED</x:v>
      </x:c>
      <x:c r="L28" s="16" t="n">
        <x:v>16</x:v>
      </x:c>
      <x:c r="M28" s="16" t="n">
        <x:v>40</x:v>
      </x:c>
      <x:c r="N28" s="16" t="n">
        <x:v>56</x:v>
      </x:c>
      <x:c r="O28" s="16" t="n">
        <x:v>40</x:v>
      </x:c>
      <x:c r="P28" s="16" t="n">
        <x:v>40</x:v>
      </x:c>
      <x:c r="Q28" s="16" t="n">
        <x:v>80</x:v>
      </x:c>
      <x:c r="R28" s="16" t="n">
        <x:v>80</x:v>
      </x:c>
      <x:c r="S28" s="16" t="n">
        <x:v>40</x:v>
      </x:c>
      <x:c r="T28" s="16" t="n">
        <x:v>120</x:v>
      </x:c>
      <x:c r="U28" s="14" t="str">
        <x:v>FIXED_LOT_MIN</x:v>
      </x:c>
      <x:c r="V28" s="14" t="str">
        <x:v>CONTROLLED_PENDING_VERIFICATION</x:v>
      </x:c>
      <x:c r="W28" s="14" t="str">
        <x:v>LOCKED_CANDIDATE_PENDING_DERATING</x:v>
      </x:c>
      <x:c r="X28" s="17" t="str">
        <x:v>Authorized or traceable tier-1 channel</x:v>
      </x:c>
      <x:c r="Y28" s="17" t="str">
        <x:v>Marking MPN package orientation electrical functional sample</x:v>
      </x:c>
    </x:row>
    <x:row r="29">
      <x:c r="A29" s="2" t="str">
        <x:v>PR-028</x:v>
      </x:c>
      <x:c r="B29" s="14" t="str">
        <x:v>PCB-MIC</x:v>
      </x:c>
      <x:c r="C29" s="14" t="str">
        <x:v>C-MIC</x:v>
      </x:c>
      <x:c r="D29" s="14" t="str">
        <x:v>PCB-MIC:C1 x4</x:v>
      </x:c>
      <x:c r="E29" s="2" t="str">
        <x:v>Passive</x:v>
      </x:c>
      <x:c r="F29" s="2" t="str">
        <x:v>TDK</x:v>
      </x:c>
      <x:c r="G29" s="2" t="str">
        <x:v>CGA2B3X7R1E104K050BB</x:v>
      </x:c>
      <x:c r="H29" s="2" t="str">
        <x:v>0402 1005 metric</x:v>
      </x:c>
      <x:c r="I29" s="2" t="str">
        <x:v>100 nF 25 V X7R</x:v>
      </x:c>
      <x:c r="J29" s="2" t="str">
        <x:v>COMMON</x:v>
      </x:c>
      <x:c r="K29" s="2" t="str">
        <x:v>FITTED</x:v>
      </x:c>
      <x:c r="L29" s="16" t="n">
        <x:v>16</x:v>
      </x:c>
      <x:c r="M29" s="16" t="n">
        <x:v>40</x:v>
      </x:c>
      <x:c r="N29" s="16" t="n">
        <x:v>56</x:v>
      </x:c>
      <x:c r="O29" s="16" t="n">
        <x:v>40</x:v>
      </x:c>
      <x:c r="P29" s="16" t="n">
        <x:v>40</x:v>
      </x:c>
      <x:c r="Q29" s="16" t="n">
        <x:v>80</x:v>
      </x:c>
      <x:c r="R29" s="16" t="n">
        <x:v>80</x:v>
      </x:c>
      <x:c r="S29" s="16" t="n">
        <x:v>40</x:v>
      </x:c>
      <x:c r="T29" s="16" t="n">
        <x:v>120</x:v>
      </x:c>
      <x:c r="U29" s="14" t="str">
        <x:v>FIXED_LOT_MIN</x:v>
      </x:c>
      <x:c r="V29" s="14" t="str">
        <x:v>CONTROLLED_PENDING_VERIFICATION</x:v>
      </x:c>
      <x:c r="W29" s="14" t="str">
        <x:v>SELECTED_PENDING_SAMPLE</x:v>
      </x:c>
      <x:c r="X29" s="17" t="str">
        <x:v>Traceable passive vendor</x:v>
      </x:c>
      <x:c r="Y29" s="17" t="str">
        <x:v>Value package reel label capacitance sample</x:v>
      </x:c>
    </x:row>
    <x:row r="30">
      <x:c r="A30" s="2" t="str">
        <x:v>PR-029</x:v>
      </x:c>
      <x:c r="B30" s="14" t="str">
        <x:v>PCB-PWR</x:v>
      </x:c>
      <x:c r="C30" s="14" t="str">
        <x:v>PWR-C-LDO</x:v>
      </x:c>
      <x:c r="D30" s="14" t="str">
        <x:v>C7;C8</x:v>
      </x:c>
      <x:c r="E30" s="2" t="str">
        <x:v>Passive</x:v>
      </x:c>
      <x:c r="F30" s="2" t="str">
        <x:v>TDK</x:v>
      </x:c>
      <x:c r="G30" s="2" t="str">
        <x:v>CGA3E1X7R1A225K080AC</x:v>
      </x:c>
      <x:c r="H30" s="2" t="str">
        <x:v>0603</x:v>
      </x:c>
      <x:c r="I30" s="2" t="str">
        <x:v>2.2 uF 10 V X7R</x:v>
      </x:c>
      <x:c r="J30" s="2" t="str">
        <x:v>COMMON</x:v>
      </x:c>
      <x:c r="K30" s="2" t="str">
        <x:v>FITTED</x:v>
      </x:c>
      <x:c r="L30" s="16" t="n">
        <x:v>8</x:v>
      </x:c>
      <x:c r="M30" s="16" t="n">
        <x:v>40</x:v>
      </x:c>
      <x:c r="N30" s="16" t="n">
        <x:v>48</x:v>
      </x:c>
      <x:c r="O30" s="16" t="n">
        <x:v>20</x:v>
      </x:c>
      <x:c r="P30" s="16" t="n">
        <x:v>40</x:v>
      </x:c>
      <x:c r="Q30" s="16" t="n">
        <x:v>60</x:v>
      </x:c>
      <x:c r="R30" s="16" t="n">
        <x:v>40</x:v>
      </x:c>
      <x:c r="S30" s="16" t="n">
        <x:v>40</x:v>
      </x:c>
      <x:c r="T30" s="16" t="n">
        <x:v>80</x:v>
      </x:c>
      <x:c r="U30" s="14" t="str">
        <x:v>FIXED_LOT_MIN</x:v>
      </x:c>
      <x:c r="V30" s="14" t="str">
        <x:v>CONTROLLED_PENDING_VERIFICATION</x:v>
      </x:c>
      <x:c r="W30" s="14" t="str">
        <x:v>LOCKED_CANDIDATE_PENDING_DERATING</x:v>
      </x:c>
      <x:c r="X30" s="17" t="str">
        <x:v>Authorized or traceable tier-1 channel</x:v>
      </x:c>
      <x:c r="Y30" s="17" t="str">
        <x:v>Marking MPN package orientation electrical functional sample</x:v>
      </x:c>
    </x:row>
    <x:row r="31">
      <x:c r="A31" s="2" t="str">
        <x:v>PR-030</x:v>
      </x:c>
      <x:c r="B31" s="14" t="str">
        <x:v>PCB-PWR</x:v>
      </x:c>
      <x:c r="C31" s="14" t="str">
        <x:v>PWR-C-CIN-HF</x:v>
      </x:c>
      <x:c r="D31" s="14" t="str">
        <x:v>C9;C20;C21</x:v>
      </x:c>
      <x:c r="E31" s="2" t="str">
        <x:v>Passive</x:v>
      </x:c>
      <x:c r="F31" s="2" t="str">
        <x:v>TDK</x:v>
      </x:c>
      <x:c r="G31" s="2" t="str">
        <x:v>CGA3E2X7R1H104K080AA</x:v>
      </x:c>
      <x:c r="H31" s="2" t="str">
        <x:v>0603</x:v>
      </x:c>
      <x:c r="I31" s="2" t="str">
        <x:v>100 nF 50 V X7R</x:v>
      </x:c>
      <x:c r="J31" s="2" t="str">
        <x:v>COMMON</x:v>
      </x:c>
      <x:c r="K31" s="2" t="str">
        <x:v>FITTED</x:v>
      </x:c>
      <x:c r="L31" s="16" t="n">
        <x:v>12</x:v>
      </x:c>
      <x:c r="M31" s="16" t="n">
        <x:v>40</x:v>
      </x:c>
      <x:c r="N31" s="16" t="n">
        <x:v>52</x:v>
      </x:c>
      <x:c r="O31" s="16" t="n">
        <x:v>30</x:v>
      </x:c>
      <x:c r="P31" s="16" t="n">
        <x:v>40</x:v>
      </x:c>
      <x:c r="Q31" s="16" t="n">
        <x:v>70</x:v>
      </x:c>
      <x:c r="R31" s="16" t="n">
        <x:v>60</x:v>
      </x:c>
      <x:c r="S31" s="16" t="n">
        <x:v>40</x:v>
      </x:c>
      <x:c r="T31" s="16" t="n">
        <x:v>100</x:v>
      </x:c>
      <x:c r="U31" s="14" t="str">
        <x:v>FIXED_LOT_MIN</x:v>
      </x:c>
      <x:c r="V31" s="14" t="str">
        <x:v>CONTROLLED_PENDING_VERIFICATION</x:v>
      </x:c>
      <x:c r="W31" s="14" t="str">
        <x:v>CONTROLLED_CANDIDATE_PENDING_MULTIPLE_REVIEWS</x:v>
      </x:c>
      <x:c r="X31" s="17" t="str">
        <x:v>Authorized or traceable tier-1 channel</x:v>
      </x:c>
      <x:c r="Y31" s="17" t="str">
        <x:v>Marking MPN package orientation electrical functional sample</x:v>
      </x:c>
    </x:row>
    <x:row r="32">
      <x:c r="A32" s="2" t="str">
        <x:v>PR-031</x:v>
      </x:c>
      <x:c r="B32" s="14" t="str">
        <x:v>PCB-PWR</x:v>
      </x:c>
      <x:c r="C32" s="14" t="str">
        <x:v>PWR-COUT-3V3 | PWR-COUT-3V8</x:v>
      </x:c>
      <x:c r="D32" s="14" t="str">
        <x:v>C3;C14;C15;C16 | C5;C17;C18;C19</x:v>
      </x:c>
      <x:c r="E32" s="2" t="str">
        <x:v>Passive</x:v>
      </x:c>
      <x:c r="F32" s="2" t="str">
        <x:v>TDK</x:v>
      </x:c>
      <x:c r="G32" s="2" t="str">
        <x:v>CGA6P3X7R1E226M250AB</x:v>
      </x:c>
      <x:c r="H32" s="2" t="str">
        <x:v>1210</x:v>
      </x:c>
      <x:c r="I32" s="2" t="str">
        <x:v>22 uF 25 V X7R</x:v>
      </x:c>
      <x:c r="J32" s="2" t="str">
        <x:v>COMMON</x:v>
      </x:c>
      <x:c r="K32" s="2" t="str">
        <x:v>FITTED</x:v>
      </x:c>
      <x:c r="L32" s="16" t="n">
        <x:v>32</x:v>
      </x:c>
      <x:c r="M32" s="16" t="n">
        <x:v>80</x:v>
      </x:c>
      <x:c r="N32" s="16" t="n">
        <x:v>112</x:v>
      </x:c>
      <x:c r="O32" s="16" t="n">
        <x:v>80</x:v>
      </x:c>
      <x:c r="P32" s="16" t="n">
        <x:v>80</x:v>
      </x:c>
      <x:c r="Q32" s="16" t="n">
        <x:v>160</x:v>
      </x:c>
      <x:c r="R32" s="16" t="n">
        <x:v>160</x:v>
      </x:c>
      <x:c r="S32" s="16" t="n">
        <x:v>80</x:v>
      </x:c>
      <x:c r="T32" s="16" t="n">
        <x:v>240</x:v>
      </x:c>
      <x:c r="U32" s="14" t="str">
        <x:v>FIXED_LOT_MIN</x:v>
      </x:c>
      <x:c r="V32" s="14" t="str">
        <x:v>CONTROLLED_PENDING_VERIFICATION</x:v>
      </x:c>
      <x:c r="W32" s="14" t="str">
        <x:v>LOCKED_CANDIDATE_PENDING_DERATING</x:v>
      </x:c>
      <x:c r="X32" s="17" t="str">
        <x:v>Authorized or traceable tier-1 channel</x:v>
      </x:c>
      <x:c r="Y32" s="17" t="str">
        <x:v>Marking MPN package orientation electrical functional sample</x:v>
      </x:c>
    </x:row>
    <x:row r="33">
      <x:c r="A33" s="2" t="str">
        <x:v>PR-032</x:v>
      </x:c>
      <x:c r="B33" s="14" t="str">
        <x:v>PCB-PWR</x:v>
      </x:c>
      <x:c r="C33" s="14" t="str">
        <x:v>PWR-C-INPUT</x:v>
      </x:c>
      <x:c r="D33" s="14" t="str">
        <x:v>C10;C11;C12</x:v>
      </x:c>
      <x:c r="E33" s="2" t="str">
        <x:v>Passive</x:v>
      </x:c>
      <x:c r="F33" s="2" t="str">
        <x:v>TDK</x:v>
      </x:c>
      <x:c r="G33" s="2" t="str">
        <x:v>CGA6P3X7R1H475K250AB</x:v>
      </x:c>
      <x:c r="H33" s="2" t="str">
        <x:v>1210</x:v>
      </x:c>
      <x:c r="I33" s="2" t="str">
        <x:v>4.7 uF 50 V X7R</x:v>
      </x:c>
      <x:c r="J33" s="2" t="str">
        <x:v>COMMON</x:v>
      </x:c>
      <x:c r="K33" s="2" t="str">
        <x:v>FITTED</x:v>
      </x:c>
      <x:c r="L33" s="16" t="n">
        <x:v>12</x:v>
      </x:c>
      <x:c r="M33" s="16" t="n">
        <x:v>40</x:v>
      </x:c>
      <x:c r="N33" s="16" t="n">
        <x:v>52</x:v>
      </x:c>
      <x:c r="O33" s="16" t="n">
        <x:v>30</x:v>
      </x:c>
      <x:c r="P33" s="16" t="n">
        <x:v>40</x:v>
      </x:c>
      <x:c r="Q33" s="16" t="n">
        <x:v>70</x:v>
      </x:c>
      <x:c r="R33" s="16" t="n">
        <x:v>60</x:v>
      </x:c>
      <x:c r="S33" s="16" t="n">
        <x:v>40</x:v>
      </x:c>
      <x:c r="T33" s="16" t="n">
        <x:v>100</x:v>
      </x:c>
      <x:c r="U33" s="14" t="str">
        <x:v>FIXED_LOT_MIN</x:v>
      </x:c>
      <x:c r="V33" s="14" t="str">
        <x:v>CONTROLLED_PENDING_VERIFICATION</x:v>
      </x:c>
      <x:c r="W33" s="14" t="str">
        <x:v>CONTROLLED_CANDIDATE_PENDING_MULTIPLE_REVIEWS</x:v>
      </x:c>
      <x:c r="X33" s="17" t="str">
        <x:v>Authorized or traceable tier-1 channel</x:v>
      </x:c>
      <x:c r="Y33" s="17" t="str">
        <x:v>Marking MPN package orientation electrical functional sample</x:v>
      </x:c>
    </x:row>
    <x:row r="34">
      <x:c r="A34" s="2" t="str">
        <x:v>PR-033</x:v>
      </x:c>
      <x:c r="B34" s="14" t="str">
        <x:v>PCB-PWR</x:v>
      </x:c>
      <x:c r="C34" s="14" t="str">
        <x:v>PWR-REV-FET</x:v>
      </x:c>
      <x:c r="D34" s="14" t="str">
        <x:v>Q1</x:v>
      </x:c>
      <x:c r="E34" s="2" t="str">
        <x:v>Protection</x:v>
      </x:c>
      <x:c r="F34" s="2" t="str">
        <x:v>Texas Instruments</x:v>
      </x:c>
      <x:c r="G34" s="2" t="str">
        <x:v>CSD18540Q5B</x:v>
      </x:c>
      <x:c r="H34" s="2" t="str">
        <x:v>VSON-CLIP 5x6 mm</x:v>
      </x:c>
      <x:c r="I34" s="2" t="str"/>
      <x:c r="J34" s="2" t="str">
        <x:v>COMMON</x:v>
      </x:c>
      <x:c r="K34" s="2" t="str">
        <x:v>FITTED</x:v>
      </x:c>
      <x:c r="L34" s="16" t="n">
        <x:v>4</x:v>
      </x:c>
      <x:c r="M34" s="16" t="n">
        <x:v>1</x:v>
      </x:c>
      <x:c r="N34" s="16" t="n">
        <x:v>5</x:v>
      </x:c>
      <x:c r="O34" s="16" t="n">
        <x:v>10</x:v>
      </x:c>
      <x:c r="P34" s="16" t="n">
        <x:v>3</x:v>
      </x:c>
      <x:c r="Q34" s="16" t="n">
        <x:v>13</x:v>
      </x:c>
      <x:c r="R34" s="16" t="n">
        <x:v>20</x:v>
      </x:c>
      <x:c r="S34" s="16" t="n">
        <x:v>5</x:v>
      </x:c>
      <x:c r="T34" s="16" t="n">
        <x:v>25</x:v>
      </x:c>
      <x:c r="U34" s="14" t="str">
        <x:v>SCALE_CEIL_FROM_20_BASELINE</x:v>
      </x:c>
      <x:c r="V34" s="14" t="str">
        <x:v>CONTROLLED</x:v>
      </x:c>
      <x:c r="W34" s="14" t="str">
        <x:v>SELECTED_TECHNICALLY_PROCUREMENT_CHECK</x:v>
      </x:c>
      <x:c r="X34" s="17" t="str">
        <x:v>Authorized distributor</x:v>
      </x:c>
      <x:c r="Y34" s="17" t="str">
        <x:v>Marking Rds thermal and reverse fault test</x:v>
      </x:c>
    </x:row>
    <x:row r="35">
      <x:c r="A35" s="2" t="str">
        <x:v>PR-034</x:v>
      </x:c>
      <x:c r="B35" s="14" t="str">
        <x:v>PCB-MAIN</x:v>
      </x:c>
      <x:c r="C35" s="14" t="str">
        <x:v>U10</x:v>
      </x:c>
      <x:c r="D35" s="14" t="str">
        <x:v>U10</x:v>
      </x:c>
      <x:c r="E35" s="2" t="str">
        <x:v>LoRa</x:v>
      </x:c>
      <x:c r="F35" s="2" t="str">
        <x:v>Ebyte</x:v>
      </x:c>
      <x:c r="G35" s="2" t="str">
        <x:v>E22-900M22S</x:v>
      </x:c>
      <x:c r="H35" s="2" t="str">
        <x:v>SMD_20x14_22P_1.27mm</x:v>
      </x:c>
      <x:c r="I35" s="2" t="str"/>
      <x:c r="J35" s="2" t="str">
        <x:v>RU868_PILOT</x:v>
      </x:c>
      <x:c r="K35" s="2" t="str">
        <x:v>FITTED</x:v>
      </x:c>
      <x:c r="L35" s="16" t="n">
        <x:v>4</x:v>
      </x:c>
      <x:c r="M35" s="16" t="n">
        <x:v>2</x:v>
      </x:c>
      <x:c r="N35" s="16" t="n">
        <x:v>6</x:v>
      </x:c>
      <x:c r="O35" s="16" t="n">
        <x:v>10</x:v>
      </x:c>
      <x:c r="P35" s="16" t="n">
        <x:v>3</x:v>
      </x:c>
      <x:c r="Q35" s="16" t="n">
        <x:v>13</x:v>
      </x:c>
      <x:c r="R35" s="16" t="n">
        <x:v>20</x:v>
      </x:c>
      <x:c r="S35" s="16" t="n">
        <x:v>6</x:v>
      </x:c>
      <x:c r="T35" s="16" t="n">
        <x:v>26</x:v>
      </x:c>
      <x:c r="U35" s="14" t="str">
        <x:v>SCALE_CEIL_FROM_20_BASELINE</x:v>
      </x:c>
      <x:c r="V35" s="14" t="str">
        <x:v>CONTROLLED_PENDING_VERIFICATION</x:v>
      </x:c>
      <x:c r="W35" s="14" t="str">
        <x:v>SELECTED_PENDING_CASTELLATED_OPTION_RF_REGULATORY</x:v>
      </x:c>
      <x:c r="X35" s="17" t="str">
        <x:v>Ebyte official store or authorized distributor</x:v>
      </x:c>
      <x:c r="Y35" s="17" t="str">
        <x:v>Marking antenna-interface option firmware conducted power sensitivity sleep current</x:v>
      </x:c>
    </x:row>
    <x:row r="36">
      <x:c r="A36" s="2" t="str">
        <x:v>PR-035</x:v>
      </x:c>
      <x:c r="B36" s="14" t="str">
        <x:v>PCB-PWR</x:v>
      </x:c>
      <x:c r="C36" s="14" t="str">
        <x:v>PWR-C-BULK</x:v>
      </x:c>
      <x:c r="D36" s="14" t="str">
        <x:v>C13</x:v>
      </x:c>
      <x:c r="E36" s="2" t="str">
        <x:v>Passive</x:v>
      </x:c>
      <x:c r="F36" s="2" t="str">
        <x:v>Panasonic Industry</x:v>
      </x:c>
      <x:c r="G36" s="2" t="str">
        <x:v>EEH-ZK1V101XP</x:v>
      </x:c>
      <x:c r="H36" s="2" t="str">
        <x:v>SMD can 6.3x7.7 mm</x:v>
      </x:c>
      <x:c r="I36" s="2" t="str">
        <x:v>100 uF 35 V hybrid</x:v>
      </x:c>
      <x:c r="J36" s="2" t="str">
        <x:v>COMMON</x:v>
      </x:c>
      <x:c r="K36" s="2" t="str">
        <x:v>FITTED</x:v>
      </x:c>
      <x:c r="L36" s="16" t="n">
        <x:v>4</x:v>
      </x:c>
      <x:c r="M36" s="16" t="n">
        <x:v>40</x:v>
      </x:c>
      <x:c r="N36" s="16" t="n">
        <x:v>44</x:v>
      </x:c>
      <x:c r="O36" s="16" t="n">
        <x:v>10</x:v>
      </x:c>
      <x:c r="P36" s="16" t="n">
        <x:v>40</x:v>
      </x:c>
      <x:c r="Q36" s="16" t="n">
        <x:v>50</x:v>
      </x:c>
      <x:c r="R36" s="16" t="n">
        <x:v>20</x:v>
      </x:c>
      <x:c r="S36" s="16" t="n">
        <x:v>40</x:v>
      </x:c>
      <x:c r="T36" s="16" t="n">
        <x:v>60</x:v>
      </x:c>
      <x:c r="U36" s="14" t="str">
        <x:v>FIXED_LOT_MIN</x:v>
      </x:c>
      <x:c r="V36" s="14" t="str">
        <x:v>CONTROLLED_PENDING_VERIFICATION</x:v>
      </x:c>
      <x:c r="W36" s="14" t="str">
        <x:v>LOCKED_CANDIDATE_PACKAGE_REVIEW_PENDING</x:v>
      </x:c>
      <x:c r="X36" s="17" t="str">
        <x:v>Authorized or traceable tier-1 channel</x:v>
      </x:c>
      <x:c r="Y36" s="17" t="str">
        <x:v>Marking MPN package orientation electrical functional sample</x:v>
      </x:c>
    </x:row>
    <x:row r="37">
      <x:c r="A37" s="2" t="str">
        <x:v>PR-036</x:v>
      </x:c>
      <x:c r="B37" s="14" t="str">
        <x:v>PCB-PWR</x:v>
      </x:c>
      <x:c r="C37" s="14" t="str">
        <x:v>PWR-R-100K-01</x:v>
      </x:c>
      <x:c r="D37" s="14" t="str">
        <x:v>R1</x:v>
      </x:c>
      <x:c r="E37" s="2" t="str">
        <x:v>Passive</x:v>
      </x:c>
      <x:c r="F37" s="2" t="str">
        <x:v>Panasonic Industry</x:v>
      </x:c>
      <x:c r="G37" s="2" t="str">
        <x:v>ERA-2AEB104X</x:v>
      </x:c>
      <x:c r="H37" s="2" t="str">
        <x:v>0402</x:v>
      </x:c>
      <x:c r="I37" s="2" t="str">
        <x:v>100 kOhm 0.1%</x:v>
      </x:c>
      <x:c r="J37" s="2" t="str">
        <x:v>COMMON</x:v>
      </x:c>
      <x:c r="K37" s="2" t="str">
        <x:v>FITTED</x:v>
      </x:c>
      <x:c r="L37" s="16" t="n">
        <x:v>4</x:v>
      </x:c>
      <x:c r="M37" s="16" t="n">
        <x:v>40</x:v>
      </x:c>
      <x:c r="N37" s="16" t="n">
        <x:v>44</x:v>
      </x:c>
      <x:c r="O37" s="16" t="n">
        <x:v>10</x:v>
      </x:c>
      <x:c r="P37" s="16" t="n">
        <x:v>40</x:v>
      </x:c>
      <x:c r="Q37" s="16" t="n">
        <x:v>50</x:v>
      </x:c>
      <x:c r="R37" s="16" t="n">
        <x:v>20</x:v>
      </x:c>
      <x:c r="S37" s="16" t="n">
        <x:v>40</x:v>
      </x:c>
      <x:c r="T37" s="16" t="n">
        <x:v>60</x:v>
      </x:c>
      <x:c r="U37" s="14" t="str">
        <x:v>FIXED_LOT_MIN</x:v>
      </x:c>
      <x:c r="V37" s="14" t="str">
        <x:v>CONTROLLED_PENDING_VERIFICATION</x:v>
      </x:c>
      <x:c r="W37" s="14" t="str">
        <x:v>LOCKED_CANDIDATE</x:v>
      </x:c>
      <x:c r="X37" s="17" t="str">
        <x:v>Authorized or traceable tier-1 channel</x:v>
      </x:c>
      <x:c r="Y37" s="17" t="str">
        <x:v>Marking MPN package orientation electrical functional sample</x:v>
      </x:c>
    </x:row>
    <x:row r="38">
      <x:c r="A38" s="2" t="str">
        <x:v>PR-037</x:v>
      </x:c>
      <x:c r="B38" s="14" t="str">
        <x:v>PCB-PWR</x:v>
      </x:c>
      <x:c r="C38" s="14" t="str">
        <x:v>PWR-R-35K7</x:v>
      </x:c>
      <x:c r="D38" s="14" t="str">
        <x:v>R2</x:v>
      </x:c>
      <x:c r="E38" s="2" t="str">
        <x:v>Passive</x:v>
      </x:c>
      <x:c r="F38" s="2" t="str">
        <x:v>Panasonic Industry</x:v>
      </x:c>
      <x:c r="G38" s="2" t="str">
        <x:v>ERA-2AEB3572X</x:v>
      </x:c>
      <x:c r="H38" s="2" t="str">
        <x:v>0402</x:v>
      </x:c>
      <x:c r="I38" s="2" t="str">
        <x:v>35.7 kOhm 0.1%</x:v>
      </x:c>
      <x:c r="J38" s="2" t="str">
        <x:v>COMMON</x:v>
      </x:c>
      <x:c r="K38" s="2" t="str">
        <x:v>FITTED</x:v>
      </x:c>
      <x:c r="L38" s="16" t="n">
        <x:v>4</x:v>
      </x:c>
      <x:c r="M38" s="16" t="n">
        <x:v>40</x:v>
      </x:c>
      <x:c r="N38" s="16" t="n">
        <x:v>44</x:v>
      </x:c>
      <x:c r="O38" s="16" t="n">
        <x:v>10</x:v>
      </x:c>
      <x:c r="P38" s="16" t="n">
        <x:v>40</x:v>
      </x:c>
      <x:c r="Q38" s="16" t="n">
        <x:v>50</x:v>
      </x:c>
      <x:c r="R38" s="16" t="n">
        <x:v>20</x:v>
      </x:c>
      <x:c r="S38" s="16" t="n">
        <x:v>40</x:v>
      </x:c>
      <x:c r="T38" s="16" t="n">
        <x:v>60</x:v>
      </x:c>
      <x:c r="U38" s="14" t="str">
        <x:v>FIXED_LOT_MIN</x:v>
      </x:c>
      <x:c r="V38" s="14" t="str">
        <x:v>CONTROLLED_PENDING_VERIFICATION</x:v>
      </x:c>
      <x:c r="W38" s="14" t="str">
        <x:v>LOCKED_CANDIDATE</x:v>
      </x:c>
      <x:c r="X38" s="17" t="str">
        <x:v>Authorized or traceable tier-1 channel</x:v>
      </x:c>
      <x:c r="Y38" s="17" t="str">
        <x:v>Marking MPN package orientation electrical functional sample</x:v>
      </x:c>
    </x:row>
    <x:row r="39">
      <x:c r="A39" s="2" t="str">
        <x:v>PR-038</x:v>
      </x:c>
      <x:c r="B39" s="14" t="str">
        <x:v>PCB-PWR</x:v>
      </x:c>
      <x:c r="C39" s="14" t="str">
        <x:v>PWR-R-86K6</x:v>
      </x:c>
      <x:c r="D39" s="14" t="str">
        <x:v>R3;R7</x:v>
      </x:c>
      <x:c r="E39" s="2" t="str">
        <x:v>Passive</x:v>
      </x:c>
      <x:c r="F39" s="2" t="str">
        <x:v>Panasonic Industry</x:v>
      </x:c>
      <x:c r="G39" s="2" t="str">
        <x:v>ERA-2AEB8662X</x:v>
      </x:c>
      <x:c r="H39" s="2" t="str">
        <x:v>0402</x:v>
      </x:c>
      <x:c r="I39" s="2" t="str">
        <x:v>86.6 kOhm 0.1%</x:v>
      </x:c>
      <x:c r="J39" s="2" t="str">
        <x:v>COMMON</x:v>
      </x:c>
      <x:c r="K39" s="2" t="str">
        <x:v>FITTED</x:v>
      </x:c>
      <x:c r="L39" s="16" t="n">
        <x:v>8</x:v>
      </x:c>
      <x:c r="M39" s="16" t="n">
        <x:v>40</x:v>
      </x:c>
      <x:c r="N39" s="16" t="n">
        <x:v>48</x:v>
      </x:c>
      <x:c r="O39" s="16" t="n">
        <x:v>20</x:v>
      </x:c>
      <x:c r="P39" s="16" t="n">
        <x:v>40</x:v>
      </x:c>
      <x:c r="Q39" s="16" t="n">
        <x:v>60</x:v>
      </x:c>
      <x:c r="R39" s="16" t="n">
        <x:v>40</x:v>
      </x:c>
      <x:c r="S39" s="16" t="n">
        <x:v>40</x:v>
      </x:c>
      <x:c r="T39" s="16" t="n">
        <x:v>80</x:v>
      </x:c>
      <x:c r="U39" s="14" t="str">
        <x:v>FIXED_LOT_MIN</x:v>
      </x:c>
      <x:c r="V39" s="14" t="str">
        <x:v>CONTROLLED_PENDING_VERIFICATION</x:v>
      </x:c>
      <x:c r="W39" s="14" t="str">
        <x:v>LOCKED_CANDIDATE</x:v>
      </x:c>
      <x:c r="X39" s="17" t="str">
        <x:v>Authorized or traceable tier-1 channel</x:v>
      </x:c>
      <x:c r="Y39" s="17" t="str">
        <x:v>Marking MPN package orientation electrical functional sample</x:v>
      </x:c>
    </x:row>
    <x:row r="40">
      <x:c r="A40" s="2" t="str">
        <x:v>PR-039</x:v>
      </x:c>
      <x:c r="B40" s="14" t="str">
        <x:v>PCB-MAIN</x:v>
      </x:c>
      <x:c r="C40" s="14" t="str">
        <x:v>MAIN-010-R98</x:v>
      </x:c>
      <x:c r="D40" s="14" t="str">
        <x:v>R98</x:v>
      </x:c>
      <x:c r="E40" s="2" t="str">
        <x:v>Resistor</x:v>
      </x:c>
      <x:c r="F40" s="2" t="str">
        <x:v>Panasonic</x:v>
      </x:c>
      <x:c r="G40" s="2" t="str">
        <x:v>ERJ-2GE0R00X</x:v>
      </x:c>
      <x:c r="H40" s="2" t="str">
        <x:v>0402</x:v>
      </x:c>
      <x:c r="I40" s="2" t="str">
        <x:v>0 Ohm</x:v>
      </x:c>
      <x:c r="J40" s="2" t="str">
        <x:v>COMMON</x:v>
      </x:c>
      <x:c r="K40" s="2" t="str">
        <x:v>DNP</x:v>
      </x:c>
      <x:c r="L40" s="16" t="n">
        <x:v>0</x:v>
      </x:c>
      <x:c r="M40" s="16" t="n">
        <x:v>0</x:v>
      </x:c>
      <x:c r="N40" s="16" t="n">
        <x:v>0</x:v>
      </x:c>
      <x:c r="O40" s="16" t="n">
        <x:v>0</x:v>
      </x:c>
      <x:c r="P40" s="16" t="n">
        <x:v>0</x:v>
      </x:c>
      <x:c r="Q40" s="16" t="n">
        <x:v>0</x:v>
      </x:c>
      <x:c r="R40" s="16" t="n">
        <x:v>0</x:v>
      </x:c>
      <x:c r="S40" s="16" t="n">
        <x:v>0</x:v>
      </x:c>
      <x:c r="T40" s="16" t="n">
        <x:v>0</x:v>
      </x:c>
      <x:c r="U40" s="14" t="str">
        <x:v>NONE</x:v>
      </x:c>
      <x:c r="V40" s="14" t="str">
        <x:v>CONTROLLED_DNP</x:v>
      </x:c>
      <x:c r="W40" s="14" t="str">
        <x:v>CONTROLLED_DNP</x:v>
      </x:c>
      <x:c r="X40" s="17" t="str">
        <x:v>Authorized or traceable tier-1 channel</x:v>
      </x:c>
      <x:c r="Y40" s="17" t="str">
        <x:v>Marking MPN package orientation electrical functional sample</x:v>
      </x:c>
    </x:row>
    <x:row r="41">
      <x:c r="A41" s="2" t="str">
        <x:v>PR-040</x:v>
      </x:c>
      <x:c r="B41" s="14" t="str">
        <x:v>PCB-MAIN</x:v>
      </x:c>
      <x:c r="C41" s="14" t="str">
        <x:v>MAIN-010-R103 | MAIN-010-R39 | MAIN-010-R40 | MAIN-010-R42 | MAIN-010-R43 | MAIN-010-R50 | MAIN-010-R51 | MAIN-010-R52 | MAIN-010-R53 | MAIN-010-R54 | MAIN-010-R55 | MAIN-010-R73</x:v>
      </x:c>
      <x:c r="D41" s="14" t="str">
        <x:v>R103 | R39 | R40 | R42 | R43 | R50 | R51 | R52 | R53 | R54 | R55 | R73</x:v>
      </x:c>
      <x:c r="E41" s="2" t="str">
        <x:v>Resistor</x:v>
      </x:c>
      <x:c r="F41" s="2" t="str">
        <x:v>Panasonic</x:v>
      </x:c>
      <x:c r="G41" s="2" t="str">
        <x:v>ERJ-2GE0R00X</x:v>
      </x:c>
      <x:c r="H41" s="2" t="str">
        <x:v>0402</x:v>
      </x:c>
      <x:c r="I41" s="2" t="str">
        <x:v>0 Ohm</x:v>
      </x:c>
      <x:c r="J41" s="2" t="str">
        <x:v>COMMON</x:v>
      </x:c>
      <x:c r="K41" s="2" t="str">
        <x:v>FITTED</x:v>
      </x:c>
      <x:c r="L41" s="16" t="n">
        <x:v>48</x:v>
      </x:c>
      <x:c r="M41" s="16" t="n">
        <x:v>0</x:v>
      </x:c>
      <x:c r="N41" s="16" t="n">
        <x:v>48</x:v>
      </x:c>
      <x:c r="O41" s="16" t="n">
        <x:v>120</x:v>
      </x:c>
      <x:c r="P41" s="16" t="n">
        <x:v>0</x:v>
      </x:c>
      <x:c r="Q41" s="16" t="n">
        <x:v>120</x:v>
      </x:c>
      <x:c r="R41" s="16" t="n">
        <x:v>240</x:v>
      </x:c>
      <x:c r="S41" s="16" t="n">
        <x:v>0</x:v>
      </x:c>
      <x:c r="T41" s="16" t="n">
        <x:v>240</x:v>
      </x:c>
      <x:c r="U41" s="14" t="str">
        <x:v>NONE</x:v>
      </x:c>
      <x:c r="V41" s="14" t="str">
        <x:v>CONTROLLED_PENDING_VERIFICATION</x:v>
      </x:c>
      <x:c r="W41" s="14" t="str">
        <x:v>SELECTED_PENDING_REVIEW_A</x:v>
      </x:c>
      <x:c r="X41" s="17" t="str">
        <x:v>Authorized or traceable tier-1 channel</x:v>
      </x:c>
      <x:c r="Y41" s="17" t="str">
        <x:v>Marking MPN package orientation electrical functional sample</x:v>
      </x:c>
    </x:row>
    <x:row r="42">
      <x:c r="A42" s="2" t="str">
        <x:v>PR-041</x:v>
      </x:c>
      <x:c r="B42" s="14" t="str">
        <x:v>PCB-PWR</x:v>
      </x:c>
      <x:c r="C42" s="14" t="str">
        <x:v>PWR-R-0R-DNP</x:v>
      </x:c>
      <x:c r="D42" s="14" t="str">
        <x:v>R5;R9</x:v>
      </x:c>
      <x:c r="E42" s="2" t="str">
        <x:v>Passive</x:v>
      </x:c>
      <x:c r="F42" s="2" t="str">
        <x:v>Panasonic Industry</x:v>
      </x:c>
      <x:c r="G42" s="2" t="str">
        <x:v>ERJ-2GE0R00X</x:v>
      </x:c>
      <x:c r="H42" s="2" t="str">
        <x:v>0402</x:v>
      </x:c>
      <x:c r="I42" s="2" t="str">
        <x:v>0 ohm</x:v>
      </x:c>
      <x:c r="J42" s="2" t="str">
        <x:v>COMMON</x:v>
      </x:c>
      <x:c r="K42" s="2" t="str">
        <x:v>DNP</x:v>
      </x:c>
      <x:c r="L42" s="16" t="n">
        <x:v>0</x:v>
      </x:c>
      <x:c r="M42" s="16" t="n">
        <x:v>0</x:v>
      </x:c>
      <x:c r="N42" s="16" t="n">
        <x:v>0</x:v>
      </x:c>
      <x:c r="O42" s="16" t="n">
        <x:v>0</x:v>
      </x:c>
      <x:c r="P42" s="16" t="n">
        <x:v>0</x:v>
      </x:c>
      <x:c r="Q42" s="16" t="n">
        <x:v>0</x:v>
      </x:c>
      <x:c r="R42" s="16" t="n">
        <x:v>0</x:v>
      </x:c>
      <x:c r="S42" s="16" t="n">
        <x:v>0</x:v>
      </x:c>
      <x:c r="T42" s="16" t="n">
        <x:v>0</x:v>
      </x:c>
      <x:c r="U42" s="14" t="str">
        <x:v>NONE</x:v>
      </x:c>
      <x:c r="V42" s="14" t="str">
        <x:v>CONTROLLED_DNP</x:v>
      </x:c>
      <x:c r="W42" s="14" t="str">
        <x:v>LOCKED_DNP</x:v>
      </x:c>
      <x:c r="X42" s="17" t="str">
        <x:v>Authorized or traceable tier-1 channel</x:v>
      </x:c>
      <x:c r="Y42" s="17" t="str">
        <x:v>Marking MPN package orientation electrical functional sample</x:v>
      </x:c>
    </x:row>
    <x:row r="43">
      <x:c r="A43" s="2" t="str">
        <x:v>PR-042</x:v>
      </x:c>
      <x:c r="B43" s="14" t="str">
        <x:v>PCB-PWR</x:v>
      </x:c>
      <x:c r="C43" s="14" t="str">
        <x:v>PWR-R-0R</x:v>
      </x:c>
      <x:c r="D43" s="14" t="str">
        <x:v>R4;R8</x:v>
      </x:c>
      <x:c r="E43" s="2" t="str">
        <x:v>Passive</x:v>
      </x:c>
      <x:c r="F43" s="2" t="str">
        <x:v>Panasonic Industry</x:v>
      </x:c>
      <x:c r="G43" s="2" t="str">
        <x:v>ERJ-2GE0R00X</x:v>
      </x:c>
      <x:c r="H43" s="2" t="str">
        <x:v>0402</x:v>
      </x:c>
      <x:c r="I43" s="2" t="str">
        <x:v>0 ohm</x:v>
      </x:c>
      <x:c r="J43" s="2" t="str">
        <x:v>COMMON</x:v>
      </x:c>
      <x:c r="K43" s="2" t="str">
        <x:v>FITTED</x:v>
      </x:c>
      <x:c r="L43" s="16" t="n">
        <x:v>8</x:v>
      </x:c>
      <x:c r="M43" s="16" t="n">
        <x:v>40</x:v>
      </x:c>
      <x:c r="N43" s="16" t="n">
        <x:v>48</x:v>
      </x:c>
      <x:c r="O43" s="16" t="n">
        <x:v>20</x:v>
      </x:c>
      <x:c r="P43" s="16" t="n">
        <x:v>40</x:v>
      </x:c>
      <x:c r="Q43" s="16" t="n">
        <x:v>60</x:v>
      </x:c>
      <x:c r="R43" s="16" t="n">
        <x:v>40</x:v>
      </x:c>
      <x:c r="S43" s="16" t="n">
        <x:v>40</x:v>
      </x:c>
      <x:c r="T43" s="16" t="n">
        <x:v>80</x:v>
      </x:c>
      <x:c r="U43" s="14" t="str">
        <x:v>FIXED_LOT_MIN</x:v>
      </x:c>
      <x:c r="V43" s="14" t="str">
        <x:v>CONTROLLED_PENDING_VERIFICATION</x:v>
      </x:c>
      <x:c r="W43" s="14" t="str">
        <x:v>LOCKED_FITTED</x:v>
      </x:c>
      <x:c r="X43" s="17" t="str">
        <x:v>Authorized or traceable tier-1 channel</x:v>
      </x:c>
      <x:c r="Y43" s="17" t="str">
        <x:v>Marking MPN package orientation electrical functional sample</x:v>
      </x:c>
    </x:row>
    <x:row r="44">
      <x:c r="A44" s="2" t="str">
        <x:v>PR-043</x:v>
      </x:c>
      <x:c r="B44" s="14" t="str">
        <x:v>PCB-MIC</x:v>
      </x:c>
      <x:c r="C44" s="14" t="str">
        <x:v>R-MIC</x:v>
      </x:c>
      <x:c r="D44" s="14" t="str">
        <x:v>PCB-MIC:R1 x4</x:v>
      </x:c>
      <x:c r="E44" s="2" t="str">
        <x:v>Passive</x:v>
      </x:c>
      <x:c r="F44" s="2" t="str">
        <x:v>Panasonic Industry</x:v>
      </x:c>
      <x:c r="G44" s="2" t="str">
        <x:v>ERJ-2GE0R00X</x:v>
      </x:c>
      <x:c r="H44" s="2" t="str">
        <x:v>0402 1005 metric</x:v>
      </x:c>
      <x:c r="I44" s="2" t="str">
        <x:v>0 ohm</x:v>
      </x:c>
      <x:c r="J44" s="2" t="str">
        <x:v>COMMON</x:v>
      </x:c>
      <x:c r="K44" s="2" t="str">
        <x:v>FITTED</x:v>
      </x:c>
      <x:c r="L44" s="16" t="n">
        <x:v>16</x:v>
      </x:c>
      <x:c r="M44" s="16" t="n">
        <x:v>40</x:v>
      </x:c>
      <x:c r="N44" s="16" t="n">
        <x:v>56</x:v>
      </x:c>
      <x:c r="O44" s="16" t="n">
        <x:v>40</x:v>
      </x:c>
      <x:c r="P44" s="16" t="n">
        <x:v>40</x:v>
      </x:c>
      <x:c r="Q44" s="16" t="n">
        <x:v>80</x:v>
      </x:c>
      <x:c r="R44" s="16" t="n">
        <x:v>80</x:v>
      </x:c>
      <x:c r="S44" s="16" t="n">
        <x:v>40</x:v>
      </x:c>
      <x:c r="T44" s="16" t="n">
        <x:v>120</x:v>
      </x:c>
      <x:c r="U44" s="14" t="str">
        <x:v>FIXED_LOT_MIN</x:v>
      </x:c>
      <x:c r="V44" s="14" t="str">
        <x:v>CONTROLLED_PENDING_VERIFICATION</x:v>
      </x:c>
      <x:c r="W44" s="14" t="str">
        <x:v>SELECTED_POPULATED_BASELINE_PENDING_SI</x:v>
      </x:c>
      <x:c r="X44" s="17" t="str">
        <x:v>Authorized or traceable tier-1 channel</x:v>
      </x:c>
      <x:c r="Y44" s="17" t="str">
        <x:v>Marking MPN package orientation electrical functional sample</x:v>
      </x:c>
    </x:row>
    <x:row r="45">
      <x:c r="A45" s="2" t="str">
        <x:v>PR-044</x:v>
      </x:c>
      <x:c r="B45" s="14" t="str">
        <x:v>PCB-MAIN</x:v>
      </x:c>
      <x:c r="C45" s="14" t="str">
        <x:v>MAIN-010-R60 | MAIN-010-R61</x:v>
      </x:c>
      <x:c r="D45" s="14" t="str">
        <x:v>R60 | R61</x:v>
      </x:c>
      <x:c r="E45" s="2" t="str">
        <x:v>Resistor</x:v>
      </x:c>
      <x:c r="F45" s="2" t="str">
        <x:v>Panasonic</x:v>
      </x:c>
      <x:c r="G45" s="2" t="str">
        <x:v>ERJ-2GEJ104X</x:v>
      </x:c>
      <x:c r="H45" s="2" t="str">
        <x:v>0402</x:v>
      </x:c>
      <x:c r="I45" s="2" t="str">
        <x:v>100 kOhm 5% 0.1 W</x:v>
      </x:c>
      <x:c r="J45" s="2" t="str">
        <x:v>COMMON</x:v>
      </x:c>
      <x:c r="K45" s="2" t="str">
        <x:v>FITTED</x:v>
      </x:c>
      <x:c r="L45" s="16" t="n">
        <x:v>8</x:v>
      </x:c>
      <x:c r="M45" s="16" t="n">
        <x:v>0</x:v>
      </x:c>
      <x:c r="N45" s="16" t="n">
        <x:v>8</x:v>
      </x:c>
      <x:c r="O45" s="16" t="n">
        <x:v>20</x:v>
      </x:c>
      <x:c r="P45" s="16" t="n">
        <x:v>0</x:v>
      </x:c>
      <x:c r="Q45" s="16" t="n">
        <x:v>20</x:v>
      </x:c>
      <x:c r="R45" s="16" t="n">
        <x:v>40</x:v>
      </x:c>
      <x:c r="S45" s="16" t="n">
        <x:v>0</x:v>
      </x:c>
      <x:c r="T45" s="16" t="n">
        <x:v>40</x:v>
      </x:c>
      <x:c r="U45" s="14" t="str">
        <x:v>NONE</x:v>
      </x:c>
      <x:c r="V45" s="14" t="str">
        <x:v>CONTROLLED_PENDING_VERIFICATION</x:v>
      </x:c>
      <x:c r="W45" s="14" t="str">
        <x:v>SELECTED_PENDING_REVIEW_A</x:v>
      </x:c>
      <x:c r="X45" s="17" t="str">
        <x:v>Authorized or traceable tier-1 channel</x:v>
      </x:c>
      <x:c r="Y45" s="17" t="str">
        <x:v>Marking MPN package orientation electrical functional sample</x:v>
      </x:c>
    </x:row>
    <x:row r="46">
      <x:c r="A46" s="2" t="str">
        <x:v>PR-045</x:v>
      </x:c>
      <x:c r="B46" s="14" t="str">
        <x:v>PCB-MAIN</x:v>
      </x:c>
      <x:c r="C46" s="14" t="str">
        <x:v>MAIN-010-R59</x:v>
      </x:c>
      <x:c r="D46" s="14" t="str">
        <x:v>R59</x:v>
      </x:c>
      <x:c r="E46" s="2" t="str">
        <x:v>Resistor</x:v>
      </x:c>
      <x:c r="F46" s="2" t="str">
        <x:v>Panasonic</x:v>
      </x:c>
      <x:c r="G46" s="2" t="str">
        <x:v>ERJ-2GEJ561X</x:v>
      </x:c>
      <x:c r="H46" s="2" t="str">
        <x:v>0402</x:v>
      </x:c>
      <x:c r="I46" s="2" t="str">
        <x:v>560 Ohm 5% 0.1 W</x:v>
      </x:c>
      <x:c r="J46" s="2" t="str">
        <x:v>COMMON</x:v>
      </x:c>
      <x:c r="K46" s="2" t="str">
        <x:v>FITTED</x:v>
      </x:c>
      <x:c r="L46" s="16" t="n">
        <x:v>4</x:v>
      </x:c>
      <x:c r="M46" s="16" t="n">
        <x:v>0</x:v>
      </x:c>
      <x:c r="N46" s="16" t="n">
        <x:v>4</x:v>
      </x:c>
      <x:c r="O46" s="16" t="n">
        <x:v>10</x:v>
      </x:c>
      <x:c r="P46" s="16" t="n">
        <x:v>0</x:v>
      </x:c>
      <x:c r="Q46" s="16" t="n">
        <x:v>10</x:v>
      </x:c>
      <x:c r="R46" s="16" t="n">
        <x:v>20</x:v>
      </x:c>
      <x:c r="S46" s="16" t="n">
        <x:v>0</x:v>
      </x:c>
      <x:c r="T46" s="16" t="n">
        <x:v>20</x:v>
      </x:c>
      <x:c r="U46" s="14" t="str">
        <x:v>NONE</x:v>
      </x:c>
      <x:c r="V46" s="14" t="str">
        <x:v>CONTROLLED_PENDING_VERIFICATION</x:v>
      </x:c>
      <x:c r="W46" s="14" t="str">
        <x:v>SELECTED_PENDING_REVIEW_A</x:v>
      </x:c>
      <x:c r="X46" s="17" t="str">
        <x:v>Authorized or traceable tier-1 channel</x:v>
      </x:c>
      <x:c r="Y46" s="17" t="str">
        <x:v>Marking MPN package orientation electrical functional sample</x:v>
      </x:c>
    </x:row>
    <x:row r="47">
      <x:c r="A47" s="2" t="str">
        <x:v>PR-046</x:v>
      </x:c>
      <x:c r="B47" s="14" t="str">
        <x:v>PCB-MAIN</x:v>
      </x:c>
      <x:c r="C47" s="14" t="str">
        <x:v>MAIN-010-R100 | MAIN-010-R102 | MAIN-010-R38 | MAIN-010-R41 | MAIN-010-R95</x:v>
      </x:c>
      <x:c r="D47" s="14" t="str">
        <x:v>R100 | R102 | R38 | R41 | R95</x:v>
      </x:c>
      <x:c r="E47" s="2" t="str">
        <x:v>Resistor</x:v>
      </x:c>
      <x:c r="F47" s="2" t="str">
        <x:v>Panasonic</x:v>
      </x:c>
      <x:c r="G47" s="2" t="str">
        <x:v>ERJ-2RKF1001X</x:v>
      </x:c>
      <x:c r="H47" s="2" t="str">
        <x:v>0402</x:v>
      </x:c>
      <x:c r="I47" s="2" t="str">
        <x:v>1 kOhm 1%</x:v>
      </x:c>
      <x:c r="J47" s="2" t="str">
        <x:v>COMMON</x:v>
      </x:c>
      <x:c r="K47" s="2" t="str">
        <x:v>FITTED</x:v>
      </x:c>
      <x:c r="L47" s="16" t="n">
        <x:v>20</x:v>
      </x:c>
      <x:c r="M47" s="16" t="n">
        <x:v>0</x:v>
      </x:c>
      <x:c r="N47" s="16" t="n">
        <x:v>20</x:v>
      </x:c>
      <x:c r="O47" s="16" t="n">
        <x:v>50</x:v>
      </x:c>
      <x:c r="P47" s="16" t="n">
        <x:v>0</x:v>
      </x:c>
      <x:c r="Q47" s="16" t="n">
        <x:v>50</x:v>
      </x:c>
      <x:c r="R47" s="16" t="n">
        <x:v>100</x:v>
      </x:c>
      <x:c r="S47" s="16" t="n">
        <x:v>0</x:v>
      </x:c>
      <x:c r="T47" s="16" t="n">
        <x:v>100</x:v>
      </x:c>
      <x:c r="U47" s="14" t="str">
        <x:v>NONE</x:v>
      </x:c>
      <x:c r="V47" s="14" t="str">
        <x:v>CONTROLLED_PENDING_VERIFICATION</x:v>
      </x:c>
      <x:c r="W47" s="14" t="str">
        <x:v>SELECTED_PENDING_REVIEW_A</x:v>
      </x:c>
      <x:c r="X47" s="17" t="str">
        <x:v>Authorized or traceable tier-1 channel</x:v>
      </x:c>
      <x:c r="Y47" s="17" t="str">
        <x:v>Marking MPN package orientation electrical functional sample</x:v>
      </x:c>
    </x:row>
    <x:row r="48">
      <x:c r="A48" s="2" t="str">
        <x:v>PR-047</x:v>
      </x:c>
      <x:c r="B48" s="14" t="str">
        <x:v>PCB-MAIN</x:v>
      </x:c>
      <x:c r="C48" s="14" t="str">
        <x:v>MAIN-010-R1 | MAIN-010-R28 | MAIN-010-R30 | MAIN-010-R31 | MAIN-010-R46 | MAIN-010-R48 | MAIN-010-R49 | MAIN-010-R67 | MAIN-010-R68 | MAIN-010-R7 | MAIN-010-R76 | MAIN-010-R78 | MAIN-010-R85 | MAIN-010-R86 | MAIN-010-R87 | MAIN-010-R88 | MAIN-010-R89 | MAIN-010-R90 | MAIN-010-R99</x:v>
      </x:c>
      <x:c r="D48" s="14" t="str">
        <x:v>R1 | R28 | R30 | R31 | R46 | R48 | R49 | R67 | R68 | R7 | R76 | R78 | R85 | R86 | R87 | R88 | R89 | R90 | R99</x:v>
      </x:c>
      <x:c r="E48" s="2" t="str">
        <x:v>Resistor</x:v>
      </x:c>
      <x:c r="F48" s="2" t="str">
        <x:v>Panasonic</x:v>
      </x:c>
      <x:c r="G48" s="2" t="str">
        <x:v>ERJ-2RKF1002X</x:v>
      </x:c>
      <x:c r="H48" s="2" t="str">
        <x:v>0402</x:v>
      </x:c>
      <x:c r="I48" s="2" t="str">
        <x:v>10 kOhm 1%</x:v>
      </x:c>
      <x:c r="J48" s="2" t="str">
        <x:v>COMMON</x:v>
      </x:c>
      <x:c r="K48" s="2" t="str">
        <x:v>FITTED</x:v>
      </x:c>
      <x:c r="L48" s="16" t="n">
        <x:v>76</x:v>
      </x:c>
      <x:c r="M48" s="16" t="n">
        <x:v>0</x:v>
      </x:c>
      <x:c r="N48" s="16" t="n">
        <x:v>76</x:v>
      </x:c>
      <x:c r="O48" s="16" t="n">
        <x:v>190</x:v>
      </x:c>
      <x:c r="P48" s="16" t="n">
        <x:v>0</x:v>
      </x:c>
      <x:c r="Q48" s="16" t="n">
        <x:v>190</x:v>
      </x:c>
      <x:c r="R48" s="16" t="n">
        <x:v>380</x:v>
      </x:c>
      <x:c r="S48" s="16" t="n">
        <x:v>0</x:v>
      </x:c>
      <x:c r="T48" s="16" t="n">
        <x:v>380</x:v>
      </x:c>
      <x:c r="U48" s="14" t="str">
        <x:v>NONE</x:v>
      </x:c>
      <x:c r="V48" s="14" t="str">
        <x:v>CONTROLLED_PENDING_VERIFICATION</x:v>
      </x:c>
      <x:c r="W48" s="14" t="str">
        <x:v>SELECTED_PENDING_REVIEW_A</x:v>
      </x:c>
      <x:c r="X48" s="17" t="str">
        <x:v>Authorized or traceable tier-1 channel</x:v>
      </x:c>
      <x:c r="Y48" s="17" t="str">
        <x:v>Marking MPN package orientation electrical functional sample</x:v>
      </x:c>
    </x:row>
    <x:row r="49">
      <x:c r="A49" s="2" t="str">
        <x:v>PR-048</x:v>
      </x:c>
      <x:c r="B49" s="14" t="str">
        <x:v>PCB-PWR</x:v>
      </x:c>
      <x:c r="C49" s="14" t="str">
        <x:v>PWR-R-10K-DNP</x:v>
      </x:c>
      <x:c r="D49" s="14" t="str">
        <x:v>R15</x:v>
      </x:c>
      <x:c r="E49" s="2" t="str">
        <x:v>Passive</x:v>
      </x:c>
      <x:c r="F49" s="2" t="str">
        <x:v>Panasonic Industry</x:v>
      </x:c>
      <x:c r="G49" s="2" t="str">
        <x:v>ERJ-2RKF1002X</x:v>
      </x:c>
      <x:c r="H49" s="2" t="str">
        <x:v>0402</x:v>
      </x:c>
      <x:c r="I49" s="2" t="str">
        <x:v>10 kOhm 1%</x:v>
      </x:c>
      <x:c r="J49" s="2" t="str">
        <x:v>COMMON</x:v>
      </x:c>
      <x:c r="K49" s="2" t="str">
        <x:v>DNP</x:v>
      </x:c>
      <x:c r="L49" s="16" t="n">
        <x:v>0</x:v>
      </x:c>
      <x:c r="M49" s="16" t="n">
        <x:v>0</x:v>
      </x:c>
      <x:c r="N49" s="16" t="n">
        <x:v>0</x:v>
      </x:c>
      <x:c r="O49" s="16" t="n">
        <x:v>0</x:v>
      </x:c>
      <x:c r="P49" s="16" t="n">
        <x:v>0</x:v>
      </x:c>
      <x:c r="Q49" s="16" t="n">
        <x:v>0</x:v>
      </x:c>
      <x:c r="R49" s="16" t="n">
        <x:v>0</x:v>
      </x:c>
      <x:c r="S49" s="16" t="n">
        <x:v>0</x:v>
      </x:c>
      <x:c r="T49" s="16" t="n">
        <x:v>0</x:v>
      </x:c>
      <x:c r="U49" s="14" t="str">
        <x:v>NONE</x:v>
      </x:c>
      <x:c r="V49" s="14" t="str">
        <x:v>CONTROLLED_DNP</x:v>
      </x:c>
      <x:c r="W49" s="14" t="str">
        <x:v>LOCKED_DNP</x:v>
      </x:c>
      <x:c r="X49" s="17" t="str">
        <x:v>Authorized or traceable tier-1 channel</x:v>
      </x:c>
      <x:c r="Y49" s="17" t="str">
        <x:v>Marking MPN package orientation electrical functional sample</x:v>
      </x:c>
    </x:row>
    <x:row r="50">
      <x:c r="A50" s="2" t="str">
        <x:v>PR-049</x:v>
      </x:c>
      <x:c r="B50" s="14" t="str">
        <x:v>PCB-PWR</x:v>
      </x:c>
      <x:c r="C50" s="14" t="str">
        <x:v>PWR-R-10K</x:v>
      </x:c>
      <x:c r="D50" s="14" t="str">
        <x:v>R10;R12</x:v>
      </x:c>
      <x:c r="E50" s="2" t="str">
        <x:v>Passive</x:v>
      </x:c>
      <x:c r="F50" s="2" t="str">
        <x:v>Panasonic Industry</x:v>
      </x:c>
      <x:c r="G50" s="2" t="str">
        <x:v>ERJ-2RKF1002X</x:v>
      </x:c>
      <x:c r="H50" s="2" t="str">
        <x:v>0402</x:v>
      </x:c>
      <x:c r="I50" s="2" t="str">
        <x:v>10 kOhm 1%</x:v>
      </x:c>
      <x:c r="J50" s="2" t="str">
        <x:v>COMMON</x:v>
      </x:c>
      <x:c r="K50" s="2" t="str">
        <x:v>FITTED</x:v>
      </x:c>
      <x:c r="L50" s="16" t="n">
        <x:v>8</x:v>
      </x:c>
      <x:c r="M50" s="16" t="n">
        <x:v>40</x:v>
      </x:c>
      <x:c r="N50" s="16" t="n">
        <x:v>48</x:v>
      </x:c>
      <x:c r="O50" s="16" t="n">
        <x:v>20</x:v>
      </x:c>
      <x:c r="P50" s="16" t="n">
        <x:v>40</x:v>
      </x:c>
      <x:c r="Q50" s="16" t="n">
        <x:v>60</x:v>
      </x:c>
      <x:c r="R50" s="16" t="n">
        <x:v>40</x:v>
      </x:c>
      <x:c r="S50" s="16" t="n">
        <x:v>40</x:v>
      </x:c>
      <x:c r="T50" s="16" t="n">
        <x:v>80</x:v>
      </x:c>
      <x:c r="U50" s="14" t="str">
        <x:v>FIXED_LOT_MIN</x:v>
      </x:c>
      <x:c r="V50" s="14" t="str">
        <x:v>CONTROLLED_PENDING_VERIFICATION</x:v>
      </x:c>
      <x:c r="W50" s="14" t="str">
        <x:v>LOCKED_FITTED</x:v>
      </x:c>
      <x:c r="X50" s="17" t="str">
        <x:v>Authorized or traceable tier-1 channel</x:v>
      </x:c>
      <x:c r="Y50" s="17" t="str">
        <x:v>Marking MPN package orientation electrical functional sample</x:v>
      </x:c>
    </x:row>
    <x:row r="51">
      <x:c r="A51" s="2" t="str">
        <x:v>PR-050</x:v>
      </x:c>
      <x:c r="B51" s="14" t="str">
        <x:v>PCB-MAIN</x:v>
      </x:c>
      <x:c r="C51" s="14" t="str">
        <x:v>MAIN-010-R4 | MAIN-010-R6</x:v>
      </x:c>
      <x:c r="D51" s="14" t="str">
        <x:v>R4 | R6</x:v>
      </x:c>
      <x:c r="E51" s="2" t="str">
        <x:v>Resistor</x:v>
      </x:c>
      <x:c r="F51" s="2" t="str">
        <x:v>Panasonic</x:v>
      </x:c>
      <x:c r="G51" s="2" t="str">
        <x:v>ERJ-2RKF1003X</x:v>
      </x:c>
      <x:c r="H51" s="2" t="str">
        <x:v>0402</x:v>
      </x:c>
      <x:c r="I51" s="2" t="str">
        <x:v>100 kOhm 1%</x:v>
      </x:c>
      <x:c r="J51" s="2" t="str">
        <x:v>COMMON</x:v>
      </x:c>
      <x:c r="K51" s="2" t="str">
        <x:v>DNP</x:v>
      </x:c>
      <x:c r="L51" s="16" t="n">
        <x:v>0</x:v>
      </x:c>
      <x:c r="M51" s="16" t="n">
        <x:v>0</x:v>
      </x:c>
      <x:c r="N51" s="16" t="n">
        <x:v>0</x:v>
      </x:c>
      <x:c r="O51" s="16" t="n">
        <x:v>0</x:v>
      </x:c>
      <x:c r="P51" s="16" t="n">
        <x:v>0</x:v>
      </x:c>
      <x:c r="Q51" s="16" t="n">
        <x:v>0</x:v>
      </x:c>
      <x:c r="R51" s="16" t="n">
        <x:v>0</x:v>
      </x:c>
      <x:c r="S51" s="16" t="n">
        <x:v>0</x:v>
      </x:c>
      <x:c r="T51" s="16" t="n">
        <x:v>0</x:v>
      </x:c>
      <x:c r="U51" s="14" t="str">
        <x:v>NONE</x:v>
      </x:c>
      <x:c r="V51" s="14" t="str">
        <x:v>CONTROLLED_DNP</x:v>
      </x:c>
      <x:c r="W51" s="14" t="str">
        <x:v>CONTROLLED_DNP</x:v>
      </x:c>
      <x:c r="X51" s="17" t="str">
        <x:v>Authorized or traceable tier-1 channel</x:v>
      </x:c>
      <x:c r="Y51" s="17" t="str">
        <x:v>Marking MPN package orientation electrical functional sample</x:v>
      </x:c>
    </x:row>
    <x:row r="52">
      <x:c r="A52" s="2" t="str">
        <x:v>PR-051</x:v>
      </x:c>
      <x:c r="B52" s="14" t="str">
        <x:v>PCB-MAIN</x:v>
      </x:c>
      <x:c r="C52" s="14" t="str">
        <x:v>MAIN-010-R19 | MAIN-010-R2 | MAIN-010-R20 | MAIN-010-R21 | MAIN-010-R22 | MAIN-010-R23 | MAIN-010-R29 | MAIN-010-R3 | MAIN-010-R32 | MAIN-010-R33 | MAIN-010-R34 | MAIN-010-R35 | MAIN-010-R45 | MAIN-010-R47 | MAIN-010-R5 | MAIN-010-R63 | MAIN-010-R64 | MAIN-010-R65 | MAIN-010-R66 | MAIN-010-R77 | MAIN-010-R96</x:v>
      </x:c>
      <x:c r="D52" s="14" t="str">
        <x:v>R19 | R2 | R20 | R21 | R22 | R23 | R29 | R3 | R32 | R33 | R34 | R35 | R45 | R47 | R5 | R63 | R64 | R65 | R66 | R77 | R96</x:v>
      </x:c>
      <x:c r="E52" s="2" t="str">
        <x:v>Resistor</x:v>
      </x:c>
      <x:c r="F52" s="2" t="str">
        <x:v>Panasonic</x:v>
      </x:c>
      <x:c r="G52" s="2" t="str">
        <x:v>ERJ-2RKF1003X</x:v>
      </x:c>
      <x:c r="H52" s="2" t="str">
        <x:v>0402</x:v>
      </x:c>
      <x:c r="I52" s="2" t="str">
        <x:v>100 kOhm 1%</x:v>
      </x:c>
      <x:c r="J52" s="2" t="str">
        <x:v>COMMON</x:v>
      </x:c>
      <x:c r="K52" s="2" t="str">
        <x:v>FITTED</x:v>
      </x:c>
      <x:c r="L52" s="16" t="n">
        <x:v>84</x:v>
      </x:c>
      <x:c r="M52" s="16" t="n">
        <x:v>0</x:v>
      </x:c>
      <x:c r="N52" s="16" t="n">
        <x:v>84</x:v>
      </x:c>
      <x:c r="O52" s="16" t="n">
        <x:v>210</x:v>
      </x:c>
      <x:c r="P52" s="16" t="n">
        <x:v>0</x:v>
      </x:c>
      <x:c r="Q52" s="16" t="n">
        <x:v>210</x:v>
      </x:c>
      <x:c r="R52" s="16" t="n">
        <x:v>420</x:v>
      </x:c>
      <x:c r="S52" s="16" t="n">
        <x:v>0</x:v>
      </x:c>
      <x:c r="T52" s="16" t="n">
        <x:v>420</x:v>
      </x:c>
      <x:c r="U52" s="14" t="str">
        <x:v>NONE</x:v>
      </x:c>
      <x:c r="V52" s="14" t="str">
        <x:v>CONTROLLED_PENDING_VERIFICATION</x:v>
      </x:c>
      <x:c r="W52" s="14" t="str">
        <x:v>SELECTED_PENDING_REVIEW_A</x:v>
      </x:c>
      <x:c r="X52" s="17" t="str">
        <x:v>Authorized or traceable tier-1 channel</x:v>
      </x:c>
      <x:c r="Y52" s="17" t="str">
        <x:v>Marking MPN package orientation electrical functional sample</x:v>
      </x:c>
    </x:row>
    <x:row r="53">
      <x:c r="A53" s="2" t="str">
        <x:v>PR-052</x:v>
      </x:c>
      <x:c r="B53" s="14" t="str">
        <x:v>PCB-PWR</x:v>
      </x:c>
      <x:c r="C53" s="14" t="str">
        <x:v>PWR-R-100K</x:v>
      </x:c>
      <x:c r="D53" s="14" t="str">
        <x:v>R6;R11</x:v>
      </x:c>
      <x:c r="E53" s="2" t="str">
        <x:v>Passive</x:v>
      </x:c>
      <x:c r="F53" s="2" t="str">
        <x:v>Panasonic Industry</x:v>
      </x:c>
      <x:c r="G53" s="2" t="str">
        <x:v>ERJ-2RKF1003X</x:v>
      </x:c>
      <x:c r="H53" s="2" t="str">
        <x:v>0402</x:v>
      </x:c>
      <x:c r="I53" s="2" t="str">
        <x:v>100 kOhm 1%</x:v>
      </x:c>
      <x:c r="J53" s="2" t="str">
        <x:v>COMMON</x:v>
      </x:c>
      <x:c r="K53" s="2" t="str">
        <x:v>FITTED</x:v>
      </x:c>
      <x:c r="L53" s="16" t="n">
        <x:v>8</x:v>
      </x:c>
      <x:c r="M53" s="16" t="n">
        <x:v>40</x:v>
      </x:c>
      <x:c r="N53" s="16" t="n">
        <x:v>48</x:v>
      </x:c>
      <x:c r="O53" s="16" t="n">
        <x:v>20</x:v>
      </x:c>
      <x:c r="P53" s="16" t="n">
        <x:v>40</x:v>
      </x:c>
      <x:c r="Q53" s="16" t="n">
        <x:v>60</x:v>
      </x:c>
      <x:c r="R53" s="16" t="n">
        <x:v>40</x:v>
      </x:c>
      <x:c r="S53" s="16" t="n">
        <x:v>40</x:v>
      </x:c>
      <x:c r="T53" s="16" t="n">
        <x:v>80</x:v>
      </x:c>
      <x:c r="U53" s="14" t="str">
        <x:v>FIXED_LOT_MIN</x:v>
      </x:c>
      <x:c r="V53" s="14" t="str">
        <x:v>CONTROLLED_PENDING_VERIFICATION</x:v>
      </x:c>
      <x:c r="W53" s="14" t="str">
        <x:v>LOCKED_FITTED</x:v>
      </x:c>
      <x:c r="X53" s="17" t="str">
        <x:v>Authorized or traceable tier-1 channel</x:v>
      </x:c>
      <x:c r="Y53" s="17" t="str">
        <x:v>Marking MPN package orientation electrical functional sample</x:v>
      </x:c>
    </x:row>
    <x:row r="54">
      <x:c r="A54" s="2" t="str">
        <x:v>PR-053</x:v>
      </x:c>
      <x:c r="B54" s="14" t="str">
        <x:v>PCB-MAIN</x:v>
      </x:c>
      <x:c r="C54" s="14" t="str">
        <x:v>MAIN-010-R97</x:v>
      </x:c>
      <x:c r="D54" s="14" t="str">
        <x:v>R97</x:v>
      </x:c>
      <x:c r="E54" s="2" t="str">
        <x:v>Resistor</x:v>
      </x:c>
      <x:c r="F54" s="2" t="str">
        <x:v>Panasonic</x:v>
      </x:c>
      <x:c r="G54" s="2" t="str">
        <x:v>ERJ-2RKF1004X</x:v>
      </x:c>
      <x:c r="H54" s="2" t="str">
        <x:v>0402</x:v>
      </x:c>
      <x:c r="I54" s="2" t="str">
        <x:v>1 MOhm 1%</x:v>
      </x:c>
      <x:c r="J54" s="2" t="str">
        <x:v>COMMON</x:v>
      </x:c>
      <x:c r="K54" s="2" t="str">
        <x:v>FITTED</x:v>
      </x:c>
      <x:c r="L54" s="16" t="n">
        <x:v>4</x:v>
      </x:c>
      <x:c r="M54" s="16" t="n">
        <x:v>0</x:v>
      </x:c>
      <x:c r="N54" s="16" t="n">
        <x:v>4</x:v>
      </x:c>
      <x:c r="O54" s="16" t="n">
        <x:v>10</x:v>
      </x:c>
      <x:c r="P54" s="16" t="n">
        <x:v>0</x:v>
      </x:c>
      <x:c r="Q54" s="16" t="n">
        <x:v>10</x:v>
      </x:c>
      <x:c r="R54" s="16" t="n">
        <x:v>20</x:v>
      </x:c>
      <x:c r="S54" s="16" t="n">
        <x:v>0</x:v>
      </x:c>
      <x:c r="T54" s="16" t="n">
        <x:v>20</x:v>
      </x:c>
      <x:c r="U54" s="14" t="str">
        <x:v>NONE</x:v>
      </x:c>
      <x:c r="V54" s="14" t="str">
        <x:v>CONTROLLED_PENDING_VERIFICATION</x:v>
      </x:c>
      <x:c r="W54" s="14" t="str">
        <x:v>SELECTED_PENDING_REVIEW_A</x:v>
      </x:c>
      <x:c r="X54" s="17" t="str">
        <x:v>Authorized or traceable tier-1 channel</x:v>
      </x:c>
      <x:c r="Y54" s="17" t="str">
        <x:v>Marking MPN package orientation electrical functional sample</x:v>
      </x:c>
    </x:row>
    <x:row r="55">
      <x:c r="A55" s="2" t="str">
        <x:v>PR-054</x:v>
      </x:c>
      <x:c r="B55" s="14" t="str">
        <x:v>PCB-MAIN</x:v>
      </x:c>
      <x:c r="C55" s="14" t="str">
        <x:v>MAIN-010-R13 | MAIN-010-R14</x:v>
      </x:c>
      <x:c r="D55" s="14" t="str">
        <x:v>R13 | R14</x:v>
      </x:c>
      <x:c r="E55" s="2" t="str">
        <x:v>Resistor</x:v>
      </x:c>
      <x:c r="F55" s="2" t="str">
        <x:v>Panasonic</x:v>
      </x:c>
      <x:c r="G55" s="2" t="str">
        <x:v>ERJ-2RKF2201X</x:v>
      </x:c>
      <x:c r="H55" s="2" t="str">
        <x:v>0402</x:v>
      </x:c>
      <x:c r="I55" s="2" t="str">
        <x:v>2.2 kOhm 1%</x:v>
      </x:c>
      <x:c r="J55" s="2" t="str">
        <x:v>COMMON</x:v>
      </x:c>
      <x:c r="K55" s="2" t="str">
        <x:v>FITTED</x:v>
      </x:c>
      <x:c r="L55" s="16" t="n">
        <x:v>8</x:v>
      </x:c>
      <x:c r="M55" s="16" t="n">
        <x:v>0</x:v>
      </x:c>
      <x:c r="N55" s="16" t="n">
        <x:v>8</x:v>
      </x:c>
      <x:c r="O55" s="16" t="n">
        <x:v>20</x:v>
      </x:c>
      <x:c r="P55" s="16" t="n">
        <x:v>0</x:v>
      </x:c>
      <x:c r="Q55" s="16" t="n">
        <x:v>20</x:v>
      </x:c>
      <x:c r="R55" s="16" t="n">
        <x:v>40</x:v>
      </x:c>
      <x:c r="S55" s="16" t="n">
        <x:v>0</x:v>
      </x:c>
      <x:c r="T55" s="16" t="n">
        <x:v>40</x:v>
      </x:c>
      <x:c r="U55" s="14" t="str">
        <x:v>NONE</x:v>
      </x:c>
      <x:c r="V55" s="14" t="str">
        <x:v>CONTROLLED_PENDING_VERIFICATION</x:v>
      </x:c>
      <x:c r="W55" s="14" t="str">
        <x:v>SELECTED_PENDING_REVIEW_A</x:v>
      </x:c>
      <x:c r="X55" s="17" t="str">
        <x:v>Authorized or traceable tier-1 channel</x:v>
      </x:c>
      <x:c r="Y55" s="17" t="str">
        <x:v>Marking MPN package orientation electrical functional sample</x:v>
      </x:c>
    </x:row>
    <x:row r="56">
      <x:c r="A56" s="2" t="str">
        <x:v>PR-055</x:v>
      </x:c>
      <x:c r="B56" s="14" t="str">
        <x:v>PCB-MAIN</x:v>
      </x:c>
      <x:c r="C56" s="14" t="str">
        <x:v>MAIN-010-R10 | MAIN-010-R101 | MAIN-010-R11 | MAIN-010-R12 | MAIN-010-R15 | MAIN-010-R16 | MAIN-010-R17 | MAIN-010-R18 | MAIN-010-R36 | MAIN-010-R37 | MAIN-010-R56 | MAIN-010-R57 | MAIN-010-R58 | MAIN-010-R69 | MAIN-010-R70 | MAIN-010-R71 | MAIN-010-R72 | MAIN-010-R74 | MAIN-010-R75 | MAIN-010-R79 | MAIN-010-R8 | MAIN-010-R80 | MAIN-010-R81 | MAIN-010-R82 | MAIN-010-R83 | MAIN-010-R84 | MAIN-010-R9 | MAIN-010-R91 | MAIN-010-R92</x:v>
      </x:c>
      <x:c r="D56" s="14" t="str">
        <x:v>R10 | R101 | R11 | R12 | R15 | R16 | R17 | R18 | R36 | R37 | R56 | R57 | R58 | R69 | R70 | R71 | R72 | R74 | R75 | R79 | R8 | R80 | R81 | R82 | R83 | R84 | R9 | R91 | R92</x:v>
      </x:c>
      <x:c r="E56" s="2" t="str">
        <x:v>Resistor</x:v>
      </x:c>
      <x:c r="F56" s="2" t="str">
        <x:v>Panasonic</x:v>
      </x:c>
      <x:c r="G56" s="2" t="str">
        <x:v>ERJ-2RKF22R0X</x:v>
      </x:c>
      <x:c r="H56" s="2" t="str">
        <x:v>0402</x:v>
      </x:c>
      <x:c r="I56" s="2" t="str">
        <x:v>22 Ohm 1%</x:v>
      </x:c>
      <x:c r="J56" s="2" t="str">
        <x:v>COMMON</x:v>
      </x:c>
      <x:c r="K56" s="2" t="str">
        <x:v>FITTED</x:v>
      </x:c>
      <x:c r="L56" s="16" t="n">
        <x:v>116</x:v>
      </x:c>
      <x:c r="M56" s="16" t="n">
        <x:v>0</x:v>
      </x:c>
      <x:c r="N56" s="16" t="n">
        <x:v>116</x:v>
      </x:c>
      <x:c r="O56" s="16" t="n">
        <x:v>290</x:v>
      </x:c>
      <x:c r="P56" s="16" t="n">
        <x:v>0</x:v>
      </x:c>
      <x:c r="Q56" s="16" t="n">
        <x:v>290</x:v>
      </x:c>
      <x:c r="R56" s="16" t="n">
        <x:v>580</x:v>
      </x:c>
      <x:c r="S56" s="16" t="n">
        <x:v>0</x:v>
      </x:c>
      <x:c r="T56" s="16" t="n">
        <x:v>580</x:v>
      </x:c>
      <x:c r="U56" s="14" t="str">
        <x:v>NONE</x:v>
      </x:c>
      <x:c r="V56" s="14" t="str">
        <x:v>CONTROLLED_PENDING_VERIFICATION</x:v>
      </x:c>
      <x:c r="W56" s="14" t="str">
        <x:v>SELECTED_PENDING_REVIEW_A</x:v>
      </x:c>
      <x:c r="X56" s="17" t="str">
        <x:v>Authorized or traceable tier-1 channel</x:v>
      </x:c>
      <x:c r="Y56" s="17" t="str">
        <x:v>Marking MPN package orientation electrical functional sample</x:v>
      </x:c>
    </x:row>
    <x:row r="57">
      <x:c r="A57" s="2" t="str">
        <x:v>PR-056</x:v>
      </x:c>
      <x:c r="B57" s="14" t="str">
        <x:v>PCB-MAIN</x:v>
      </x:c>
      <x:c r="C57" s="14" t="str">
        <x:v>MAIN-010-R24 | MAIN-010-R26</x:v>
      </x:c>
      <x:c r="D57" s="14" t="str">
        <x:v>R24 | R26</x:v>
      </x:c>
      <x:c r="E57" s="2" t="str">
        <x:v>Resistor</x:v>
      </x:c>
      <x:c r="F57" s="2" t="str">
        <x:v>Panasonic</x:v>
      </x:c>
      <x:c r="G57" s="2" t="str">
        <x:v>ERJ-2RKF4701X</x:v>
      </x:c>
      <x:c r="H57" s="2" t="str">
        <x:v>0402</x:v>
      </x:c>
      <x:c r="I57" s="2" t="str">
        <x:v>4.7 kOhm 1%</x:v>
      </x:c>
      <x:c r="J57" s="2" t="str">
        <x:v>COMMON</x:v>
      </x:c>
      <x:c r="K57" s="2" t="str">
        <x:v>FITTED</x:v>
      </x:c>
      <x:c r="L57" s="16" t="n">
        <x:v>8</x:v>
      </x:c>
      <x:c r="M57" s="16" t="n">
        <x:v>0</x:v>
      </x:c>
      <x:c r="N57" s="16" t="n">
        <x:v>8</x:v>
      </x:c>
      <x:c r="O57" s="16" t="n">
        <x:v>20</x:v>
      </x:c>
      <x:c r="P57" s="16" t="n">
        <x:v>0</x:v>
      </x:c>
      <x:c r="Q57" s="16" t="n">
        <x:v>20</x:v>
      </x:c>
      <x:c r="R57" s="16" t="n">
        <x:v>40</x:v>
      </x:c>
      <x:c r="S57" s="16" t="n">
        <x:v>0</x:v>
      </x:c>
      <x:c r="T57" s="16" t="n">
        <x:v>40</x:v>
      </x:c>
      <x:c r="U57" s="14" t="str">
        <x:v>NONE</x:v>
      </x:c>
      <x:c r="V57" s="14" t="str">
        <x:v>CONTROLLED_PENDING_VERIFICATION</x:v>
      </x:c>
      <x:c r="W57" s="14" t="str">
        <x:v>SELECTED_PENDING_REVIEW_A</x:v>
      </x:c>
      <x:c r="X57" s="17" t="str">
        <x:v>Authorized or traceable tier-1 channel</x:v>
      </x:c>
      <x:c r="Y57" s="17" t="str">
        <x:v>Marking MPN package orientation electrical functional sample</x:v>
      </x:c>
    </x:row>
    <x:row r="58">
      <x:c r="A58" s="2" t="str">
        <x:v>PR-057</x:v>
      </x:c>
      <x:c r="B58" s="14" t="str">
        <x:v>PCB-PWR</x:v>
      </x:c>
      <x:c r="C58" s="14" t="str">
        <x:v>PWR-R-4K7-DNP</x:v>
      </x:c>
      <x:c r="D58" s="14" t="str">
        <x:v>R13;R14</x:v>
      </x:c>
      <x:c r="E58" s="2" t="str">
        <x:v>Passive</x:v>
      </x:c>
      <x:c r="F58" s="2" t="str">
        <x:v>Panasonic Industry</x:v>
      </x:c>
      <x:c r="G58" s="2" t="str">
        <x:v>ERJ-2RKF4701X</x:v>
      </x:c>
      <x:c r="H58" s="2" t="str">
        <x:v>0402</x:v>
      </x:c>
      <x:c r="I58" s="2" t="str">
        <x:v>4.7 kOhm 1%</x:v>
      </x:c>
      <x:c r="J58" s="2" t="str">
        <x:v>COMMON</x:v>
      </x:c>
      <x:c r="K58" s="2" t="str">
        <x:v>DNP</x:v>
      </x:c>
      <x:c r="L58" s="16" t="n">
        <x:v>0</x:v>
      </x:c>
      <x:c r="M58" s="16" t="n">
        <x:v>0</x:v>
      </x:c>
      <x:c r="N58" s="16" t="n">
        <x:v>0</x:v>
      </x:c>
      <x:c r="O58" s="16" t="n">
        <x:v>0</x:v>
      </x:c>
      <x:c r="P58" s="16" t="n">
        <x:v>0</x:v>
      </x:c>
      <x:c r="Q58" s="16" t="n">
        <x:v>0</x:v>
      </x:c>
      <x:c r="R58" s="16" t="n">
        <x:v>0</x:v>
      </x:c>
      <x:c r="S58" s="16" t="n">
        <x:v>0</x:v>
      </x:c>
      <x:c r="T58" s="16" t="n">
        <x:v>0</x:v>
      </x:c>
      <x:c r="U58" s="14" t="str">
        <x:v>NONE</x:v>
      </x:c>
      <x:c r="V58" s="14" t="str">
        <x:v>CONTROLLED_DNP</x:v>
      </x:c>
      <x:c r="W58" s="14" t="str">
        <x:v>LOCKED_DNP</x:v>
      </x:c>
      <x:c r="X58" s="17" t="str">
        <x:v>Authorized or traceable tier-1 channel</x:v>
      </x:c>
      <x:c r="Y58" s="17" t="str">
        <x:v>Marking MPN package orientation electrical functional sample</x:v>
      </x:c>
    </x:row>
    <x:row r="59">
      <x:c r="A59" s="2" t="str">
        <x:v>PR-058</x:v>
      </x:c>
      <x:c r="B59" s="14" t="str">
        <x:v>PCB-MAIN</x:v>
      </x:c>
      <x:c r="C59" s="14" t="str">
        <x:v>MAIN-010-R25 | MAIN-010-R27 | MAIN-010-R44</x:v>
      </x:c>
      <x:c r="D59" s="14" t="str">
        <x:v>R25 | R27 | R44</x:v>
      </x:c>
      <x:c r="E59" s="2" t="str">
        <x:v>Resistor</x:v>
      </x:c>
      <x:c r="F59" s="2" t="str">
        <x:v>Panasonic</x:v>
      </x:c>
      <x:c r="G59" s="2" t="str">
        <x:v>ERJ-2RKF4702X</x:v>
      </x:c>
      <x:c r="H59" s="2" t="str">
        <x:v>0402</x:v>
      </x:c>
      <x:c r="I59" s="2" t="str">
        <x:v>47 kOhm 1%</x:v>
      </x:c>
      <x:c r="J59" s="2" t="str">
        <x:v>COMMON</x:v>
      </x:c>
      <x:c r="K59" s="2" t="str">
        <x:v>FITTED</x:v>
      </x:c>
      <x:c r="L59" s="16" t="n">
        <x:v>12</x:v>
      </x:c>
      <x:c r="M59" s="16" t="n">
        <x:v>0</x:v>
      </x:c>
      <x:c r="N59" s="16" t="n">
        <x:v>12</x:v>
      </x:c>
      <x:c r="O59" s="16" t="n">
        <x:v>30</x:v>
      </x:c>
      <x:c r="P59" s="16" t="n">
        <x:v>0</x:v>
      </x:c>
      <x:c r="Q59" s="16" t="n">
        <x:v>30</x:v>
      </x:c>
      <x:c r="R59" s="16" t="n">
        <x:v>60</x:v>
      </x:c>
      <x:c r="S59" s="16" t="n">
        <x:v>0</x:v>
      </x:c>
      <x:c r="T59" s="16" t="n">
        <x:v>60</x:v>
      </x:c>
      <x:c r="U59" s="14" t="str">
        <x:v>NONE</x:v>
      </x:c>
      <x:c r="V59" s="14" t="str">
        <x:v>CONTROLLED_PENDING_VERIFICATION</x:v>
      </x:c>
      <x:c r="W59" s="14" t="str">
        <x:v>SELECTED_PENDING_REVIEW_A</x:v>
      </x:c>
      <x:c r="X59" s="17" t="str">
        <x:v>Authorized or traceable tier-1 channel</x:v>
      </x:c>
      <x:c r="Y59" s="17" t="str">
        <x:v>Marking MPN package orientation electrical functional sample</x:v>
      </x:c>
    </x:row>
    <x:row r="60">
      <x:c r="A60" s="2" t="str">
        <x:v>PR-059</x:v>
      </x:c>
      <x:c r="B60" s="14" t="str">
        <x:v>PCB-MAIN</x:v>
      </x:c>
      <x:c r="C60" s="14" t="str">
        <x:v>MAIN-010-R93 | MAIN-010-R94</x:v>
      </x:c>
      <x:c r="D60" s="14" t="str">
        <x:v>R93 | R94</x:v>
      </x:c>
      <x:c r="E60" s="2" t="str">
        <x:v>Resistor</x:v>
      </x:c>
      <x:c r="F60" s="2" t="str">
        <x:v>Panasonic</x:v>
      </x:c>
      <x:c r="G60" s="2" t="str">
        <x:v>ERJ-2RKF5101X</x:v>
      </x:c>
      <x:c r="H60" s="2" t="str">
        <x:v>0402</x:v>
      </x:c>
      <x:c r="I60" s="2" t="str">
        <x:v>5.1 kOhm 1%</x:v>
      </x:c>
      <x:c r="J60" s="2" t="str">
        <x:v>COMMON</x:v>
      </x:c>
      <x:c r="K60" s="2" t="str">
        <x:v>FITTED</x:v>
      </x:c>
      <x:c r="L60" s="16" t="n">
        <x:v>8</x:v>
      </x:c>
      <x:c r="M60" s="16" t="n">
        <x:v>0</x:v>
      </x:c>
      <x:c r="N60" s="16" t="n">
        <x:v>8</x:v>
      </x:c>
      <x:c r="O60" s="16" t="n">
        <x:v>20</x:v>
      </x:c>
      <x:c r="P60" s="16" t="n">
        <x:v>0</x:v>
      </x:c>
      <x:c r="Q60" s="16" t="n">
        <x:v>20</x:v>
      </x:c>
      <x:c r="R60" s="16" t="n">
        <x:v>40</x:v>
      </x:c>
      <x:c r="S60" s="16" t="n">
        <x:v>0</x:v>
      </x:c>
      <x:c r="T60" s="16" t="n">
        <x:v>40</x:v>
      </x:c>
      <x:c r="U60" s="14" t="str">
        <x:v>NONE</x:v>
      </x:c>
      <x:c r="V60" s="14" t="str">
        <x:v>CONTROLLED_PENDING_VERIFICATION</x:v>
      </x:c>
      <x:c r="W60" s="14" t="str">
        <x:v>SELECTED_PENDING_REVIEW_A</x:v>
      </x:c>
      <x:c r="X60" s="17" t="str">
        <x:v>Authorized or traceable tier-1 channel</x:v>
      </x:c>
      <x:c r="Y60" s="17" t="str">
        <x:v>Marking MPN package orientation electrical functional sample</x:v>
      </x:c>
    </x:row>
    <x:row r="61">
      <x:c r="A61" s="2" t="str">
        <x:v>PR-060</x:v>
      </x:c>
      <x:c r="B61" s="14" t="str">
        <x:v>PCB-MAIN</x:v>
      </x:c>
      <x:c r="C61" s="14" t="str">
        <x:v>MAIN-010-R62</x:v>
      </x:c>
      <x:c r="D61" s="14" t="str">
        <x:v>R62</x:v>
      </x:c>
      <x:c r="E61" s="2" t="str">
        <x:v>Resistor</x:v>
      </x:c>
      <x:c r="F61" s="2" t="str">
        <x:v>Panasonic</x:v>
      </x:c>
      <x:c r="G61" s="2" t="str">
        <x:v>ERJ-8GEYJ100V</x:v>
      </x:c>
      <x:c r="H61" s="2" t="str">
        <x:v>1206</x:v>
      </x:c>
      <x:c r="I61" s="2" t="str">
        <x:v>10 Ohm 5% 0.25 W</x:v>
      </x:c>
      <x:c r="J61" s="2" t="str">
        <x:v>COMMON</x:v>
      </x:c>
      <x:c r="K61" s="2" t="str">
        <x:v>FITTED</x:v>
      </x:c>
      <x:c r="L61" s="16" t="n">
        <x:v>4</x:v>
      </x:c>
      <x:c r="M61" s="16" t="n">
        <x:v>0</x:v>
      </x:c>
      <x:c r="N61" s="16" t="n">
        <x:v>4</x:v>
      </x:c>
      <x:c r="O61" s="16" t="n">
        <x:v>10</x:v>
      </x:c>
      <x:c r="P61" s="16" t="n">
        <x:v>0</x:v>
      </x:c>
      <x:c r="Q61" s="16" t="n">
        <x:v>10</x:v>
      </x:c>
      <x:c r="R61" s="16" t="n">
        <x:v>20</x:v>
      </x:c>
      <x:c r="S61" s="16" t="n">
        <x:v>0</x:v>
      </x:c>
      <x:c r="T61" s="16" t="n">
        <x:v>20</x:v>
      </x:c>
      <x:c r="U61" s="14" t="str">
        <x:v>NONE</x:v>
      </x:c>
      <x:c r="V61" s="14" t="str">
        <x:v>CONTROLLED_PENDING_VERIFICATION</x:v>
      </x:c>
      <x:c r="W61" s="14" t="str">
        <x:v>SELECTED_PENDING_REVIEW_A</x:v>
      </x:c>
      <x:c r="X61" s="17" t="str">
        <x:v>Authorized or traceable tier-1 channel</x:v>
      </x:c>
      <x:c r="Y61" s="17" t="str">
        <x:v>Marking MPN package orientation electrical functional sample</x:v>
      </x:c>
    </x:row>
    <x:row r="62">
      <x:c r="A62" s="2" t="str">
        <x:v>PR-061</x:v>
      </x:c>
      <x:c r="B62" s="14" t="str">
        <x:v>PCB-MAIN</x:v>
      </x:c>
      <x:c r="C62" s="14" t="str">
        <x:v>U14-U15</x:v>
      </x:c>
      <x:c r="D62" s="14" t="str">
        <x:v>U14;U15</x:v>
      </x:c>
      <x:c r="E62" s="2" t="str">
        <x:v>ESD</x:v>
      </x:c>
      <x:c r="F62" s="2" t="str">
        <x:v>STMicroelectronics</x:v>
      </x:c>
      <x:c r="G62" s="2" t="str">
        <x:v>ESDALC6V1-5P6</x:v>
      </x:c>
      <x:c r="H62" s="2" t="str">
        <x:v>SOT666_1.6x1.6mm</x:v>
      </x:c>
      <x:c r="I62" s="2" t="str"/>
      <x:c r="J62" s="2" t="str">
        <x:v>COMMON</x:v>
      </x:c>
      <x:c r="K62" s="2" t="str">
        <x:v>FITTED</x:v>
      </x:c>
      <x:c r="L62" s="16" t="n">
        <x:v>8</x:v>
      </x:c>
      <x:c r="M62" s="16" t="n">
        <x:v>2</x:v>
      </x:c>
      <x:c r="N62" s="16" t="n">
        <x:v>10</x:v>
      </x:c>
      <x:c r="O62" s="16" t="n">
        <x:v>20</x:v>
      </x:c>
      <x:c r="P62" s="16" t="n">
        <x:v>5</x:v>
      </x:c>
      <x:c r="Q62" s="16" t="n">
        <x:v>25</x:v>
      </x:c>
      <x:c r="R62" s="16" t="n">
        <x:v>40</x:v>
      </x:c>
      <x:c r="S62" s="16" t="n">
        <x:v>10</x:v>
      </x:c>
      <x:c r="T62" s="16" t="n">
        <x:v>50</x:v>
      </x:c>
      <x:c r="U62" s="14" t="str">
        <x:v>SCALE_CEIL_FROM_20_BASELINE</x:v>
      </x:c>
      <x:c r="V62" s="14" t="str">
        <x:v>CONTROLLED_PENDING_VERIFICATION</x:v>
      </x:c>
      <x:c r="W62" s="14" t="str">
        <x:v>SELECTED_PENDING_SIM_ESD_SI_SAMPLE</x:v>
      </x:c>
      <x:c r="X62" s="17" t="str">
        <x:v>Authorized distributor</x:v>
      </x:c>
      <x:c r="Y62" s="17" t="str">
        <x:v>Capacitance leakage ESD rating marking</x:v>
      </x:c>
    </x:row>
    <x:row r="63">
      <x:c r="A63" s="2" t="str">
        <x:v>PR-062</x:v>
      </x:c>
      <x:c r="B63" s="14" t="str">
        <x:v>SYSTEM</x:v>
      </x:c>
      <x:c r="C63" s="14" t="str">
        <x:v>ANT-CELL</x:v>
      </x:c>
      <x:c r="D63" s="14" t="str">
        <x:v>AE1</x:v>
      </x:c>
      <x:c r="E63" s="2" t="str">
        <x:v>Antenna</x:v>
      </x:c>
      <x:c r="F63" s="2" t="str">
        <x:v>Taoglas</x:v>
      </x:c>
      <x:c r="G63" s="2" t="str">
        <x:v>G30.B.108111</x:v>
      </x:c>
      <x:c r="H63" s="2" t="str">
        <x:v>IP67 screw-mount dome with 1 m cable and SMA(M)</x:v>
      </x:c>
      <x:c r="I63" s="2" t="str"/>
      <x:c r="J63" s="2" t="str">
        <x:v>COMMON</x:v>
      </x:c>
      <x:c r="K63" s="2" t="str">
        <x:v>FITTED</x:v>
      </x:c>
      <x:c r="L63" s="16" t="n">
        <x:v>4</x:v>
      </x:c>
      <x:c r="M63" s="16" t="n">
        <x:v>1</x:v>
      </x:c>
      <x:c r="N63" s="16" t="n">
        <x:v>5</x:v>
      </x:c>
      <x:c r="O63" s="16" t="n">
        <x:v>10</x:v>
      </x:c>
      <x:c r="P63" s="16" t="n">
        <x:v>1</x:v>
      </x:c>
      <x:c r="Q63" s="16" t="n">
        <x:v>11</x:v>
      </x:c>
      <x:c r="R63" s="16" t="n">
        <x:v>20</x:v>
      </x:c>
      <x:c r="S63" s="16" t="n">
        <x:v>2</x:v>
      </x:c>
      <x:c r="T63" s="16" t="n">
        <x:v>22</x:v>
      </x:c>
      <x:c r="U63" s="14" t="str">
        <x:v>SCALE_CEIL_FROM_20_BASELINE</x:v>
      </x:c>
      <x:c r="V63" s="14" t="str">
        <x:v>CONTROLLED</x:v>
      </x:c>
      <x:c r="W63" s="14" t="str">
        <x:v>CONTROLLED_EVT_PURCHASE_EXACT_MPN_VALIDATION_DURING_ASSEMBLY_EVT</x:v>
      </x:c>
      <x:c r="X63" s="17" t="str">
        <x:v>Taoglas or established distributor; exact G30.B.108111 only; no substitution; resolve manufacturer page cable-construction discrepancy on quote</x:v>
      </x:c>
      <x:c r="Y63" s="17" t="str">
        <x:v>Reconcile PO packing slip quantity and visible damage; verify cable length connector mate route seal installed VSWR loss attach and coexistence during assembly EOL and EVT</x:v>
      </x:c>
    </x:row>
    <x:row r="64">
      <x:c r="A64" s="2" t="str">
        <x:v>PR-063</x:v>
      </x:c>
      <x:c r="B64" s="14" t="str">
        <x:v>PCB-MAIN</x:v>
      </x:c>
      <x:c r="C64" s="14" t="str">
        <x:v>MAIN-010-C64</x:v>
      </x:c>
      <x:c r="D64" s="14" t="str">
        <x:v>C64</x:v>
      </x:c>
      <x:c r="E64" s="2" t="str">
        <x:v>Capacitor</x:v>
      </x:c>
      <x:c r="F64" s="2" t="str">
        <x:v>Murata</x:v>
      </x:c>
      <x:c r="G64" s="2" t="str">
        <x:v>GRM1555C1E470JA01D</x:v>
      </x:c>
      <x:c r="H64" s="2" t="str">
        <x:v>0402</x:v>
      </x:c>
      <x:c r="I64" s="2" t="str">
        <x:v>47 pF 25 V C0G</x:v>
      </x:c>
      <x:c r="J64" s="2" t="str">
        <x:v>COMMON</x:v>
      </x:c>
      <x:c r="K64" s="2" t="str">
        <x:v>FITTED</x:v>
      </x:c>
      <x:c r="L64" s="16" t="n">
        <x:v>4</x:v>
      </x:c>
      <x:c r="M64" s="16" t="n">
        <x:v>0</x:v>
      </x:c>
      <x:c r="N64" s="16" t="n">
        <x:v>4</x:v>
      </x:c>
      <x:c r="O64" s="16" t="n">
        <x:v>10</x:v>
      </x:c>
      <x:c r="P64" s="16" t="n">
        <x:v>0</x:v>
      </x:c>
      <x:c r="Q64" s="16" t="n">
        <x:v>10</x:v>
      </x:c>
      <x:c r="R64" s="16" t="n">
        <x:v>20</x:v>
      </x:c>
      <x:c r="S64" s="16" t="n">
        <x:v>0</x:v>
      </x:c>
      <x:c r="T64" s="16" t="n">
        <x:v>20</x:v>
      </x:c>
      <x:c r="U64" s="14" t="str">
        <x:v>NONE</x:v>
      </x:c>
      <x:c r="V64" s="14" t="str">
        <x:v>CONTROLLED_PENDING_VERIFICATION</x:v>
      </x:c>
      <x:c r="W64" s="14" t="str">
        <x:v>SELECTED_PENDING_REVIEW_A</x:v>
      </x:c>
      <x:c r="X64" s="17" t="str">
        <x:v>Authorized or traceable tier-1 channel</x:v>
      </x:c>
      <x:c r="Y64" s="17" t="str">
        <x:v>Marking MPN package orientation electrical functional sample</x:v>
      </x:c>
    </x:row>
    <x:row r="65">
      <x:c r="A65" s="2" t="str">
        <x:v>PR-064</x:v>
      </x:c>
      <x:c r="B65" s="14" t="str">
        <x:v>PCB-MAIN</x:v>
      </x:c>
      <x:c r="C65" s="14" t="str">
        <x:v>MAIN-010-C69 | MAIN-010-C70 | MAIN-010-C79 | MAIN-010-C80</x:v>
      </x:c>
      <x:c r="D65" s="14" t="str">
        <x:v>C69 | C70 | C79 | C80</x:v>
      </x:c>
      <x:c r="E65" s="2" t="str">
        <x:v>Capacitor</x:v>
      </x:c>
      <x:c r="F65" s="2" t="str">
        <x:v>Murata</x:v>
      </x:c>
      <x:c r="G65" s="2" t="str">
        <x:v>GRM1555C1H100JA01D</x:v>
      </x:c>
      <x:c r="H65" s="2" t="str">
        <x:v>0402</x:v>
      </x:c>
      <x:c r="I65" s="2" t="str">
        <x:v>10 pF 50 V C0G</x:v>
      </x:c>
      <x:c r="J65" s="2" t="str">
        <x:v>COMMON</x:v>
      </x:c>
      <x:c r="K65" s="2" t="str">
        <x:v>DNP</x:v>
      </x:c>
      <x:c r="L65" s="16" t="n">
        <x:v>0</x:v>
      </x:c>
      <x:c r="M65" s="16" t="n">
        <x:v>0</x:v>
      </x:c>
      <x:c r="N65" s="16" t="n">
        <x:v>0</x:v>
      </x:c>
      <x:c r="O65" s="16" t="n">
        <x:v>0</x:v>
      </x:c>
      <x:c r="P65" s="16" t="n">
        <x:v>0</x:v>
      </x:c>
      <x:c r="Q65" s="16" t="n">
        <x:v>0</x:v>
      </x:c>
      <x:c r="R65" s="16" t="n">
        <x:v>0</x:v>
      </x:c>
      <x:c r="S65" s="16" t="n">
        <x:v>0</x:v>
      </x:c>
      <x:c r="T65" s="16" t="n">
        <x:v>0</x:v>
      </x:c>
      <x:c r="U65" s="14" t="str">
        <x:v>NONE</x:v>
      </x:c>
      <x:c r="V65" s="14" t="str">
        <x:v>CONTROLLED_DNP</x:v>
      </x:c>
      <x:c r="W65" s="14" t="str">
        <x:v>CONTROLLED_DNP</x:v>
      </x:c>
      <x:c r="X65" s="17" t="str">
        <x:v>Authorized or traceable tier-1 channel</x:v>
      </x:c>
      <x:c r="Y65" s="17" t="str">
        <x:v>Marking MPN package orientation electrical functional sample</x:v>
      </x:c>
    </x:row>
    <x:row r="66">
      <x:c r="A66" s="2" t="str">
        <x:v>PR-065</x:v>
      </x:c>
      <x:c r="B66" s="14" t="str">
        <x:v>PCB-MAIN</x:v>
      </x:c>
      <x:c r="C66" s="14" t="str">
        <x:v>MAIN-010-C43 | MAIN-010-C47</x:v>
      </x:c>
      <x:c r="D66" s="14" t="str">
        <x:v>C43 | C47</x:v>
      </x:c>
      <x:c r="E66" s="2" t="str">
        <x:v>Capacitor</x:v>
      </x:c>
      <x:c r="F66" s="2" t="str">
        <x:v>Murata</x:v>
      </x:c>
      <x:c r="G66" s="2" t="str">
        <x:v>GRM1555C1H100JA01D</x:v>
      </x:c>
      <x:c r="H66" s="2" t="str">
        <x:v>0402</x:v>
      </x:c>
      <x:c r="I66" s="2" t="str">
        <x:v>10 pF 50 V C0G</x:v>
      </x:c>
      <x:c r="J66" s="2" t="str">
        <x:v>COMMON</x:v>
      </x:c>
      <x:c r="K66" s="2" t="str">
        <x:v>FITTED</x:v>
      </x:c>
      <x:c r="L66" s="16" t="n">
        <x:v>8</x:v>
      </x:c>
      <x:c r="M66" s="16" t="n">
        <x:v>0</x:v>
      </x:c>
      <x:c r="N66" s="16" t="n">
        <x:v>8</x:v>
      </x:c>
      <x:c r="O66" s="16" t="n">
        <x:v>20</x:v>
      </x:c>
      <x:c r="P66" s="16" t="n">
        <x:v>0</x:v>
      </x:c>
      <x:c r="Q66" s="16" t="n">
        <x:v>20</x:v>
      </x:c>
      <x:c r="R66" s="16" t="n">
        <x:v>40</x:v>
      </x:c>
      <x:c r="S66" s="16" t="n">
        <x:v>0</x:v>
      </x:c>
      <x:c r="T66" s="16" t="n">
        <x:v>40</x:v>
      </x:c>
      <x:c r="U66" s="14" t="str">
        <x:v>NONE</x:v>
      </x:c>
      <x:c r="V66" s="14" t="str">
        <x:v>CONTROLLED_PENDING_VERIFICATION</x:v>
      </x:c>
      <x:c r="W66" s="14" t="str">
        <x:v>SELECTED_PENDING_REVIEW_A</x:v>
      </x:c>
      <x:c r="X66" s="17" t="str">
        <x:v>Authorized or traceable tier-1 channel</x:v>
      </x:c>
      <x:c r="Y66" s="17" t="str">
        <x:v>Marking MPN package orientation electrical functional sample</x:v>
      </x:c>
    </x:row>
    <x:row r="67">
      <x:c r="A67" s="2" t="str">
        <x:v>PR-066</x:v>
      </x:c>
      <x:c r="B67" s="14" t="str">
        <x:v>PCB-MAIN</x:v>
      </x:c>
      <x:c r="C67" s="14" t="str">
        <x:v>MAIN-010-C40</x:v>
      </x:c>
      <x:c r="D67" s="14" t="str">
        <x:v>C40</x:v>
      </x:c>
      <x:c r="E67" s="2" t="str">
        <x:v>Capacitor</x:v>
      </x:c>
      <x:c r="F67" s="2" t="str">
        <x:v>Murata</x:v>
      </x:c>
      <x:c r="G67" s="2" t="str">
        <x:v>GRM1555C1H101JA01D</x:v>
      </x:c>
      <x:c r="H67" s="2" t="str">
        <x:v>0402</x:v>
      </x:c>
      <x:c r="I67" s="2" t="str">
        <x:v>100 pF 50 V C0G</x:v>
      </x:c>
      <x:c r="J67" s="2" t="str">
        <x:v>COMMON</x:v>
      </x:c>
      <x:c r="K67" s="2" t="str">
        <x:v>FITTED</x:v>
      </x:c>
      <x:c r="L67" s="16" t="n">
        <x:v>4</x:v>
      </x:c>
      <x:c r="M67" s="16" t="n">
        <x:v>0</x:v>
      </x:c>
      <x:c r="N67" s="16" t="n">
        <x:v>4</x:v>
      </x:c>
      <x:c r="O67" s="16" t="n">
        <x:v>10</x:v>
      </x:c>
      <x:c r="P67" s="16" t="n">
        <x:v>0</x:v>
      </x:c>
      <x:c r="Q67" s="16" t="n">
        <x:v>10</x:v>
      </x:c>
      <x:c r="R67" s="16" t="n">
        <x:v>20</x:v>
      </x:c>
      <x:c r="S67" s="16" t="n">
        <x:v>0</x:v>
      </x:c>
      <x:c r="T67" s="16" t="n">
        <x:v>20</x:v>
      </x:c>
      <x:c r="U67" s="14" t="str">
        <x:v>NONE</x:v>
      </x:c>
      <x:c r="V67" s="14" t="str">
        <x:v>CONTROLLED_PENDING_VERIFICATION</x:v>
      </x:c>
      <x:c r="W67" s="14" t="str">
        <x:v>SELECTED_PENDING_REVIEW_A</x:v>
      </x:c>
      <x:c r="X67" s="17" t="str">
        <x:v>Authorized or traceable tier-1 channel</x:v>
      </x:c>
      <x:c r="Y67" s="17" t="str">
        <x:v>Marking MPN package orientation electrical functional sample</x:v>
      </x:c>
    </x:row>
    <x:row r="68">
      <x:c r="A68" s="2" t="str">
        <x:v>PR-067</x:v>
      </x:c>
      <x:c r="B68" s="14" t="str">
        <x:v>PCB-MAIN</x:v>
      </x:c>
      <x:c r="C68" s="14" t="str">
        <x:v>MAIN-010-C39</x:v>
      </x:c>
      <x:c r="D68" s="14" t="str">
        <x:v>C39</x:v>
      </x:c>
      <x:c r="E68" s="2" t="str">
        <x:v>Capacitor</x:v>
      </x:c>
      <x:c r="F68" s="2" t="str">
        <x:v>Murata</x:v>
      </x:c>
      <x:c r="G68" s="2" t="str">
        <x:v>GRM1555C1H151JA01D</x:v>
      </x:c>
      <x:c r="H68" s="2" t="str">
        <x:v>0402</x:v>
      </x:c>
      <x:c r="I68" s="2" t="str">
        <x:v>150 pF 50 V C0G</x:v>
      </x:c>
      <x:c r="J68" s="2" t="str">
        <x:v>COMMON</x:v>
      </x:c>
      <x:c r="K68" s="2" t="str">
        <x:v>FITTED</x:v>
      </x:c>
      <x:c r="L68" s="16" t="n">
        <x:v>4</x:v>
      </x:c>
      <x:c r="M68" s="16" t="n">
        <x:v>0</x:v>
      </x:c>
      <x:c r="N68" s="16" t="n">
        <x:v>4</x:v>
      </x:c>
      <x:c r="O68" s="16" t="n">
        <x:v>10</x:v>
      </x:c>
      <x:c r="P68" s="16" t="n">
        <x:v>0</x:v>
      </x:c>
      <x:c r="Q68" s="16" t="n">
        <x:v>10</x:v>
      </x:c>
      <x:c r="R68" s="16" t="n">
        <x:v>20</x:v>
      </x:c>
      <x:c r="S68" s="16" t="n">
        <x:v>0</x:v>
      </x:c>
      <x:c r="T68" s="16" t="n">
        <x:v>20</x:v>
      </x:c>
      <x:c r="U68" s="14" t="str">
        <x:v>NONE</x:v>
      </x:c>
      <x:c r="V68" s="14" t="str">
        <x:v>CONTROLLED_PENDING_VERIFICATION</x:v>
      </x:c>
      <x:c r="W68" s="14" t="str">
        <x:v>SELECTED_PENDING_REVIEW_A</x:v>
      </x:c>
      <x:c r="X68" s="17" t="str">
        <x:v>Authorized or traceable tier-1 channel</x:v>
      </x:c>
      <x:c r="Y68" s="17" t="str">
        <x:v>Marking MPN package orientation electrical functional sample</x:v>
      </x:c>
    </x:row>
    <x:row r="69">
      <x:c r="A69" s="2" t="str">
        <x:v>PR-068</x:v>
      </x:c>
      <x:c r="B69" s="14" t="str">
        <x:v>PCB-MAIN</x:v>
      </x:c>
      <x:c r="C69" s="14" t="str">
        <x:v>MAIN-010-C54 | MAIN-010-C55 | MAIN-010-C56 | MAIN-010-C57 | MAIN-010-C58 | MAIN-010-C59</x:v>
      </x:c>
      <x:c r="D69" s="14" t="str">
        <x:v>C54 | C55 | C56 | C57 | C58 | C59</x:v>
      </x:c>
      <x:c r="E69" s="2" t="str">
        <x:v>Capacitor</x:v>
      </x:c>
      <x:c r="F69" s="2" t="str">
        <x:v>Murata</x:v>
      </x:c>
      <x:c r="G69" s="2" t="str">
        <x:v>GRM1555C1H330JA01D</x:v>
      </x:c>
      <x:c r="H69" s="2" t="str">
        <x:v>0402</x:v>
      </x:c>
      <x:c r="I69" s="2" t="str">
        <x:v>33 pF 50 V C0G</x:v>
      </x:c>
      <x:c r="J69" s="2" t="str">
        <x:v>COMMON</x:v>
      </x:c>
      <x:c r="K69" s="2" t="str">
        <x:v>DNP</x:v>
      </x:c>
      <x:c r="L69" s="16" t="n">
        <x:v>0</x:v>
      </x:c>
      <x:c r="M69" s="16" t="n">
        <x:v>0</x:v>
      </x:c>
      <x:c r="N69" s="16" t="n">
        <x:v>0</x:v>
      </x:c>
      <x:c r="O69" s="16" t="n">
        <x:v>0</x:v>
      </x:c>
      <x:c r="P69" s="16" t="n">
        <x:v>0</x:v>
      </x:c>
      <x:c r="Q69" s="16" t="n">
        <x:v>0</x:v>
      </x:c>
      <x:c r="R69" s="16" t="n">
        <x:v>0</x:v>
      </x:c>
      <x:c r="S69" s="16" t="n">
        <x:v>0</x:v>
      </x:c>
      <x:c r="T69" s="16" t="n">
        <x:v>0</x:v>
      </x:c>
      <x:c r="U69" s="14" t="str">
        <x:v>NONE</x:v>
      </x:c>
      <x:c r="V69" s="14" t="str">
        <x:v>CONTROLLED_DNP</x:v>
      </x:c>
      <x:c r="W69" s="14" t="str">
        <x:v>CONTROLLED_DNP</x:v>
      </x:c>
      <x:c r="X69" s="17" t="str">
        <x:v>Authorized or traceable tier-1 channel</x:v>
      </x:c>
      <x:c r="Y69" s="17" t="str">
        <x:v>Marking MPN package orientation electrical functional sample</x:v>
      </x:c>
    </x:row>
    <x:row r="70">
      <x:c r="A70" s="2" t="str">
        <x:v>PR-069</x:v>
      </x:c>
      <x:c r="B70" s="14" t="str">
        <x:v>PCB-MAIN</x:v>
      </x:c>
      <x:c r="C70" s="14" t="str">
        <x:v>MAIN-010-C42 | MAIN-010-C46</x:v>
      </x:c>
      <x:c r="D70" s="14" t="str">
        <x:v>C42 | C46</x:v>
      </x:c>
      <x:c r="E70" s="2" t="str">
        <x:v>Capacitor</x:v>
      </x:c>
      <x:c r="F70" s="2" t="str">
        <x:v>Murata</x:v>
      </x:c>
      <x:c r="G70" s="2" t="str">
        <x:v>GRM1555C1H330JA01D</x:v>
      </x:c>
      <x:c r="H70" s="2" t="str">
        <x:v>0402</x:v>
      </x:c>
      <x:c r="I70" s="2" t="str">
        <x:v>33 pF 50 V C0G</x:v>
      </x:c>
      <x:c r="J70" s="2" t="str">
        <x:v>COMMON</x:v>
      </x:c>
      <x:c r="K70" s="2" t="str">
        <x:v>FITTED</x:v>
      </x:c>
      <x:c r="L70" s="16" t="n">
        <x:v>8</x:v>
      </x:c>
      <x:c r="M70" s="16" t="n">
        <x:v>0</x:v>
      </x:c>
      <x:c r="N70" s="16" t="n">
        <x:v>8</x:v>
      </x:c>
      <x:c r="O70" s="16" t="n">
        <x:v>20</x:v>
      </x:c>
      <x:c r="P70" s="16" t="n">
        <x:v>0</x:v>
      </x:c>
      <x:c r="Q70" s="16" t="n">
        <x:v>20</x:v>
      </x:c>
      <x:c r="R70" s="16" t="n">
        <x:v>40</x:v>
      </x:c>
      <x:c r="S70" s="16" t="n">
        <x:v>0</x:v>
      </x:c>
      <x:c r="T70" s="16" t="n">
        <x:v>40</x:v>
      </x:c>
      <x:c r="U70" s="14" t="str">
        <x:v>NONE</x:v>
      </x:c>
      <x:c r="V70" s="14" t="str">
        <x:v>CONTROLLED_PENDING_VERIFICATION</x:v>
      </x:c>
      <x:c r="W70" s="14" t="str">
        <x:v>SELECTED_PENDING_REVIEW_A</x:v>
      </x:c>
      <x:c r="X70" s="17" t="str">
        <x:v>Authorized or traceable tier-1 channel</x:v>
      </x:c>
      <x:c r="Y70" s="17" t="str">
        <x:v>Marking MPN package orientation electrical functional sample</x:v>
      </x:c>
    </x:row>
    <x:row r="71">
      <x:c r="A71" s="2" t="str">
        <x:v>PR-070</x:v>
      </x:c>
      <x:c r="B71" s="14" t="str">
        <x:v>PCB-MAIN</x:v>
      </x:c>
      <x:c r="C71" s="14" t="str">
        <x:v>MAIN-010-C41</x:v>
      </x:c>
      <x:c r="D71" s="14" t="str">
        <x:v>C41</x:v>
      </x:c>
      <x:c r="E71" s="2" t="str">
        <x:v>Capacitor</x:v>
      </x:c>
      <x:c r="F71" s="2" t="str">
        <x:v>Murata</x:v>
      </x:c>
      <x:c r="G71" s="2" t="str">
        <x:v>GRM1555C1H680JA01D</x:v>
      </x:c>
      <x:c r="H71" s="2" t="str">
        <x:v>0402</x:v>
      </x:c>
      <x:c r="I71" s="2" t="str">
        <x:v>68 pF 50 V C0G</x:v>
      </x:c>
      <x:c r="J71" s="2" t="str">
        <x:v>COMMON</x:v>
      </x:c>
      <x:c r="K71" s="2" t="str">
        <x:v>FITTED</x:v>
      </x:c>
      <x:c r="L71" s="16" t="n">
        <x:v>4</x:v>
      </x:c>
      <x:c r="M71" s="16" t="n">
        <x:v>0</x:v>
      </x:c>
      <x:c r="N71" s="16" t="n">
        <x:v>4</x:v>
      </x:c>
      <x:c r="O71" s="16" t="n">
        <x:v>10</x:v>
      </x:c>
      <x:c r="P71" s="16" t="n">
        <x:v>0</x:v>
      </x:c>
      <x:c r="Q71" s="16" t="n">
        <x:v>10</x:v>
      </x:c>
      <x:c r="R71" s="16" t="n">
        <x:v>20</x:v>
      </x:c>
      <x:c r="S71" s="16" t="n">
        <x:v>0</x:v>
      </x:c>
      <x:c r="T71" s="16" t="n">
        <x:v>20</x:v>
      </x:c>
      <x:c r="U71" s="14" t="str">
        <x:v>NONE</x:v>
      </x:c>
      <x:c r="V71" s="14" t="str">
        <x:v>CONTROLLED_PENDING_VERIFICATION</x:v>
      </x:c>
      <x:c r="W71" s="14" t="str">
        <x:v>SELECTED_PENDING_REVIEW_A</x:v>
      </x:c>
      <x:c r="X71" s="17" t="str">
        <x:v>Authorized or traceable tier-1 channel</x:v>
      </x:c>
      <x:c r="Y71" s="17" t="str">
        <x:v>Marking MPN package orientation electrical functional sample</x:v>
      </x:c>
    </x:row>
    <x:row r="72">
      <x:c r="A72" s="2" t="str">
        <x:v>PR-071</x:v>
      </x:c>
      <x:c r="B72" s="14" t="str">
        <x:v>PCB-MAIN</x:v>
      </x:c>
      <x:c r="C72" s="14" t="str">
        <x:v>MAIN-010-C14 | MAIN-010-C15</x:v>
      </x:c>
      <x:c r="D72" s="14" t="str">
        <x:v>C14 | C15</x:v>
      </x:c>
      <x:c r="E72" s="2" t="str">
        <x:v>Capacitor</x:v>
      </x:c>
      <x:c r="F72" s="2" t="str">
        <x:v>Murata</x:v>
      </x:c>
      <x:c r="G72" s="2" t="str">
        <x:v>GRM155R61A225KE15D</x:v>
      </x:c>
      <x:c r="H72" s="2" t="str">
        <x:v>0402</x:v>
      </x:c>
      <x:c r="I72" s="2" t="str">
        <x:v>2.2 uF 10 V X5R</x:v>
      </x:c>
      <x:c r="J72" s="2" t="str">
        <x:v>COMMON</x:v>
      </x:c>
      <x:c r="K72" s="2" t="str">
        <x:v>FITTED</x:v>
      </x:c>
      <x:c r="L72" s="16" t="n">
        <x:v>8</x:v>
      </x:c>
      <x:c r="M72" s="16" t="n">
        <x:v>0</x:v>
      </x:c>
      <x:c r="N72" s="16" t="n">
        <x:v>8</x:v>
      </x:c>
      <x:c r="O72" s="16" t="n">
        <x:v>20</x:v>
      </x:c>
      <x:c r="P72" s="16" t="n">
        <x:v>0</x:v>
      </x:c>
      <x:c r="Q72" s="16" t="n">
        <x:v>20</x:v>
      </x:c>
      <x:c r="R72" s="16" t="n">
        <x:v>40</x:v>
      </x:c>
      <x:c r="S72" s="16" t="n">
        <x:v>0</x:v>
      </x:c>
      <x:c r="T72" s="16" t="n">
        <x:v>40</x:v>
      </x:c>
      <x:c r="U72" s="14" t="str">
        <x:v>NONE</x:v>
      </x:c>
      <x:c r="V72" s="14" t="str">
        <x:v>CONTROLLED_PENDING_VERIFICATION</x:v>
      </x:c>
      <x:c r="W72" s="14" t="str">
        <x:v>SELECTED_PENDING_REVIEW_A</x:v>
      </x:c>
      <x:c r="X72" s="17" t="str">
        <x:v>Authorized or traceable tier-1 channel</x:v>
      </x:c>
      <x:c r="Y72" s="17" t="str">
        <x:v>Marking MPN package orientation electrical functional sample</x:v>
      </x:c>
    </x:row>
    <x:row r="73">
      <x:c r="A73" s="2" t="str">
        <x:v>PR-072</x:v>
      </x:c>
      <x:c r="B73" s="14" t="str">
        <x:v>PCB-MAIN</x:v>
      </x:c>
      <x:c r="C73" s="14" t="str">
        <x:v>MAIN-010-C11 | MAIN-010-C22 | MAIN-010-C9</x:v>
      </x:c>
      <x:c r="D73" s="14" t="str">
        <x:v>C11 | C22 | C9</x:v>
      </x:c>
      <x:c r="E73" s="2" t="str">
        <x:v>Capacitor</x:v>
      </x:c>
      <x:c r="F73" s="2" t="str">
        <x:v>Murata</x:v>
      </x:c>
      <x:c r="G73" s="2" t="str">
        <x:v>GRM155R61C105KA12D</x:v>
      </x:c>
      <x:c r="H73" s="2" t="str">
        <x:v>0402</x:v>
      </x:c>
      <x:c r="I73" s="2" t="str">
        <x:v>1 uF 16 V X5R</x:v>
      </x:c>
      <x:c r="J73" s="2" t="str">
        <x:v>COMMON</x:v>
      </x:c>
      <x:c r="K73" s="2" t="str">
        <x:v>FITTED</x:v>
      </x:c>
      <x:c r="L73" s="16" t="n">
        <x:v>12</x:v>
      </x:c>
      <x:c r="M73" s="16" t="n">
        <x:v>0</x:v>
      </x:c>
      <x:c r="N73" s="16" t="n">
        <x:v>12</x:v>
      </x:c>
      <x:c r="O73" s="16" t="n">
        <x:v>30</x:v>
      </x:c>
      <x:c r="P73" s="16" t="n">
        <x:v>0</x:v>
      </x:c>
      <x:c r="Q73" s="16" t="n">
        <x:v>30</x:v>
      </x:c>
      <x:c r="R73" s="16" t="n">
        <x:v>60</x:v>
      </x:c>
      <x:c r="S73" s="16" t="n">
        <x:v>0</x:v>
      </x:c>
      <x:c r="T73" s="16" t="n">
        <x:v>60</x:v>
      </x:c>
      <x:c r="U73" s="14" t="str">
        <x:v>NONE</x:v>
      </x:c>
      <x:c r="V73" s="14" t="str">
        <x:v>CONTROLLED_PENDING_VERIFICATION</x:v>
      </x:c>
      <x:c r="W73" s="14" t="str">
        <x:v>SELECTED_PENDING_REVIEW_A</x:v>
      </x:c>
      <x:c r="X73" s="17" t="str">
        <x:v>Authorized or traceable tier-1 channel</x:v>
      </x:c>
      <x:c r="Y73" s="17" t="str">
        <x:v>Marking MPN package orientation electrical functional sample</x:v>
      </x:c>
    </x:row>
    <x:row r="74">
      <x:c r="A74" s="2" t="str">
        <x:v>PR-073</x:v>
      </x:c>
      <x:c r="B74" s="14" t="str">
        <x:v>PCB-MAIN</x:v>
      </x:c>
      <x:c r="C74" s="14" t="str">
        <x:v>MAIN-010-C63</x:v>
      </x:c>
      <x:c r="D74" s="14" t="str">
        <x:v>C63</x:v>
      </x:c>
      <x:c r="E74" s="2" t="str">
        <x:v>Capacitor</x:v>
      </x:c>
      <x:c r="F74" s="2" t="str">
        <x:v>Murata</x:v>
      </x:c>
      <x:c r="G74" s="2" t="str">
        <x:v>GRM155R71C103KA01D</x:v>
      </x:c>
      <x:c r="H74" s="2" t="str">
        <x:v>0402</x:v>
      </x:c>
      <x:c r="I74" s="2" t="str">
        <x:v>10 nF 16 V X7R</x:v>
      </x:c>
      <x:c r="J74" s="2" t="str">
        <x:v>COMMON</x:v>
      </x:c>
      <x:c r="K74" s="2" t="str">
        <x:v>FITTED</x:v>
      </x:c>
      <x:c r="L74" s="16" t="n">
        <x:v>4</x:v>
      </x:c>
      <x:c r="M74" s="16" t="n">
        <x:v>0</x:v>
      </x:c>
      <x:c r="N74" s="16" t="n">
        <x:v>4</x:v>
      </x:c>
      <x:c r="O74" s="16" t="n">
        <x:v>10</x:v>
      </x:c>
      <x:c r="P74" s="16" t="n">
        <x:v>0</x:v>
      </x:c>
      <x:c r="Q74" s="16" t="n">
        <x:v>10</x:v>
      </x:c>
      <x:c r="R74" s="16" t="n">
        <x:v>20</x:v>
      </x:c>
      <x:c r="S74" s="16" t="n">
        <x:v>0</x:v>
      </x:c>
      <x:c r="T74" s="16" t="n">
        <x:v>20</x:v>
      </x:c>
      <x:c r="U74" s="14" t="str">
        <x:v>NONE</x:v>
      </x:c>
      <x:c r="V74" s="14" t="str">
        <x:v>CONTROLLED_PENDING_VERIFICATION</x:v>
      </x:c>
      <x:c r="W74" s="14" t="str">
        <x:v>SELECTED_PENDING_REVIEW_A</x:v>
      </x:c>
      <x:c r="X74" s="17" t="str">
        <x:v>Authorized or traceable tier-1 channel</x:v>
      </x:c>
      <x:c r="Y74" s="17" t="str">
        <x:v>Marking MPN package orientation electrical functional sample</x:v>
      </x:c>
    </x:row>
    <x:row r="75">
      <x:c r="A75" s="2" t="str">
        <x:v>PR-074</x:v>
      </x:c>
      <x:c r="B75" s="14" t="str">
        <x:v>PCB-MAIN</x:v>
      </x:c>
      <x:c r="C75" s="14" t="str">
        <x:v>MAIN-010-C48 | MAIN-010-C52 | MAIN-010-C53 | MAIN-010-C76 | MAIN-010-C78</x:v>
      </x:c>
      <x:c r="D75" s="14" t="str">
        <x:v>C48 | C52 | C53 | C76 | C78</x:v>
      </x:c>
      <x:c r="E75" s="2" t="str">
        <x:v>Capacitor</x:v>
      </x:c>
      <x:c r="F75" s="2" t="str">
        <x:v>Murata</x:v>
      </x:c>
      <x:c r="G75" s="2" t="str">
        <x:v>GRM155R71E103KA01D</x:v>
      </x:c>
      <x:c r="H75" s="2" t="str">
        <x:v>0402</x:v>
      </x:c>
      <x:c r="I75" s="2" t="str">
        <x:v>10 nF 25 V X7R</x:v>
      </x:c>
      <x:c r="J75" s="2" t="str">
        <x:v>COMMON</x:v>
      </x:c>
      <x:c r="K75" s="2" t="str">
        <x:v>FITTED</x:v>
      </x:c>
      <x:c r="L75" s="16" t="n">
        <x:v>20</x:v>
      </x:c>
      <x:c r="M75" s="16" t="n">
        <x:v>0</x:v>
      </x:c>
      <x:c r="N75" s="16" t="n">
        <x:v>20</x:v>
      </x:c>
      <x:c r="O75" s="16" t="n">
        <x:v>50</x:v>
      </x:c>
      <x:c r="P75" s="16" t="n">
        <x:v>0</x:v>
      </x:c>
      <x:c r="Q75" s="16" t="n">
        <x:v>50</x:v>
      </x:c>
      <x:c r="R75" s="16" t="n">
        <x:v>100</x:v>
      </x:c>
      <x:c r="S75" s="16" t="n">
        <x:v>0</x:v>
      </x:c>
      <x:c r="T75" s="16" t="n">
        <x:v>100</x:v>
      </x:c>
      <x:c r="U75" s="14" t="str">
        <x:v>NONE</x:v>
      </x:c>
      <x:c r="V75" s="14" t="str">
        <x:v>CONTROLLED_PENDING_VERIFICATION</x:v>
      </x:c>
      <x:c r="W75" s="14" t="str">
        <x:v>SELECTED_PENDING_REVIEW_A</x:v>
      </x:c>
      <x:c r="X75" s="17" t="str">
        <x:v>Authorized or traceable tier-1 channel</x:v>
      </x:c>
      <x:c r="Y75" s="17" t="str">
        <x:v>Marking MPN package orientation electrical functional sample</x:v>
      </x:c>
    </x:row>
    <x:row r="76">
      <x:c r="A76" s="2" t="str">
        <x:v>PR-075</x:v>
      </x:c>
      <x:c r="B76" s="14" t="str">
        <x:v>PCB-MAIN</x:v>
      </x:c>
      <x:c r="C76" s="14" t="str">
        <x:v>MAIN-010-C16 | MAIN-010-C17</x:v>
      </x:c>
      <x:c r="D76" s="14" t="str">
        <x:v>C16 | C17</x:v>
      </x:c>
      <x:c r="E76" s="2" t="str">
        <x:v>Capacitor</x:v>
      </x:c>
      <x:c r="F76" s="2" t="str">
        <x:v>Murata</x:v>
      </x:c>
      <x:c r="G76" s="2" t="str">
        <x:v>GRM155R71E104KE14D</x:v>
      </x:c>
      <x:c r="H76" s="2" t="str">
        <x:v>0402</x:v>
      </x:c>
      <x:c r="I76" s="2" t="str">
        <x:v>100 nF 25 V X7R</x:v>
      </x:c>
      <x:c r="J76" s="2" t="str">
        <x:v>COMMON</x:v>
      </x:c>
      <x:c r="K76" s="2" t="str">
        <x:v>DNP</x:v>
      </x:c>
      <x:c r="L76" s="16" t="n">
        <x:v>0</x:v>
      </x:c>
      <x:c r="M76" s="16" t="n">
        <x:v>0</x:v>
      </x:c>
      <x:c r="N76" s="16" t="n">
        <x:v>0</x:v>
      </x:c>
      <x:c r="O76" s="16" t="n">
        <x:v>0</x:v>
      </x:c>
      <x:c r="P76" s="16" t="n">
        <x:v>0</x:v>
      </x:c>
      <x:c r="Q76" s="16" t="n">
        <x:v>0</x:v>
      </x:c>
      <x:c r="R76" s="16" t="n">
        <x:v>0</x:v>
      </x:c>
      <x:c r="S76" s="16" t="n">
        <x:v>0</x:v>
      </x:c>
      <x:c r="T76" s="16" t="n">
        <x:v>0</x:v>
      </x:c>
      <x:c r="U76" s="14" t="str">
        <x:v>NONE</x:v>
      </x:c>
      <x:c r="V76" s="14" t="str">
        <x:v>CONTROLLED_DNP</x:v>
      </x:c>
      <x:c r="W76" s="14" t="str">
        <x:v>CONTROLLED_DNP</x:v>
      </x:c>
      <x:c r="X76" s="17" t="str">
        <x:v>Authorized or traceable tier-1 channel</x:v>
      </x:c>
      <x:c r="Y76" s="17" t="str">
        <x:v>Marking MPN package orientation electrical functional sample</x:v>
      </x:c>
    </x:row>
    <x:row r="77">
      <x:c r="A77" s="2" t="str">
        <x:v>PR-076</x:v>
      </x:c>
      <x:c r="B77" s="14" t="str">
        <x:v>PCB-MAIN</x:v>
      </x:c>
      <x:c r="C77" s="14" t="str">
        <x:v>MAIN-010-C1 | MAIN-010-C10 | MAIN-010-C12 | MAIN-010-C18 | MAIN-010-C2 | MAIN-010-C21 | MAIN-010-C23 | MAIN-010-C25 | MAIN-010-C26 | MAIN-010-C27 | MAIN-010-C28 | MAIN-010-C29 | MAIN-010-C3 | MAIN-010-C30 | MAIN-010-C31 | MAIN-010-C32 | MAIN-010-C33 | MAIN-010-C34 | MAIN-010-C35 | MAIN-010-C4 | MAIN-010-C45 | MAIN-010-C49 | MAIN-010-C5 | MAIN-010-C50 | MAIN-010-C51 | MAIN-010-C60 | MAIN-010-C62 | MAIN-010-C65 | MAIN-010-C66 | MAIN-010-C68 | MAIN-010-C7 | MAIN-010-C71 | MAIN-010-C73 | MAIN-010-C74 | MAIN-010-C8</x:v>
      </x:c>
      <x:c r="D77" s="14" t="str">
        <x:v>C1 | C10 | C12 | C18 | C2 | C21 | C23 | C25 | C26 | C27 | C28 | C29 | C3 | C30 | C31 | C32 | C33 | C34 | C35 | C4 | C45 | C49 | C5 | C50 | C51 | C60 | C62 | C65 | C66 | C68 | C7 | C71 | C73 | C74 | C8</x:v>
      </x:c>
      <x:c r="E77" s="2" t="str">
        <x:v>Capacitor</x:v>
      </x:c>
      <x:c r="F77" s="2" t="str">
        <x:v>Murata</x:v>
      </x:c>
      <x:c r="G77" s="2" t="str">
        <x:v>GRM155R71E104KE14D</x:v>
      </x:c>
      <x:c r="H77" s="2" t="str">
        <x:v>0402</x:v>
      </x:c>
      <x:c r="I77" s="2" t="str">
        <x:v>100 nF 25 V X7R</x:v>
      </x:c>
      <x:c r="J77" s="2" t="str">
        <x:v>COMMON</x:v>
      </x:c>
      <x:c r="K77" s="2" t="str">
        <x:v>FITTED</x:v>
      </x:c>
      <x:c r="L77" s="16" t="n">
        <x:v>140</x:v>
      </x:c>
      <x:c r="M77" s="16" t="n">
        <x:v>0</x:v>
      </x:c>
      <x:c r="N77" s="16" t="n">
        <x:v>140</x:v>
      </x:c>
      <x:c r="O77" s="16" t="n">
        <x:v>350</x:v>
      </x:c>
      <x:c r="P77" s="16" t="n">
        <x:v>0</x:v>
      </x:c>
      <x:c r="Q77" s="16" t="n">
        <x:v>350</x:v>
      </x:c>
      <x:c r="R77" s="16" t="n">
        <x:v>700</x:v>
      </x:c>
      <x:c r="S77" s="16" t="n">
        <x:v>0</x:v>
      </x:c>
      <x:c r="T77" s="16" t="n">
        <x:v>700</x:v>
      </x:c>
      <x:c r="U77" s="14" t="str">
        <x:v>NONE</x:v>
      </x:c>
      <x:c r="V77" s="14" t="str">
        <x:v>CONTROLLED_PENDING_VERIFICATION</x:v>
      </x:c>
      <x:c r="W77" s="14" t="str">
        <x:v>SELECTED_PENDING_REVIEW_A</x:v>
      </x:c>
      <x:c r="X77" s="17" t="str">
        <x:v>Authorized or traceable tier-1 channel</x:v>
      </x:c>
      <x:c r="Y77" s="17" t="str">
        <x:v>Marking MPN package orientation electrical functional sample</x:v>
      </x:c>
    </x:row>
    <x:row r="78">
      <x:c r="A78" s="2" t="str">
        <x:v>PR-077</x:v>
      </x:c>
      <x:c r="B78" s="14" t="str">
        <x:v>PCB-MAIN</x:v>
      </x:c>
      <x:c r="C78" s="14" t="str">
        <x:v>MAIN-010-C37</x:v>
      </x:c>
      <x:c r="D78" s="14" t="str">
        <x:v>C37</x:v>
      </x:c>
      <x:c r="E78" s="2" t="str">
        <x:v>Capacitor</x:v>
      </x:c>
      <x:c r="F78" s="2" t="str">
        <x:v>Murata</x:v>
      </x:c>
      <x:c r="G78" s="2" t="str">
        <x:v>GRM155R71E224KE14D</x:v>
      </x:c>
      <x:c r="H78" s="2" t="str">
        <x:v>0402</x:v>
      </x:c>
      <x:c r="I78" s="2" t="str">
        <x:v>220 nF 25 V X7R</x:v>
      </x:c>
      <x:c r="J78" s="2" t="str">
        <x:v>COMMON</x:v>
      </x:c>
      <x:c r="K78" s="2" t="str">
        <x:v>FITTED</x:v>
      </x:c>
      <x:c r="L78" s="16" t="n">
        <x:v>4</x:v>
      </x:c>
      <x:c r="M78" s="16" t="n">
        <x:v>0</x:v>
      </x:c>
      <x:c r="N78" s="16" t="n">
        <x:v>4</x:v>
      </x:c>
      <x:c r="O78" s="16" t="n">
        <x:v>10</x:v>
      </x:c>
      <x:c r="P78" s="16" t="n">
        <x:v>0</x:v>
      </x:c>
      <x:c r="Q78" s="16" t="n">
        <x:v>10</x:v>
      </x:c>
      <x:c r="R78" s="16" t="n">
        <x:v>20</x:v>
      </x:c>
      <x:c r="S78" s="16" t="n">
        <x:v>0</x:v>
      </x:c>
      <x:c r="T78" s="16" t="n">
        <x:v>20</x:v>
      </x:c>
      <x:c r="U78" s="14" t="str">
        <x:v>NONE</x:v>
      </x:c>
      <x:c r="V78" s="14" t="str">
        <x:v>CONTROLLED_PENDING_VERIFICATION</x:v>
      </x:c>
      <x:c r="W78" s="14" t="str">
        <x:v>SELECTED_PENDING_REVIEW_A</x:v>
      </x:c>
      <x:c r="X78" s="17" t="str">
        <x:v>Authorized or traceable tier-1 channel</x:v>
      </x:c>
      <x:c r="Y78" s="17" t="str">
        <x:v>Marking MPN package orientation electrical functional sample</x:v>
      </x:c>
    </x:row>
    <x:row r="79">
      <x:c r="A79" s="2" t="str">
        <x:v>PR-078</x:v>
      </x:c>
      <x:c r="B79" s="14" t="str">
        <x:v>PCB-MAIN</x:v>
      </x:c>
      <x:c r="C79" s="14" t="str">
        <x:v>MAIN-010-C38</x:v>
      </x:c>
      <x:c r="D79" s="14" t="str">
        <x:v>C38</x:v>
      </x:c>
      <x:c r="E79" s="2" t="str">
        <x:v>Capacitor</x:v>
      </x:c>
      <x:c r="F79" s="2" t="str">
        <x:v>Murata</x:v>
      </x:c>
      <x:c r="G79" s="2" t="str">
        <x:v>GRM155R71E473KA01D</x:v>
      </x:c>
      <x:c r="H79" s="2" t="str">
        <x:v>0402</x:v>
      </x:c>
      <x:c r="I79" s="2" t="str">
        <x:v>47 nF 25 V X7R</x:v>
      </x:c>
      <x:c r="J79" s="2" t="str">
        <x:v>COMMON</x:v>
      </x:c>
      <x:c r="K79" s="2" t="str">
        <x:v>FITTED</x:v>
      </x:c>
      <x:c r="L79" s="16" t="n">
        <x:v>4</x:v>
      </x:c>
      <x:c r="M79" s="16" t="n">
        <x:v>0</x:v>
      </x:c>
      <x:c r="N79" s="16" t="n">
        <x:v>4</x:v>
      </x:c>
      <x:c r="O79" s="16" t="n">
        <x:v>10</x:v>
      </x:c>
      <x:c r="P79" s="16" t="n">
        <x:v>0</x:v>
      </x:c>
      <x:c r="Q79" s="16" t="n">
        <x:v>10</x:v>
      </x:c>
      <x:c r="R79" s="16" t="n">
        <x:v>20</x:v>
      </x:c>
      <x:c r="S79" s="16" t="n">
        <x:v>0</x:v>
      </x:c>
      <x:c r="T79" s="16" t="n">
        <x:v>20</x:v>
      </x:c>
      <x:c r="U79" s="14" t="str">
        <x:v>NONE</x:v>
      </x:c>
      <x:c r="V79" s="14" t="str">
        <x:v>CONTROLLED_PENDING_VERIFICATION</x:v>
      </x:c>
      <x:c r="W79" s="14" t="str">
        <x:v>SELECTED_PENDING_REVIEW_A</x:v>
      </x:c>
      <x:c r="X79" s="17" t="str">
        <x:v>Authorized or traceable tier-1 channel</x:v>
      </x:c>
      <x:c r="Y79" s="17" t="str">
        <x:v>Marking MPN package orientation electrical functional sample</x:v>
      </x:c>
    </x:row>
    <x:row r="80">
      <x:c r="A80" s="2" t="str">
        <x:v>PR-079</x:v>
      </x:c>
      <x:c r="B80" s="14" t="str">
        <x:v>PCB-MAIN</x:v>
      </x:c>
      <x:c r="C80" s="14" t="str">
        <x:v>MAIN-010-C77</x:v>
      </x:c>
      <x:c r="D80" s="14" t="str">
        <x:v>C77</x:v>
      </x:c>
      <x:c r="E80" s="2" t="str">
        <x:v>Capacitor</x:v>
      </x:c>
      <x:c r="F80" s="2" t="str">
        <x:v>Murata</x:v>
      </x:c>
      <x:c r="G80" s="2" t="str">
        <x:v>GRM155R72A472KA01D</x:v>
      </x:c>
      <x:c r="H80" s="2" t="str">
        <x:v>0402</x:v>
      </x:c>
      <x:c r="I80" s="2" t="str">
        <x:v>4.7 nF 100 V X7R</x:v>
      </x:c>
      <x:c r="J80" s="2" t="str">
        <x:v>COMMON</x:v>
      </x:c>
      <x:c r="K80" s="2" t="str">
        <x:v>FITTED</x:v>
      </x:c>
      <x:c r="L80" s="16" t="n">
        <x:v>4</x:v>
      </x:c>
      <x:c r="M80" s="16" t="n">
        <x:v>0</x:v>
      </x:c>
      <x:c r="N80" s="16" t="n">
        <x:v>4</x:v>
      </x:c>
      <x:c r="O80" s="16" t="n">
        <x:v>10</x:v>
      </x:c>
      <x:c r="P80" s="16" t="n">
        <x:v>0</x:v>
      </x:c>
      <x:c r="Q80" s="16" t="n">
        <x:v>10</x:v>
      </x:c>
      <x:c r="R80" s="16" t="n">
        <x:v>20</x:v>
      </x:c>
      <x:c r="S80" s="16" t="n">
        <x:v>0</x:v>
      </x:c>
      <x:c r="T80" s="16" t="n">
        <x:v>20</x:v>
      </x:c>
      <x:c r="U80" s="14" t="str">
        <x:v>NONE</x:v>
      </x:c>
      <x:c r="V80" s="14" t="str">
        <x:v>CONTROLLED_PENDING_VERIFICATION</x:v>
      </x:c>
      <x:c r="W80" s="14" t="str">
        <x:v>SELECTED_PENDING_REVIEW_A</x:v>
      </x:c>
      <x:c r="X80" s="17" t="str">
        <x:v>Authorized or traceable tier-1 channel</x:v>
      </x:c>
      <x:c r="Y80" s="17" t="str">
        <x:v>Marking MPN package orientation electrical functional sample</x:v>
      </x:c>
    </x:row>
    <x:row r="81">
      <x:c r="A81" s="2" t="str">
        <x:v>PR-080</x:v>
      </x:c>
      <x:c r="B81" s="14" t="str">
        <x:v>PCB-MAIN</x:v>
      </x:c>
      <x:c r="C81" s="14" t="str">
        <x:v>MAIN-010-C13 | MAIN-010-C20 | MAIN-010-C24 | MAIN-010-C6 | MAIN-010-C61 | MAIN-010-C67 | MAIN-010-C72 | MAIN-010-C75</x:v>
      </x:c>
      <x:c r="D81" s="14" t="str">
        <x:v>C13 | C20 | C24 | C6 | C61 | C67 | C72 | C75</x:v>
      </x:c>
      <x:c r="E81" s="2" t="str">
        <x:v>Capacitor</x:v>
      </x:c>
      <x:c r="F81" s="2" t="str">
        <x:v>Murata</x:v>
      </x:c>
      <x:c r="G81" s="2" t="str">
        <x:v>GRM188R61A106KE69D</x:v>
      </x:c>
      <x:c r="H81" s="2" t="str">
        <x:v>0603</x:v>
      </x:c>
      <x:c r="I81" s="2" t="str">
        <x:v>10 uF 10 V X5R</x:v>
      </x:c>
      <x:c r="J81" s="2" t="str">
        <x:v>COMMON</x:v>
      </x:c>
      <x:c r="K81" s="2" t="str">
        <x:v>FITTED</x:v>
      </x:c>
      <x:c r="L81" s="16" t="n">
        <x:v>32</x:v>
      </x:c>
      <x:c r="M81" s="16" t="n">
        <x:v>0</x:v>
      </x:c>
      <x:c r="N81" s="16" t="n">
        <x:v>32</x:v>
      </x:c>
      <x:c r="O81" s="16" t="n">
        <x:v>80</x:v>
      </x:c>
      <x:c r="P81" s="16" t="n">
        <x:v>0</x:v>
      </x:c>
      <x:c r="Q81" s="16" t="n">
        <x:v>80</x:v>
      </x:c>
      <x:c r="R81" s="16" t="n">
        <x:v>160</x:v>
      </x:c>
      <x:c r="S81" s="16" t="n">
        <x:v>0</x:v>
      </x:c>
      <x:c r="T81" s="16" t="n">
        <x:v>160</x:v>
      </x:c>
      <x:c r="U81" s="14" t="str">
        <x:v>NONE</x:v>
      </x:c>
      <x:c r="V81" s="14" t="str">
        <x:v>CONTROLLED_PENDING_VERIFICATION</x:v>
      </x:c>
      <x:c r="W81" s="14" t="str">
        <x:v>SELECTED_PENDING_REVIEW_A</x:v>
      </x:c>
      <x:c r="X81" s="17" t="str">
        <x:v>Authorized or traceable tier-1 channel</x:v>
      </x:c>
      <x:c r="Y81" s="17" t="str">
        <x:v>Marking MPN package orientation electrical functional sample</x:v>
      </x:c>
    </x:row>
    <x:row r="82">
      <x:c r="A82" s="2" t="str">
        <x:v>PR-081</x:v>
      </x:c>
      <x:c r="B82" s="14" t="str">
        <x:v>PCB-MAIN</x:v>
      </x:c>
      <x:c r="C82" s="14" t="str">
        <x:v>MAIN-010-C19</x:v>
      </x:c>
      <x:c r="D82" s="14" t="str">
        <x:v>C19</x:v>
      </x:c>
      <x:c r="E82" s="2" t="str">
        <x:v>Capacitor</x:v>
      </x:c>
      <x:c r="F82" s="2" t="str">
        <x:v>Murata</x:v>
      </x:c>
      <x:c r="G82" s="2" t="str">
        <x:v>GRM21BR61A226ME44L</x:v>
      </x:c>
      <x:c r="H82" s="2" t="str">
        <x:v>0805</x:v>
      </x:c>
      <x:c r="I82" s="2" t="str">
        <x:v>22 uF 10 V X5R</x:v>
      </x:c>
      <x:c r="J82" s="2" t="str">
        <x:v>COMMON</x:v>
      </x:c>
      <x:c r="K82" s="2" t="str">
        <x:v>FITTED</x:v>
      </x:c>
      <x:c r="L82" s="16" t="n">
        <x:v>4</x:v>
      </x:c>
      <x:c r="M82" s="16" t="n">
        <x:v>0</x:v>
      </x:c>
      <x:c r="N82" s="16" t="n">
        <x:v>4</x:v>
      </x:c>
      <x:c r="O82" s="16" t="n">
        <x:v>10</x:v>
      </x:c>
      <x:c r="P82" s="16" t="n">
        <x:v>0</x:v>
      </x:c>
      <x:c r="Q82" s="16" t="n">
        <x:v>10</x:v>
      </x:c>
      <x:c r="R82" s="16" t="n">
        <x:v>20</x:v>
      </x:c>
      <x:c r="S82" s="16" t="n">
        <x:v>0</x:v>
      </x:c>
      <x:c r="T82" s="16" t="n">
        <x:v>20</x:v>
      </x:c>
      <x:c r="U82" s="14" t="str">
        <x:v>NONE</x:v>
      </x:c>
      <x:c r="V82" s="14" t="str">
        <x:v>CONTROLLED_PENDING_VERIFICATION</x:v>
      </x:c>
      <x:c r="W82" s="14" t="str">
        <x:v>SELECTED_PENDING_REVIEW_A</x:v>
      </x:c>
      <x:c r="X82" s="17" t="str">
        <x:v>Authorized or traceable tier-1 channel</x:v>
      </x:c>
      <x:c r="Y82" s="17" t="str">
        <x:v>Marking MPN package orientation electrical functional sample</x:v>
      </x:c>
    </x:row>
    <x:row r="83">
      <x:c r="A83" s="2" t="str">
        <x:v>PR-082</x:v>
      </x:c>
      <x:c r="B83" s="14" t="str">
        <x:v>PCB-PWR</x:v>
      </x:c>
      <x:c r="C83" s="14" t="str">
        <x:v>U-MON-01</x:v>
      </x:c>
      <x:c r="D83" s="14" t="str">
        <x:v>U2</x:v>
      </x:c>
      <x:c r="E83" s="2" t="str">
        <x:v>Monitor</x:v>
      </x:c>
      <x:c r="F83" s="2" t="str">
        <x:v>Texas Instruments</x:v>
      </x:c>
      <x:c r="G83" s="2" t="str">
        <x:v>INA226AIDGSR</x:v>
      </x:c>
      <x:c r="H83" s="2" t="str">
        <x:v>VSSOP-10</x:v>
      </x:c>
      <x:c r="I83" s="2" t="str"/>
      <x:c r="J83" s="2" t="str">
        <x:v>COMMON</x:v>
      </x:c>
      <x:c r="K83" s="2" t="str">
        <x:v>FITTED</x:v>
      </x:c>
      <x:c r="L83" s="16" t="n">
        <x:v>4</x:v>
      </x:c>
      <x:c r="M83" s="16" t="n">
        <x:v>1</x:v>
      </x:c>
      <x:c r="N83" s="16" t="n">
        <x:v>5</x:v>
      </x:c>
      <x:c r="O83" s="16" t="n">
        <x:v>10</x:v>
      </x:c>
      <x:c r="P83" s="16" t="n">
        <x:v>3</x:v>
      </x:c>
      <x:c r="Q83" s="16" t="n">
        <x:v>13</x:v>
      </x:c>
      <x:c r="R83" s="16" t="n">
        <x:v>20</x:v>
      </x:c>
      <x:c r="S83" s="16" t="n">
        <x:v>5</x:v>
      </x:c>
      <x:c r="T83" s="16" t="n">
        <x:v>25</x:v>
      </x:c>
      <x:c r="U83" s="14" t="str">
        <x:v>SCALE_CEIL_FROM_20_BASELINE</x:v>
      </x:c>
      <x:c r="V83" s="14" t="str">
        <x:v>CONTROLLED</x:v>
      </x:c>
      <x:c r="W83" s="14" t="str">
        <x:v>SELECTED_REV_A_12PIN_I2C</x:v>
      </x:c>
      <x:c r="X83" s="17" t="str">
        <x:v>Authorized distributor</x:v>
      </x:c>
      <x:c r="Y83" s="17" t="str">
        <x:v>Marking I2C ID calibration and reference-meter compare</x:v>
      </x:c>
    </x:row>
    <x:row r="84">
      <x:c r="A84" s="2" t="str">
        <x:v>PR-083</x:v>
      </x:c>
      <x:c r="B84" s="14" t="str">
        <x:v>PCB-MAIN</x:v>
      </x:c>
      <x:c r="C84" s="14" t="str">
        <x:v>U3</x:v>
      </x:c>
      <x:c r="D84" s="14" t="str">
        <x:v>U3</x:v>
      </x:c>
      <x:c r="E84" s="2" t="str">
        <x:v>Motion</x:v>
      </x:c>
      <x:c r="F84" s="2" t="str">
        <x:v>STMicroelectronics</x:v>
      </x:c>
      <x:c r="G84" s="2" t="str">
        <x:v>LIS2DW12TR</x:v>
      </x:c>
      <x:c r="H84" s="2" t="str">
        <x:v>LGA-12_2x2mm</x:v>
      </x:c>
      <x:c r="I84" s="2" t="str"/>
      <x:c r="J84" s="2" t="str">
        <x:v>COMMON</x:v>
      </x:c>
      <x:c r="K84" s="2" t="str">
        <x:v>FITTED</x:v>
      </x:c>
      <x:c r="L84" s="16" t="n">
        <x:v>4</x:v>
      </x:c>
      <x:c r="M84" s="16" t="n">
        <x:v>1</x:v>
      </x:c>
      <x:c r="N84" s="16" t="n">
        <x:v>5</x:v>
      </x:c>
      <x:c r="O84" s="16" t="n">
        <x:v>10</x:v>
      </x:c>
      <x:c r="P84" s="16" t="n">
        <x:v>3</x:v>
      </x:c>
      <x:c r="Q84" s="16" t="n">
        <x:v>13</x:v>
      </x:c>
      <x:c r="R84" s="16" t="n">
        <x:v>20</x:v>
      </x:c>
      <x:c r="S84" s="16" t="n">
        <x:v>5</x:v>
      </x:c>
      <x:c r="T84" s="16" t="n">
        <x:v>25</x:v>
      </x:c>
      <x:c r="U84" s="14" t="str">
        <x:v>SCALE_CEIL_FROM_20_BASELINE</x:v>
      </x:c>
      <x:c r="V84" s="14" t="str">
        <x:v>CONTROLLED_PENDING_VERIFICATION</x:v>
      </x:c>
      <x:c r="W84" s="14" t="str">
        <x:v>SELECTED_PENDING_SAMPLE</x:v>
      </x:c>
      <x:c r="X84" s="17" t="str">
        <x:v>Authorized distributor</x:v>
      </x:c>
      <x:c r="Y84" s="17" t="str">
        <x:v>Marking orientation WHO_AM_I and self-test</x:v>
      </x:c>
    </x:row>
    <x:row r="85">
      <x:c r="A85" s="2" t="str">
        <x:v>PR-084</x:v>
      </x:c>
      <x:c r="B85" s="14" t="str">
        <x:v>PCB-PWR</x:v>
      </x:c>
      <x:c r="C85" s="14" t="str">
        <x:v>PWR-REV-CTL</x:v>
      </x:c>
      <x:c r="D85" s="14" t="str">
        <x:v>U1</x:v>
      </x:c>
      <x:c r="E85" s="2" t="str">
        <x:v>Protection</x:v>
      </x:c>
      <x:c r="F85" s="2" t="str">
        <x:v>Texas Instruments</x:v>
      </x:c>
      <x:c r="G85" s="2" t="str">
        <x:v>LM74700QDBVRQ1</x:v>
      </x:c>
      <x:c r="H85" s="2" t="str">
        <x:v>SOT-23-6</x:v>
      </x:c>
      <x:c r="I85" s="2" t="str"/>
      <x:c r="J85" s="2" t="str">
        <x:v>COMMON</x:v>
      </x:c>
      <x:c r="K85" s="2" t="str">
        <x:v>FITTED</x:v>
      </x:c>
      <x:c r="L85" s="16" t="n">
        <x:v>4</x:v>
      </x:c>
      <x:c r="M85" s="16" t="n">
        <x:v>1</x:v>
      </x:c>
      <x:c r="N85" s="16" t="n">
        <x:v>5</x:v>
      </x:c>
      <x:c r="O85" s="16" t="n">
        <x:v>10</x:v>
      </x:c>
      <x:c r="P85" s="16" t="n">
        <x:v>3</x:v>
      </x:c>
      <x:c r="Q85" s="16" t="n">
        <x:v>13</x:v>
      </x:c>
      <x:c r="R85" s="16" t="n">
        <x:v>20</x:v>
      </x:c>
      <x:c r="S85" s="16" t="n">
        <x:v>5</x:v>
      </x:c>
      <x:c r="T85" s="16" t="n">
        <x:v>25</x:v>
      </x:c>
      <x:c r="U85" s="14" t="str">
        <x:v>SCALE_CEIL_FROM_20_BASELINE</x:v>
      </x:c>
      <x:c r="V85" s="14" t="str">
        <x:v>CONTROLLED_PENDING_VERIFICATION</x:v>
      </x:c>
      <x:c r="W85" s="14" t="str">
        <x:v>SELECTED_PENDING_SCHEMATIC_SAMPLE</x:v>
      </x:c>
      <x:c r="X85" s="17" t="str">
        <x:v>Authorized distributor</x:v>
      </x:c>
      <x:c r="Y85" s="17" t="str">
        <x:v>Marking reverse test and gate waveform</x:v>
      </x:c>
    </x:row>
    <x:row r="86">
      <x:c r="A86" s="2" t="str">
        <x:v>PR-085</x:v>
      </x:c>
      <x:c r="B86" s="14" t="str">
        <x:v>PCB-PWR</x:v>
      </x:c>
      <x:c r="C86" s="14" t="str">
        <x:v>U-PWR1 | U-PWR2</x:v>
      </x:c>
      <x:c r="D86" s="14" t="str">
        <x:v>U3 | U4</x:v>
      </x:c>
      <x:c r="E86" s="2" t="str">
        <x:v>Power</x:v>
      </x:c>
      <x:c r="F86" s="2" t="str">
        <x:v>Texas Instruments</x:v>
      </x:c>
      <x:c r="G86" s="2" t="str">
        <x:v>LMR604403SRAKR</x:v>
      </x:c>
      <x:c r="H86" s="2" t="str">
        <x:v>RAK-9</x:v>
      </x:c>
      <x:c r="I86" s="2" t="str"/>
      <x:c r="J86" s="2" t="str">
        <x:v>COMMON</x:v>
      </x:c>
      <x:c r="K86" s="2" t="str">
        <x:v>FITTED</x:v>
      </x:c>
      <x:c r="L86" s="16" t="n">
        <x:v>8</x:v>
      </x:c>
      <x:c r="M86" s="16" t="n">
        <x:v>2</x:v>
      </x:c>
      <x:c r="N86" s="16" t="n">
        <x:v>10</x:v>
      </x:c>
      <x:c r="O86" s="16" t="n">
        <x:v>20</x:v>
      </x:c>
      <x:c r="P86" s="16" t="n">
        <x:v>6</x:v>
      </x:c>
      <x:c r="Q86" s="16" t="n">
        <x:v>26</x:v>
      </x:c>
      <x:c r="R86" s="16" t="n">
        <x:v>40</x:v>
      </x:c>
      <x:c r="S86" s="16" t="n">
        <x:v>10</x:v>
      </x:c>
      <x:c r="T86" s="16" t="n">
        <x:v>50</x:v>
      </x:c>
      <x:c r="U86" s="14" t="str">
        <x:v>SCALE_CEIL_FROM_20_BASELINE</x:v>
      </x:c>
      <x:c r="V86" s="14" t="str">
        <x:v>CONTROLLED_PENDING_VERIFICATION</x:v>
      </x:c>
      <x:c r="W86" s="14" t="str">
        <x:v>SELECTED_PENDING_DESIGN_CALC_SAMPLE</x:v>
      </x:c>
      <x:c r="X86" s="17" t="str">
        <x:v>Authorized distributor</x:v>
      </x:c>
      <x:c r="Y86" s="17" t="str">
        <x:v>Load step ripple efficiency sleep current thermal and EMI | Load step ripple efficiency thermal and EMI</x:v>
      </x:c>
    </x:row>
    <x:row r="87">
      <x:c r="A87" s="2" t="str">
        <x:v>PR-086</x:v>
      </x:c>
      <x:c r="B87" s="14" t="str">
        <x:v>PCB-MAIN</x:v>
      </x:c>
      <x:c r="C87" s="14" t="str">
        <x:v>MAIN-010-L1</x:v>
      </x:c>
      <x:c r="D87" s="14" t="str">
        <x:v>L1</x:v>
      </x:c>
      <x:c r="E87" s="2" t="str">
        <x:v>Inductor</x:v>
      </x:c>
      <x:c r="F87" s="2" t="str">
        <x:v>Murata</x:v>
      </x:c>
      <x:c r="G87" s="2" t="str">
        <x:v>LQH32PN2R2NN0L</x:v>
      </x:c>
      <x:c r="H87" s="2" t="str">
        <x:v>1210</x:v>
      </x:c>
      <x:c r="I87" s="2" t="str">
        <x:v>2.2 uH 20%</x:v>
      </x:c>
      <x:c r="J87" s="2" t="str">
        <x:v>COMMON</x:v>
      </x:c>
      <x:c r="K87" s="2" t="str">
        <x:v>FITTED</x:v>
      </x:c>
      <x:c r="L87" s="16" t="n">
        <x:v>4</x:v>
      </x:c>
      <x:c r="M87" s="16" t="n">
        <x:v>0</x:v>
      </x:c>
      <x:c r="N87" s="16" t="n">
        <x:v>4</x:v>
      </x:c>
      <x:c r="O87" s="16" t="n">
        <x:v>10</x:v>
      </x:c>
      <x:c r="P87" s="16" t="n">
        <x:v>0</x:v>
      </x:c>
      <x:c r="Q87" s="16" t="n">
        <x:v>10</x:v>
      </x:c>
      <x:c r="R87" s="16" t="n">
        <x:v>20</x:v>
      </x:c>
      <x:c r="S87" s="16" t="n">
        <x:v>0</x:v>
      </x:c>
      <x:c r="T87" s="16" t="n">
        <x:v>20</x:v>
      </x:c>
      <x:c r="U87" s="14" t="str">
        <x:v>NONE</x:v>
      </x:c>
      <x:c r="V87" s="14" t="str">
        <x:v>CONTROLLED_PENDING_VERIFICATION</x:v>
      </x:c>
      <x:c r="W87" s="14" t="str">
        <x:v>SELECTED_PENDING_REVIEW_A</x:v>
      </x:c>
      <x:c r="X87" s="17" t="str">
        <x:v>Authorized or traceable tier-1 channel</x:v>
      </x:c>
      <x:c r="Y87" s="17" t="str">
        <x:v>Marking MPN package orientation electrical functional sample</x:v>
      </x:c>
    </x:row>
    <x:row r="88">
      <x:c r="A88" s="2" t="str">
        <x:v>PR-087</x:v>
      </x:c>
      <x:c r="B88" s="14" t="str">
        <x:v>PCB-MAIN</x:v>
      </x:c>
      <x:c r="C88" s="14" t="str">
        <x:v>MAIN-010-L2</x:v>
      </x:c>
      <x:c r="D88" s="14" t="str">
        <x:v>L2</x:v>
      </x:c>
      <x:c r="E88" s="2" t="str">
        <x:v>Inductor</x:v>
      </x:c>
      <x:c r="F88" s="2" t="str">
        <x:v>Murata</x:v>
      </x:c>
      <x:c r="G88" s="2" t="str">
        <x:v>LQW15AN27NJ00D</x:v>
      </x:c>
      <x:c r="H88" s="2" t="str">
        <x:v>0402</x:v>
      </x:c>
      <x:c r="I88" s="2" t="str">
        <x:v>27 nH 5%</x:v>
      </x:c>
      <x:c r="J88" s="2" t="str">
        <x:v>COMMON</x:v>
      </x:c>
      <x:c r="K88" s="2" t="str">
        <x:v>FITTED</x:v>
      </x:c>
      <x:c r="L88" s="16" t="n">
        <x:v>4</x:v>
      </x:c>
      <x:c r="M88" s="16" t="n">
        <x:v>0</x:v>
      </x:c>
      <x:c r="N88" s="16" t="n">
        <x:v>4</x:v>
      </x:c>
      <x:c r="O88" s="16" t="n">
        <x:v>10</x:v>
      </x:c>
      <x:c r="P88" s="16" t="n">
        <x:v>0</x:v>
      </x:c>
      <x:c r="Q88" s="16" t="n">
        <x:v>10</x:v>
      </x:c>
      <x:c r="R88" s="16" t="n">
        <x:v>20</x:v>
      </x:c>
      <x:c r="S88" s="16" t="n">
        <x:v>0</x:v>
      </x:c>
      <x:c r="T88" s="16" t="n">
        <x:v>20</x:v>
      </x:c>
      <x:c r="U88" s="14" t="str">
        <x:v>NONE</x:v>
      </x:c>
      <x:c r="V88" s="14" t="str">
        <x:v>CONTROLLED_PENDING_VERIFICATION</x:v>
      </x:c>
      <x:c r="W88" s="14" t="str">
        <x:v>SELECTED_PENDING_REVIEW_A</x:v>
      </x:c>
      <x:c r="X88" s="17" t="str">
        <x:v>Authorized or traceable tier-1 channel</x:v>
      </x:c>
      <x:c r="Y88" s="17" t="str">
        <x:v>Marking MPN package orientation electrical functional sample</x:v>
      </x:c>
    </x:row>
    <x:row r="89">
      <x:c r="A89" s="2" t="str">
        <x:v>PR-088</x:v>
      </x:c>
      <x:c r="B89" s="14" t="str">
        <x:v>PCB-MAIN</x:v>
      </x:c>
      <x:c r="C89" s="14" t="str">
        <x:v>MAIN-010-U5</x:v>
      </x:c>
      <x:c r="D89" s="14" t="str">
        <x:v>U5</x:v>
      </x:c>
      <x:c r="E89" s="2" t="str">
        <x:v>Operational_Amplifier</x:v>
      </x:c>
      <x:c r="F89" s="2" t="str">
        <x:v>Analog Devices</x:v>
      </x:c>
      <x:c r="G89" s="2" t="str">
        <x:v>LT6000IDCB#TRMPBF</x:v>
      </x:c>
      <x:c r="H89" s="2" t="str">
        <x:v>DFN-6_DCB_2x3mm</x:v>
      </x:c>
      <x:c r="I89" s="2" t="str">
        <x:v>Single rail-to-rail low-power op amp</x:v>
      </x:c>
      <x:c r="J89" s="2" t="str">
        <x:v>COMMON</x:v>
      </x:c>
      <x:c r="K89" s="2" t="str">
        <x:v>FITTED</x:v>
      </x:c>
      <x:c r="L89" s="16" t="n">
        <x:v>4</x:v>
      </x:c>
      <x:c r="M89" s="16" t="n">
        <x:v>0</x:v>
      </x:c>
      <x:c r="N89" s="16" t="n">
        <x:v>4</x:v>
      </x:c>
      <x:c r="O89" s="16" t="n">
        <x:v>10</x:v>
      </x:c>
      <x:c r="P89" s="16" t="n">
        <x:v>0</x:v>
      </x:c>
      <x:c r="Q89" s="16" t="n">
        <x:v>10</x:v>
      </x:c>
      <x:c r="R89" s="16" t="n">
        <x:v>20</x:v>
      </x:c>
      <x:c r="S89" s="16" t="n">
        <x:v>0</x:v>
      </x:c>
      <x:c r="T89" s="16" t="n">
        <x:v>20</x:v>
      </x:c>
      <x:c r="U89" s="14" t="str">
        <x:v>NONE</x:v>
      </x:c>
      <x:c r="V89" s="14" t="str">
        <x:v>CONTROLLED_PENDING_VERIFICATION</x:v>
      </x:c>
      <x:c r="W89" s="14" t="str">
        <x:v>SELECTED_PENDING_REVIEW_A</x:v>
      </x:c>
      <x:c r="X89" s="17" t="str">
        <x:v>Authorized or traceable tier-1 channel</x:v>
      </x:c>
      <x:c r="Y89" s="17" t="str">
        <x:v>Marking MPN package orientation electrical functional sample</x:v>
      </x:c>
    </x:row>
    <x:row r="90">
      <x:c r="A90" s="2" t="str">
        <x:v>PR-089</x:v>
      </x:c>
      <x:c r="B90" s="14" t="str">
        <x:v>PCB-MAIN</x:v>
      </x:c>
      <x:c r="C90" s="14" t="str">
        <x:v>U9</x:v>
      </x:c>
      <x:c r="D90" s="14" t="str">
        <x:v>U9</x:v>
      </x:c>
      <x:c r="E90" s="2" t="str">
        <x:v>GNSS</x:v>
      </x:c>
      <x:c r="F90" s="2" t="str">
        <x:v>u-blox</x:v>
      </x:c>
      <x:c r="G90" s="2" t="str">
        <x:v>MAX-M10S-00B</x:v>
      </x:c>
      <x:c r="H90" s="2" t="str">
        <x:v>LCC-18_9.7x10.1mm</x:v>
      </x:c>
      <x:c r="I90" s="2" t="str"/>
      <x:c r="J90" s="2" t="str">
        <x:v>COMMON</x:v>
      </x:c>
      <x:c r="K90" s="2" t="str">
        <x:v>FITTED</x:v>
      </x:c>
      <x:c r="L90" s="16" t="n">
        <x:v>4</x:v>
      </x:c>
      <x:c r="M90" s="16" t="n">
        <x:v>1</x:v>
      </x:c>
      <x:c r="N90" s="16" t="n">
        <x:v>5</x:v>
      </x:c>
      <x:c r="O90" s="16" t="n">
        <x:v>10</x:v>
      </x:c>
      <x:c r="P90" s="16" t="n">
        <x:v>3</x:v>
      </x:c>
      <x:c r="Q90" s="16" t="n">
        <x:v>13</x:v>
      </x:c>
      <x:c r="R90" s="16" t="n">
        <x:v>20</x:v>
      </x:c>
      <x:c r="S90" s="16" t="n">
        <x:v>5</x:v>
      </x:c>
      <x:c r="T90" s="16" t="n">
        <x:v>25</x:v>
      </x:c>
      <x:c r="U90" s="14" t="str">
        <x:v>SCALE_CEIL_FROM_20_BASELINE</x:v>
      </x:c>
      <x:c r="V90" s="14" t="str">
        <x:v>CONTROLLED_PENDING_VERIFICATION</x:v>
      </x:c>
      <x:c r="W90" s="14" t="str">
        <x:v>SELECTED_PENDING_GNSS_RF_TIMING_SAMPLE</x:v>
      </x:c>
      <x:c r="X90" s="17" t="str">
        <x:v>Authorized distributor or traceable module channel</x:v>
      </x:c>
      <x:c r="Y90" s="17" t="str">
        <x:v>Marking firmware satellite fix PPS test</x:v>
      </x:c>
    </x:row>
    <x:row r="91">
      <x:c r="A91" s="2" t="str">
        <x:v>PR-090</x:v>
      </x:c>
      <x:c r="B91" s="14" t="str">
        <x:v>PCB-MAIN</x:v>
      </x:c>
      <x:c r="C91" s="14" t="str">
        <x:v>U11</x:v>
      </x:c>
      <x:c r="D91" s="14" t="str">
        <x:v>U11</x:v>
      </x:c>
      <x:c r="E91" s="2" t="str">
        <x:v>BLE</x:v>
      </x:c>
      <x:c r="F91" s="2" t="str">
        <x:v>Raytac</x:v>
      </x:c>
      <x:c r="G91" s="2" t="str">
        <x:v>MDBT50Q-P1MV2</x:v>
      </x:c>
      <x:c r="H91" s="2" t="str">
        <x:v>nRF52840_SMD_10.5x15.5_61P_PCB_antenna</x:v>
      </x:c>
      <x:c r="I91" s="2" t="str"/>
      <x:c r="J91" s="2" t="str">
        <x:v>COMMON</x:v>
      </x:c>
      <x:c r="K91" s="2" t="str">
        <x:v>FITTED</x:v>
      </x:c>
      <x:c r="L91" s="16" t="n">
        <x:v>4</x:v>
      </x:c>
      <x:c r="M91" s="16" t="n">
        <x:v>1</x:v>
      </x:c>
      <x:c r="N91" s="16" t="n">
        <x:v>5</x:v>
      </x:c>
      <x:c r="O91" s="16" t="n">
        <x:v>10</x:v>
      </x:c>
      <x:c r="P91" s="16" t="n">
        <x:v>3</x:v>
      </x:c>
      <x:c r="Q91" s="16" t="n">
        <x:v>13</x:v>
      </x:c>
      <x:c r="R91" s="16" t="n">
        <x:v>20</x:v>
      </x:c>
      <x:c r="S91" s="16" t="n">
        <x:v>5</x:v>
      </x:c>
      <x:c r="T91" s="16" t="n">
        <x:v>25</x:v>
      </x:c>
      <x:c r="U91" s="14" t="str">
        <x:v>SCALE_CEIL_FROM_20_BASELINE</x:v>
      </x:c>
      <x:c r="V91" s="14" t="str">
        <x:v>CONTROLLED_PENDING_VERIFICATION</x:v>
      </x:c>
      <x:c r="W91" s="14" t="str">
        <x:v>SELECTED_PENDING_ENCLOSURE_RF</x:v>
      </x:c>
      <x:c r="X91" s="17" t="str">
        <x:v>Raytac authorized channel or traceable distributor</x:v>
      </x:c>
      <x:c r="Y91" s="17" t="str">
        <x:v>Module label firmware BLE 2M coded PHY pairing OTA current RF range and temperature test</x:v>
      </x:c>
    </x:row>
    <x:row r="92">
      <x:c r="A92" s="2" t="str">
        <x:v>PR-091</x:v>
      </x:c>
      <x:c r="B92" s="14" t="str">
        <x:v>PCB-MAIN</x:v>
      </x:c>
      <x:c r="C92" s="14" t="str">
        <x:v>J-SD1</x:v>
      </x:c>
      <x:c r="D92" s="14" t="str">
        <x:v>J12</x:v>
      </x:c>
      <x:c r="E92" s="2" t="str">
        <x:v>Connector</x:v>
      </x:c>
      <x:c r="F92" s="2" t="str">
        <x:v>GCT</x:v>
      </x:c>
      <x:c r="G92" s="2" t="str">
        <x:v>MEM2052-00-195-00-A</x:v>
      </x:c>
      <x:c r="H92" s="2" t="str">
        <x:v>microSD push-push SMT 1.95 mm with detect</x:v>
      </x:c>
      <x:c r="I92" s="2" t="str"/>
      <x:c r="J92" s="2" t="str">
        <x:v>COMMON</x:v>
      </x:c>
      <x:c r="K92" s="2" t="str">
        <x:v>FITTED</x:v>
      </x:c>
      <x:c r="L92" s="16" t="n">
        <x:v>4</x:v>
      </x:c>
      <x:c r="M92" s="16" t="n">
        <x:v>1</x:v>
      </x:c>
      <x:c r="N92" s="16" t="n">
        <x:v>5</x:v>
      </x:c>
      <x:c r="O92" s="16" t="n">
        <x:v>10</x:v>
      </x:c>
      <x:c r="P92" s="16" t="n">
        <x:v>3</x:v>
      </x:c>
      <x:c r="Q92" s="16" t="n">
        <x:v>13</x:v>
      </x:c>
      <x:c r="R92" s="16" t="n">
        <x:v>20</x:v>
      </x:c>
      <x:c r="S92" s="16" t="n">
        <x:v>5</x:v>
      </x:c>
      <x:c r="T92" s="16" t="n">
        <x:v>25</x:v>
      </x:c>
      <x:c r="U92" s="14" t="str">
        <x:v>SCALE_CEIL_FROM_20_BASELINE</x:v>
      </x:c>
      <x:c r="V92" s="14" t="str">
        <x:v>CONTROLLED_PENDING_VERIFICATION</x:v>
      </x:c>
      <x:c r="W92" s="14" t="str">
        <x:v>MECHANICAL_AUTHORITY_FROZEN_PENDING_PHYSICAL_TEST</x:v>
      </x:c>
      <x:c r="X92" s="17" t="str">
        <x:v>Authorized GCT distributor</x:v>
      </x:c>
      <x:c r="Y92" s="17" t="str">
        <x:v>Mating detect coplanarity and cycle sample</x:v>
      </x:c>
    </x:row>
    <x:row r="93">
      <x:c r="A93" s="2" t="str">
        <x:v>PR-092</x:v>
      </x:c>
      <x:c r="B93" s="14" t="str">
        <x:v>PCB-MAIN</x:v>
      </x:c>
      <x:c r="C93" s="14" t="str">
        <x:v>Q-MODEM-PWRKEY | Q-MODEM-RESET | Q-SIM-MUX-EN</x:v>
      </x:c>
      <x:c r="D93" s="14" t="str">
        <x:v>Q1 | Q2 | Q3</x:v>
      </x:c>
      <x:c r="E93" s="2" t="str">
        <x:v>Transistor</x:v>
      </x:c>
      <x:c r="F93" s="2" t="str">
        <x:v>Nexperia</x:v>
      </x:c>
      <x:c r="G93" s="2" t="str">
        <x:v>MMBT3904,215</x:v>
      </x:c>
      <x:c r="H93" s="2" t="str">
        <x:v>SOT23</x:v>
      </x:c>
      <x:c r="I93" s="2" t="str"/>
      <x:c r="J93" s="2" t="str">
        <x:v>COMMON</x:v>
      </x:c>
      <x:c r="K93" s="2" t="str">
        <x:v>FITTED</x:v>
      </x:c>
      <x:c r="L93" s="16" t="n">
        <x:v>12</x:v>
      </x:c>
      <x:c r="M93" s="16" t="n">
        <x:v>3</x:v>
      </x:c>
      <x:c r="N93" s="16" t="n">
        <x:v>15</x:v>
      </x:c>
      <x:c r="O93" s="16" t="n">
        <x:v>30</x:v>
      </x:c>
      <x:c r="P93" s="16" t="n">
        <x:v>9</x:v>
      </x:c>
      <x:c r="Q93" s="16" t="n">
        <x:v>39</x:v>
      </x:c>
      <x:c r="R93" s="16" t="n">
        <x:v>60</x:v>
      </x:c>
      <x:c r="S93" s="16" t="n">
        <x:v>15</x:v>
      </x:c>
      <x:c r="T93" s="16" t="n">
        <x:v>75</x:v>
      </x:c>
      <x:c r="U93" s="14" t="str">
        <x:v>SCALE_CEIL_FROM_20_BASELINE</x:v>
      </x:c>
      <x:c r="V93" s="14" t="str">
        <x:v>CONTROLLED_PENDING_VERIFICATION</x:v>
      </x:c>
      <x:c r="W93" s="14" t="str">
        <x:v>SELECTED_PENDING_CONTROL_TIMING_SAMPLE | SELECTED_PENDING_SIM_SAFE_STATE_SAMPLE</x:v>
      </x:c>
      <x:c r="X93" s="17" t="str">
        <x:v>Authorized or traceable tier-1 channel</x:v>
      </x:c>
      <x:c r="Y93" s="17" t="str">
        <x:v>Marking MPN package orientation electrical functional sample</x:v>
      </x:c>
    </x:row>
    <x:row r="94">
      <x:c r="A94" s="2" t="str">
        <x:v>PR-093</x:v>
      </x:c>
      <x:c r="B94" s="14" t="str">
        <x:v>PCB-MIC</x:v>
      </x:c>
      <x:c r="C94" s="14" t="str">
        <x:v>MK1</x:v>
      </x:c>
      <x:c r="D94" s="14" t="str">
        <x:v>MK1</x:v>
      </x:c>
      <x:c r="E94" s="2" t="str">
        <x:v>Microphone</x:v>
      </x:c>
      <x:c r="F94" s="2" t="str">
        <x:v>TDK InvenSense</x:v>
      </x:c>
      <x:c r="G94" s="2" t="str">
        <x:v>MMICT5838-00-012</x:v>
      </x:c>
      <x:c r="H94" s="2" t="str">
        <x:v>LGA-CAV-5 3.5x2.65x0.98 mm</x:v>
      </x:c>
      <x:c r="I94" s="2" t="str"/>
      <x:c r="J94" s="2" t="str">
        <x:v>COMMON</x:v>
      </x:c>
      <x:c r="K94" s="2" t="str">
        <x:v>FITTED</x:v>
      </x:c>
      <x:c r="L94" s="16" t="n">
        <x:v>16</x:v>
      </x:c>
      <x:c r="M94" s="16" t="n">
        <x:v>4</x:v>
      </x:c>
      <x:c r="N94" s="16" t="n">
        <x:v>20</x:v>
      </x:c>
      <x:c r="O94" s="16" t="n">
        <x:v>40</x:v>
      </x:c>
      <x:c r="P94" s="16" t="n">
        <x:v>8</x:v>
      </x:c>
      <x:c r="Q94" s="16" t="n">
        <x:v>48</x:v>
      </x:c>
      <x:c r="R94" s="16" t="n">
        <x:v>80</x:v>
      </x:c>
      <x:c r="S94" s="16" t="n">
        <x:v>16</x:v>
      </x:c>
      <x:c r="T94" s="16" t="n">
        <x:v>96</x:v>
      </x:c>
      <x:c r="U94" s="14" t="str">
        <x:v>SCALE_CEIL_FROM_20_BASELINE</x:v>
      </x:c>
      <x:c r="V94" s="14" t="str">
        <x:v>CONTROLLED_PENDING_VERIFICATION</x:v>
      </x:c>
      <x:c r="W94" s="14" t="str">
        <x:v>SELECTED_PENDING_SAMPLE</x:v>
      </x:c>
      <x:c r="X94" s="17" t="str">
        <x:v>TDK authorized channel and same lot requested</x:v>
      </x:c>
      <x:c r="Y94" s="17" t="str">
        <x:v>Marking lot acoustic sensitivity noise phase and port inspection</x:v>
      </x:c>
    </x:row>
    <x:row r="95">
      <x:c r="A95" s="2" t="str">
        <x:v>PR-094</x:v>
      </x:c>
      <x:c r="B95" s="14" t="str">
        <x:v>PCB-PWR</x:v>
      </x:c>
      <x:c r="C95" s="14" t="str">
        <x:v>PWR-NET-TIE</x:v>
      </x:c>
      <x:c r="D95" s="14" t="str">
        <x:v>NT1;NT2;NT3</x:v>
      </x:c>
      <x:c r="E95" s="2" t="str">
        <x:v>PCB feature</x:v>
      </x:c>
      <x:c r="F95" s="2" t="str">
        <x:v>PCB fabrication</x:v>
      </x:c>
      <x:c r="G95" s="2" t="str">
        <x:v>NET_TIE_COPPER_REV_A</x:v>
      </x:c>
      <x:c r="H95" s="2" t="str">
        <x:v>NetTie-2 SMD pad 0.5 mm</x:v>
      </x:c>
      <x:c r="I95" s="2" t="str">
        <x:v>2-pad copper net tie</x:v>
      </x:c>
      <x:c r="J95" s="2" t="str">
        <x:v>COMMON</x:v>
      </x:c>
      <x:c r="K95" s="2" t="str">
        <x:v>PCB_FEATURE</x:v>
      </x:c>
      <x:c r="L95" s="16" t="n">
        <x:v>12</x:v>
      </x:c>
      <x:c r="M95" s="16" t="n">
        <x:v>0</x:v>
      </x:c>
      <x:c r="N95" s="16" t="n">
        <x:v>12</x:v>
      </x:c>
      <x:c r="O95" s="16" t="n">
        <x:v>30</x:v>
      </x:c>
      <x:c r="P95" s="16" t="n">
        <x:v>0</x:v>
      </x:c>
      <x:c r="Q95" s="16" t="n">
        <x:v>30</x:v>
      </x:c>
      <x:c r="R95" s="16" t="n">
        <x:v>60</x:v>
      </x:c>
      <x:c r="S95" s="16" t="n">
        <x:v>0</x:v>
      </x:c>
      <x:c r="T95" s="16" t="n">
        <x:v>60</x:v>
      </x:c>
      <x:c r="U95" s="14" t="str">
        <x:v>NONE</x:v>
      </x:c>
      <x:c r="V95" s="14" t="str">
        <x:v>CONTROLLED_PENDING_VERIFICATION</x:v>
      </x:c>
      <x:c r="W95" s="14" t="str">
        <x:v>LOCKED_LAYOUT_PENDING</x:v>
      </x:c>
      <x:c r="X95" s="17" t="str">
        <x:v>Authorized or traceable tier-1 channel</x:v>
      </x:c>
      <x:c r="Y95" s="17" t="str">
        <x:v>Marking MPN package orientation electrical functional sample</x:v>
      </x:c>
    </x:row>
    <x:row r="96">
      <x:c r="A96" s="2" t="str">
        <x:v>PR-095</x:v>
      </x:c>
      <x:c r="B96" s="14" t="str">
        <x:v>PCB-MAIN</x:v>
      </x:c>
      <x:c r="C96" s="14" t="str">
        <x:v>MAIN-010-D3 | MAIN-010-D5</x:v>
      </x:c>
      <x:c r="D96" s="14" t="str">
        <x:v>D3 | D5</x:v>
      </x:c>
      <x:c r="E96" s="2" t="str">
        <x:v>RF_ESD</x:v>
      </x:c>
      <x:c r="F96" s="2" t="str">
        <x:v>Nexperia</x:v>
      </x:c>
      <x:c r="G96" s="2" t="str">
        <x:v>PESD5V0C1BSF</x:v>
      </x:c>
      <x:c r="H96" s="2" t="str">
        <x:v>SOD962-2</x:v>
      </x:c>
      <x:c r="I96" s="2" t="str">
        <x:v>5 V bidirectional 0.2 pF RF ESD</x:v>
      </x:c>
      <x:c r="J96" s="2" t="str">
        <x:v>COMMON</x:v>
      </x:c>
      <x:c r="K96" s="2" t="str">
        <x:v>FITTED</x:v>
      </x:c>
      <x:c r="L96" s="16" t="n">
        <x:v>8</x:v>
      </x:c>
      <x:c r="M96" s="16" t="n">
        <x:v>0</x:v>
      </x:c>
      <x:c r="N96" s="16" t="n">
        <x:v>8</x:v>
      </x:c>
      <x:c r="O96" s="16" t="n">
        <x:v>20</x:v>
      </x:c>
      <x:c r="P96" s="16" t="n">
        <x:v>0</x:v>
      </x:c>
      <x:c r="Q96" s="16" t="n">
        <x:v>20</x:v>
      </x:c>
      <x:c r="R96" s="16" t="n">
        <x:v>40</x:v>
      </x:c>
      <x:c r="S96" s="16" t="n">
        <x:v>0</x:v>
      </x:c>
      <x:c r="T96" s="16" t="n">
        <x:v>40</x:v>
      </x:c>
      <x:c r="U96" s="14" t="str">
        <x:v>NONE</x:v>
      </x:c>
      <x:c r="V96" s="14" t="str">
        <x:v>CONTROLLED_PENDING_VERIFICATION</x:v>
      </x:c>
      <x:c r="W96" s="14" t="str">
        <x:v>SELECTED_PENDING_REVIEW_A</x:v>
      </x:c>
      <x:c r="X96" s="17" t="str">
        <x:v>Authorized or traceable tier-1 channel</x:v>
      </x:c>
      <x:c r="Y96" s="17" t="str">
        <x:v>Marking MPN package orientation electrical functional sample</x:v>
      </x:c>
    </x:row>
    <x:row r="97">
      <x:c r="A97" s="2" t="str">
        <x:v>PR-096</x:v>
      </x:c>
      <x:c r="B97" s="14" t="str">
        <x:v>PCB-MAIN</x:v>
      </x:c>
      <x:c r="C97" s="14" t="str">
        <x:v>MAIN-010-D1 | MAIN-010-D2</x:v>
      </x:c>
      <x:c r="D97" s="14" t="str">
        <x:v>D1 | D2</x:v>
      </x:c>
      <x:c r="E97" s="2" t="str">
        <x:v>Supply_TVS</x:v>
      </x:c>
      <x:c r="F97" s="2" t="str">
        <x:v>Nexperia</x:v>
      </x:c>
      <x:c r="G97" s="2" t="str">
        <x:v>PESD5V0S1UL</x:v>
      </x:c>
      <x:c r="H97" s="2" t="str">
        <x:v>SOD882</x:v>
      </x:c>
      <x:c r="I97" s="2" t="str">
        <x:v>5 V unidirectional 150 W TVS</x:v>
      </x:c>
      <x:c r="J97" s="2" t="str">
        <x:v>COMMON</x:v>
      </x:c>
      <x:c r="K97" s="2" t="str">
        <x:v>FITTED</x:v>
      </x:c>
      <x:c r="L97" s="16" t="n">
        <x:v>8</x:v>
      </x:c>
      <x:c r="M97" s="16" t="n">
        <x:v>0</x:v>
      </x:c>
      <x:c r="N97" s="16" t="n">
        <x:v>8</x:v>
      </x:c>
      <x:c r="O97" s="16" t="n">
        <x:v>20</x:v>
      </x:c>
      <x:c r="P97" s="16" t="n">
        <x:v>0</x:v>
      </x:c>
      <x:c r="Q97" s="16" t="n">
        <x:v>20</x:v>
      </x:c>
      <x:c r="R97" s="16" t="n">
        <x:v>40</x:v>
      </x:c>
      <x:c r="S97" s="16" t="n">
        <x:v>0</x:v>
      </x:c>
      <x:c r="T97" s="16" t="n">
        <x:v>40</x:v>
      </x:c>
      <x:c r="U97" s="14" t="str">
        <x:v>NONE</x:v>
      </x:c>
      <x:c r="V97" s="14" t="str">
        <x:v>CONTROLLED_PENDING_VERIFICATION</x:v>
      </x:c>
      <x:c r="W97" s="14" t="str">
        <x:v>SELECTED_PENDING_REVIEW_A</x:v>
      </x:c>
      <x:c r="X97" s="17" t="str">
        <x:v>Authorized or traceable tier-1 channel</x:v>
      </x:c>
      <x:c r="Y97" s="17" t="str">
        <x:v>Marking MPN package orientation electrical functional sample</x:v>
      </x:c>
    </x:row>
    <x:row r="98">
      <x:c r="A98" s="2" t="str">
        <x:v>PR-097</x:v>
      </x:c>
      <x:c r="B98" s="14" t="str">
        <x:v>SYSTEM</x:v>
      </x:c>
      <x:c r="C98" s="14" t="str">
        <x:v>BAT1</x:v>
      </x:c>
      <x:c r="D98" s="14" t="str">
        <x:v>BT1</x:v>
      </x:c>
      <x:c r="E98" s="2" t="str">
        <x:v>Battery</x:v>
      </x:c>
      <x:c r="F98" s="2" t="str">
        <x:v>RELiON</x:v>
      </x:c>
      <x:c r="G98" s="2" t="str">
        <x:v>RB40</x:v>
      </x:c>
      <x:c r="H98" s="2" t="str">
        <x:v>197x166x173 mm IP66 M8 pack</x:v>
      </x:c>
      <x:c r="I98" s="2" t="str"/>
      <x:c r="J98" s="2" t="str">
        <x:v>COMMON</x:v>
      </x:c>
      <x:c r="K98" s="2" t="str">
        <x:v>FITTED</x:v>
      </x:c>
      <x:c r="L98" s="16" t="n">
        <x:v>4</x:v>
      </x:c>
      <x:c r="M98" s="16" t="n">
        <x:v>1</x:v>
      </x:c>
      <x:c r="N98" s="16" t="n">
        <x:v>5</x:v>
      </x:c>
      <x:c r="O98" s="16" t="n">
        <x:v>10</x:v>
      </x:c>
      <x:c r="P98" s="16" t="n">
        <x:v>1</x:v>
      </x:c>
      <x:c r="Q98" s="16" t="n">
        <x:v>11</x:v>
      </x:c>
      <x:c r="R98" s="16" t="n">
        <x:v>20</x:v>
      </x:c>
      <x:c r="S98" s="16" t="n">
        <x:v>1</x:v>
      </x:c>
      <x:c r="T98" s="16" t="n">
        <x:v>21</x:v>
      </x:c>
      <x:c r="U98" s="14" t="str">
        <x:v>SCALE_CEIL_FROM_20_BASELINE</x:v>
      </x:c>
      <x:c r="V98" s="14" t="str">
        <x:v>CONTROLLED</x:v>
      </x:c>
      <x:c r="W98" s="14" t="str">
        <x:v>CONTROLLED_EVT_PURCHASE_EXACT_MPN_VALIDATION_DURING_ASSEMBLY_EVT</x:v>
      </x:c>
      <x:c r="X98" s="17" t="str">
        <x:v>RELiON or authorized distributor; exact RB40 only; no substitution; retain applicable battery transport documents</x:v>
      </x:c>
      <x:c r="Y98" s="17" t="str">
        <x:v>Reconcile PO packing slip quantity and visible damage; check every unit polarity and open-circuit voltage at installation; capacity DCIR BMS and cold behavior during assembly and EVT</x:v>
      </x:c>
    </x:row>
    <x:row r="99" ht="60" hidden="0" customHeight="1">
      <x:c r="A99" s="14" t="str">
        <x:v>PR-098</x:v>
      </x:c>
      <x:c r="B99" s="14" t="str">
        <x:v>SYSTEM</x:v>
      </x:c>
      <x:c r="C99" s="14" t="str">
        <x:v>MPPT-TEMP</x:v>
      </x:c>
      <x:c r="D99" s="14" t="str">
        <x:v>TS-BAT1</x:v>
      </x:c>
      <x:c r="E99" s="14" t="str">
        <x:v>Sensor</x:v>
      </x:c>
      <x:c r="F99" s="14" t="str">
        <x:v>Victron Energy</x:v>
      </x:c>
      <x:c r="G99" s="14" t="str">
        <x:v>SBS050150200</x:v>
      </x:c>
      <x:c r="H99" s="14" t="str">
        <x:v>Smart Battery Sense long range up to 10 m radio with 0.45 m leads and M10 eyelets</x:v>
      </x:c>
      <x:c r="I99" s="14" t="str"/>
      <x:c r="J99" s="14" t="str">
        <x:v>COMMON</x:v>
      </x:c>
      <x:c r="K99" s="14" t="str">
        <x:v>FITTED</x:v>
      </x:c>
      <x:c r="L99" s="107" t="n">
        <x:v>4</x:v>
      </x:c>
      <x:c r="M99" s="107" t="n">
        <x:v>1</x:v>
      </x:c>
      <x:c r="N99" s="107" t="n">
        <x:v>5</x:v>
      </x:c>
      <x:c r="O99" s="107" t="n">
        <x:v>10</x:v>
      </x:c>
      <x:c r="P99" s="107" t="n">
        <x:v>1</x:v>
      </x:c>
      <x:c r="Q99" s="107" t="n">
        <x:v>11</x:v>
      </x:c>
      <x:c r="R99" s="107" t="n">
        <x:v>20</x:v>
      </x:c>
      <x:c r="S99" s="107" t="n">
        <x:v>1</x:v>
      </x:c>
      <x:c r="T99" s="107" t="n">
        <x:v>21</x:v>
      </x:c>
      <x:c r="U99" s="14" t="str">
        <x:v>SCALE_CEIL_FROM_20_BASELINE</x:v>
      </x:c>
      <x:c r="V99" s="14" t="str">
        <x:v>CONTROLLED</x:v>
      </x:c>
      <x:c r="W99" s="14" t="str">
        <x:v>CONTROLLED_EVT_PURCHASE_EXACT_MPN_VALIDATION_DURING_ASSEMBLY_EVT</x:v>
      </x:c>
      <x:c r="X99" s="17" t="str">
        <x:v>Victron authorized distributor; exact SBS050150200 only; no substitution</x:v>
      </x:c>
      <x:c r="Y99" s="17" t="str">
        <x:v>Reconcile PO packing slip quantity and visible damage; verify 0.45 m lead M10 eyelets retention accuracy VE.Smart pairing cutoff reconnect and network retention during station assembly EOL and cold EVT</x:v>
      </x:c>
    </x:row>
    <x:row r="100">
      <x:c r="A100" s="2" t="str">
        <x:v>PR-099</x:v>
      </x:c>
      <x:c r="B100" s="14" t="str">
        <x:v>SYSTEM</x:v>
      </x:c>
      <x:c r="C100" s="14" t="str">
        <x:v>MPPT1</x:v>
      </x:c>
      <x:c r="D100" s="14" t="str">
        <x:v>U-MPPT</x:v>
      </x:c>
      <x:c r="E100" s="2" t="str">
        <x:v>Controller</x:v>
      </x:c>
      <x:c r="F100" s="2" t="str">
        <x:v>Victron Energy</x:v>
      </x:c>
      <x:c r="G100" s="2" t="str">
        <x:v>SCC075010060R</x:v>
      </x:c>
      <x:c r="H100" s="2" t="str">
        <x:v>100x113x40 mm IP43 electronics IP22 terminals</x:v>
      </x:c>
      <x:c r="I100" s="2" t="str"/>
      <x:c r="J100" s="2" t="str">
        <x:v>COMMON</x:v>
      </x:c>
      <x:c r="K100" s="2" t="str">
        <x:v>FITTED</x:v>
      </x:c>
      <x:c r="L100" s="16" t="n">
        <x:v>4</x:v>
      </x:c>
      <x:c r="M100" s="16" t="n">
        <x:v>1</x:v>
      </x:c>
      <x:c r="N100" s="16" t="n">
        <x:v>5</x:v>
      </x:c>
      <x:c r="O100" s="16" t="n">
        <x:v>10</x:v>
      </x:c>
      <x:c r="P100" s="16" t="n">
        <x:v>1</x:v>
      </x:c>
      <x:c r="Q100" s="16" t="n">
        <x:v>11</x:v>
      </x:c>
      <x:c r="R100" s="16" t="n">
        <x:v>20</x:v>
      </x:c>
      <x:c r="S100" s="16" t="n">
        <x:v>1</x:v>
      </x:c>
      <x:c r="T100" s="16" t="n">
        <x:v>21</x:v>
      </x:c>
      <x:c r="U100" s="14" t="str">
        <x:v>SCALE_CEIL_FROM_20_BASELINE</x:v>
      </x:c>
      <x:c r="V100" s="14" t="str">
        <x:v>CONTROLLED</x:v>
      </x:c>
      <x:c r="W100" s="14" t="str">
        <x:v>CONTROLLED_EVT_PURCHASE_EXACT_MPN_VALIDATION_DURING_ASSEMBLY_EVT</x:v>
      </x:c>
      <x:c r="X100" s="17" t="str">
        <x:v>Victron authorized distributor; exact SCC075010060R only; no substitution</x:v>
      </x:c>
      <x:c r="Y100" s="17" t="str">
        <x:v>Reconcile PO packing slip quantity and visible damage; bind article and firmware at installation; export configuration and test charge profile reverse current quiescent thermal and cutoff during assembly EOL and EVT</x:v>
      </x:c>
    </x:row>
    <x:row r="101">
      <x:c r="A101" s="2" t="str">
        <x:v>PR-100</x:v>
      </x:c>
      <x:c r="B101" s="14" t="str">
        <x:v>PCB-MAIN</x:v>
      </x:c>
      <x:c r="C101" s="14" t="str">
        <x:v>U12</x:v>
      </x:c>
      <x:c r="D101" s="14" t="str">
        <x:v>U12</x:v>
      </x:c>
      <x:c r="E101" s="2" t="str">
        <x:v>Storage</x:v>
      </x:c>
      <x:c r="F101" s="2" t="str">
        <x:v>Kingston</x:v>
      </x:c>
      <x:c r="G101" s="2" t="str">
        <x:v>SDCIT2/32GB</x:v>
      </x:c>
      <x:c r="H101" s="2" t="str">
        <x:v>microSD_card_8_contact</x:v>
      </x:c>
      <x:c r="I101" s="2" t="str"/>
      <x:c r="J101" s="2" t="str">
        <x:v>COMMON</x:v>
      </x:c>
      <x:c r="K101" s="2" t="str">
        <x:v>FITTED</x:v>
      </x:c>
      <x:c r="L101" s="16" t="n">
        <x:v>4</x:v>
      </x:c>
      <x:c r="M101" s="16" t="n">
        <x:v>1</x:v>
      </x:c>
      <x:c r="N101" s="16" t="n">
        <x:v>5</x:v>
      </x:c>
      <x:c r="O101" s="16" t="n">
        <x:v>10</x:v>
      </x:c>
      <x:c r="P101" s="16" t="n">
        <x:v>3</x:v>
      </x:c>
      <x:c r="Q101" s="16" t="n">
        <x:v>13</x:v>
      </x:c>
      <x:c r="R101" s="16" t="n">
        <x:v>20</x:v>
      </x:c>
      <x:c r="S101" s="16" t="n">
        <x:v>5</x:v>
      </x:c>
      <x:c r="T101" s="16" t="n">
        <x:v>25</x:v>
      </x:c>
      <x:c r="U101" s="14" t="str">
        <x:v>SCALE_CEIL_FROM_20_BASELINE</x:v>
      </x:c>
      <x:c r="V101" s="14" t="str">
        <x:v>CONTROLLED_PENDING_VERIFICATION</x:v>
      </x:c>
      <x:c r="W101" s="14" t="str">
        <x:v>SELECTED_PENDING_SAMPLE_ENDURANCE</x:v>
      </x:c>
      <x:c r="X101" s="17" t="str">
        <x:v>Kingston authorized channel</x:v>
      </x:c>
      <x:c r="Y101" s="17" t="str">
        <x:v>CID capacity full write/read temperature and power-loss sample</x:v>
      </x:c>
    </x:row>
    <x:row r="102">
      <x:c r="A102" s="2" t="str">
        <x:v>PR-101</x:v>
      </x:c>
      <x:c r="B102" s="14" t="str">
        <x:v>SYSTEM</x:v>
      </x:c>
      <x:c r="C102" s="14" t="str">
        <x:v>PV1</x:v>
      </x:c>
      <x:c r="D102" s="14" t="str">
        <x:v>PV1</x:v>
      </x:c>
      <x:c r="E102" s="2" t="str">
        <x:v>Solar panel</x:v>
      </x:c>
      <x:c r="F102" s="2" t="str">
        <x:v>SLD Tech / Solarland</x:v>
      </x:c>
      <x:c r="G102" s="2" t="str">
        <x:v>SLP080S-12M</x:v>
      </x:c>
      <x:c r="H102" s="2" t="str">
        <x:v>1475x342x40 mm framed 36-cell panel</x:v>
      </x:c>
      <x:c r="I102" s="2" t="str"/>
      <x:c r="J102" s="2" t="str">
        <x:v>COMMON</x:v>
      </x:c>
      <x:c r="K102" s="2" t="str">
        <x:v>FITTED</x:v>
      </x:c>
      <x:c r="L102" s="16" t="n">
        <x:v>4</x:v>
      </x:c>
      <x:c r="M102" s="16" t="n">
        <x:v>1</x:v>
      </x:c>
      <x:c r="N102" s="16" t="n">
        <x:v>5</x:v>
      </x:c>
      <x:c r="O102" s="16" t="n">
        <x:v>10</x:v>
      </x:c>
      <x:c r="P102" s="16" t="n">
        <x:v>1</x:v>
      </x:c>
      <x:c r="Q102" s="16" t="n">
        <x:v>11</x:v>
      </x:c>
      <x:c r="R102" s="16" t="n">
        <x:v>20</x:v>
      </x:c>
      <x:c r="S102" s="16" t="n">
        <x:v>1</x:v>
      </x:c>
      <x:c r="T102" s="16" t="n">
        <x:v>21</x:v>
      </x:c>
      <x:c r="U102" s="14" t="str">
        <x:v>SCALE_CEIL_FROM_20_BASELINE</x:v>
      </x:c>
      <x:c r="V102" s="14" t="str">
        <x:v>CONTROLLED</x:v>
      </x:c>
      <x:c r="W102" s="14" t="str">
        <x:v>CONTROLLED_EVT_PURCHASE_EXACT_MPN_VALIDATION_DURING_ASSEMBLY_EVT</x:v>
      </x:c>
      <x:c r="X102" s="17" t="str">
        <x:v>SLD Tech or authorized distributor; exact SLP080S-12M only; no substitution</x:v>
      </x:c>
      <x:c r="Y102" s="17" t="str">
        <x:v>Reconcile PO packing slip quantity and visible transit damage; measure installed-unit Voc and perform IV insulation wet-leakage cold-Voc bracket cable and transport validation during assembly and EVT</x:v>
      </x:c>
    </x:row>
    <x:row r="103">
      <x:c r="A103" s="2" t="str">
        <x:v>PR-102</x:v>
      </x:c>
      <x:c r="B103" s="14" t="str">
        <x:v>PCB-PWR</x:v>
      </x:c>
      <x:c r="C103" s="14" t="str">
        <x:v>PWR-TVS-01</x:v>
      </x:c>
      <x:c r="D103" s="14" t="str">
        <x:v>D1</x:v>
      </x:c>
      <x:c r="E103" s="2" t="str">
        <x:v>Protection</x:v>
      </x:c>
      <x:c r="F103" s="2" t="str">
        <x:v>Littelfuse</x:v>
      </x:c>
      <x:c r="G103" s="2" t="str">
        <x:v>SMBJ18A</x:v>
      </x:c>
      <x:c r="H103" s="2" t="str">
        <x:v>SMB_DO-214AA</x:v>
      </x:c>
      <x:c r="I103" s="2" t="str"/>
      <x:c r="J103" s="2" t="str">
        <x:v>COMMON</x:v>
      </x:c>
      <x:c r="K103" s="2" t="str">
        <x:v>FITTED</x:v>
      </x:c>
      <x:c r="L103" s="16" t="n">
        <x:v>4</x:v>
      </x:c>
      <x:c r="M103" s="16" t="n">
        <x:v>1</x:v>
      </x:c>
      <x:c r="N103" s="16" t="n">
        <x:v>5</x:v>
      </x:c>
      <x:c r="O103" s="16" t="n">
        <x:v>10</x:v>
      </x:c>
      <x:c r="P103" s="16" t="n">
        <x:v>3</x:v>
      </x:c>
      <x:c r="Q103" s="16" t="n">
        <x:v>13</x:v>
      </x:c>
      <x:c r="R103" s="16" t="n">
        <x:v>20</x:v>
      </x:c>
      <x:c r="S103" s="16" t="n">
        <x:v>5</x:v>
      </x:c>
      <x:c r="T103" s="16" t="n">
        <x:v>25</x:v>
      </x:c>
      <x:c r="U103" s="14" t="str">
        <x:v>SCALE_CEIL_FROM_20_BASELINE</x:v>
      </x:c>
      <x:c r="V103" s="14" t="str">
        <x:v>CONTROLLED_PENDING_VERIFICATION</x:v>
      </x:c>
      <x:c r="W103" s="14" t="str">
        <x:v>CANDIDATE_PENDING_SURGE_PROFILE</x:v>
      </x:c>
      <x:c r="X103" s="17" t="str">
        <x:v>Authorized distributor</x:v>
      </x:c>
      <x:c r="Y103" s="17" t="str">
        <x:v>Marking clamp pulse and thermal sample</x:v>
      </x:c>
    </x:row>
    <x:row r="104">
      <x:c r="A104" s="2" t="str">
        <x:v>PR-103</x:v>
      </x:c>
      <x:c r="B104" s="14" t="str">
        <x:v>PCB-MAIN</x:v>
      </x:c>
      <x:c r="C104" s="14" t="str">
        <x:v>U18</x:v>
      </x:c>
      <x:c r="D104" s="14" t="str">
        <x:v>U18</x:v>
      </x:c>
      <x:c r="E104" s="2" t="str">
        <x:v>Logic</x:v>
      </x:c>
      <x:c r="F104" s="2" t="str">
        <x:v>Texas Instruments</x:v>
      </x:c>
      <x:c r="G104" s="2" t="str">
        <x:v>SN74AXC1T45DRLR</x:v>
      </x:c>
      <x:c r="H104" s="2" t="str">
        <x:v>SOT-5X3_6</x:v>
      </x:c>
      <x:c r="I104" s="2" t="str"/>
      <x:c r="J104" s="2" t="str">
        <x:v>COMMON</x:v>
      </x:c>
      <x:c r="K104" s="2" t="str">
        <x:v>FITTED</x:v>
      </x:c>
      <x:c r="L104" s="16" t="n">
        <x:v>4</x:v>
      </x:c>
      <x:c r="M104" s="16" t="n">
        <x:v>1</x:v>
      </x:c>
      <x:c r="N104" s="16" t="n">
        <x:v>5</x:v>
      </x:c>
      <x:c r="O104" s="16" t="n">
        <x:v>10</x:v>
      </x:c>
      <x:c r="P104" s="16" t="n">
        <x:v>3</x:v>
      </x:c>
      <x:c r="Q104" s="16" t="n">
        <x:v>13</x:v>
      </x:c>
      <x:c r="R104" s="16" t="n">
        <x:v>20</x:v>
      </x:c>
      <x:c r="S104" s="16" t="n">
        <x:v>5</x:v>
      </x:c>
      <x:c r="T104" s="16" t="n">
        <x:v>25</x:v>
      </x:c>
      <x:c r="U104" s="14" t="str">
        <x:v>SCALE_CEIL_FROM_20_BASELINE</x:v>
      </x:c>
      <x:c r="V104" s="14" t="str">
        <x:v>CONTROLLED_PENDING_VERIFICATION</x:v>
      </x:c>
      <x:c r="W104" s="14" t="str">
        <x:v>SELECTED_PENDING_AAD_WAKE_TEST</x:v>
      </x:c>
      <x:c r="X104" s="17" t="str">
        <x:v>Authorized or traceable tier-1 channel</x:v>
      </x:c>
      <x:c r="Y104" s="17" t="str">
        <x:v>Marking MPN package orientation electrical functional sample</x:v>
      </x:c>
    </x:row>
    <x:row r="105">
      <x:c r="A105" s="2" t="str">
        <x:v>PR-104</x:v>
      </x:c>
      <x:c r="B105" s="14" t="str">
        <x:v>PCB-MAIN</x:v>
      </x:c>
      <x:c r="C105" s="14" t="str">
        <x:v>U16 | U7</x:v>
      </x:c>
      <x:c r="D105" s="14" t="str">
        <x:v>U16 | U7</x:v>
      </x:c>
      <x:c r="E105" s="2" t="str">
        <x:v>Level translator | Logic</x:v>
      </x:c>
      <x:c r="F105" s="2" t="str">
        <x:v>Texas Instruments</x:v>
      </x:c>
      <x:c r="G105" s="2" t="str">
        <x:v>SN74AXC8T245PWR</x:v>
      </x:c>
      <x:c r="H105" s="2" t="str">
        <x:v>TSSOP-24</x:v>
      </x:c>
      <x:c r="I105" s="2" t="str"/>
      <x:c r="J105" s="2" t="str">
        <x:v>COMMON</x:v>
      </x:c>
      <x:c r="K105" s="2" t="str">
        <x:v>FITTED</x:v>
      </x:c>
      <x:c r="L105" s="16" t="n">
        <x:v>8</x:v>
      </x:c>
      <x:c r="M105" s="16" t="n">
        <x:v>2</x:v>
      </x:c>
      <x:c r="N105" s="16" t="n">
        <x:v>10</x:v>
      </x:c>
      <x:c r="O105" s="16" t="n">
        <x:v>20</x:v>
      </x:c>
      <x:c r="P105" s="16" t="n">
        <x:v>6</x:v>
      </x:c>
      <x:c r="Q105" s="16" t="n">
        <x:v>26</x:v>
      </x:c>
      <x:c r="R105" s="16" t="n">
        <x:v>40</x:v>
      </x:c>
      <x:c r="S105" s="16" t="n">
        <x:v>10</x:v>
      </x:c>
      <x:c r="T105" s="16" t="n">
        <x:v>50</x:v>
      </x:c>
      <x:c r="U105" s="14" t="str">
        <x:v>SCALE_CEIL_FROM_20_BASELINE</x:v>
      </x:c>
      <x:c r="V105" s="14" t="str">
        <x:v>CONTROLLED_PENDING_VERIFICATION</x:v>
      </x:c>
      <x:c r="W105" s="14" t="str">
        <x:v>SELECTED_PENDING_SI_AAD_SAMPLE | SELECTED_PENDING_UART_POWER_SAMPLE</x:v>
      </x:c>
      <x:c r="X105" s="17" t="str">
        <x:v>Authorized or traceable tier-1 channel | Do not substitute auto-direction device without review</x:v>
      </x:c>
      <x:c r="Y105" s="17" t="str">
        <x:v>Logic levels direction leakage sleep test | Marking MPN package orientation electrical functional sample</x:v>
      </x:c>
    </x:row>
    <x:row r="106">
      <x:c r="A106" s="2" t="str">
        <x:v>PR-105</x:v>
      </x:c>
      <x:c r="B106" s="14" t="str">
        <x:v>PCB-MAIN</x:v>
      </x:c>
      <x:c r="C106" s="14" t="str">
        <x:v>MAIN-010-U6</x:v>
      </x:c>
      <x:c r="D106" s="14" t="str">
        <x:v>U6</x:v>
      </x:c>
      <x:c r="E106" s="2" t="str">
        <x:v>Open_Drain_Buffer</x:v>
      </x:c>
      <x:c r="F106" s="2" t="str">
        <x:v>Texas Instruments</x:v>
      </x:c>
      <x:c r="G106" s="2" t="str">
        <x:v>SN74LVC1G07DBVR</x:v>
      </x:c>
      <x:c r="H106" s="2" t="str">
        <x:v>SOT-23-5_DBV</x:v>
      </x:c>
      <x:c r="I106" s="2" t="str">
        <x:v>Single non-inverting open-drain buffer</x:v>
      </x:c>
      <x:c r="J106" s="2" t="str">
        <x:v>COMMON</x:v>
      </x:c>
      <x:c r="K106" s="2" t="str">
        <x:v>FITTED</x:v>
      </x:c>
      <x:c r="L106" s="16" t="n">
        <x:v>4</x:v>
      </x:c>
      <x:c r="M106" s="16" t="n">
        <x:v>0</x:v>
      </x:c>
      <x:c r="N106" s="16" t="n">
        <x:v>4</x:v>
      </x:c>
      <x:c r="O106" s="16" t="n">
        <x:v>10</x:v>
      </x:c>
      <x:c r="P106" s="16" t="n">
        <x:v>0</x:v>
      </x:c>
      <x:c r="Q106" s="16" t="n">
        <x:v>10</x:v>
      </x:c>
      <x:c r="R106" s="16" t="n">
        <x:v>20</x:v>
      </x:c>
      <x:c r="S106" s="16" t="n">
        <x:v>0</x:v>
      </x:c>
      <x:c r="T106" s="16" t="n">
        <x:v>20</x:v>
      </x:c>
      <x:c r="U106" s="14" t="str">
        <x:v>NONE</x:v>
      </x:c>
      <x:c r="V106" s="14" t="str">
        <x:v>CONTROLLED_PENDING_VERIFICATION</x:v>
      </x:c>
      <x:c r="W106" s="14" t="str">
        <x:v>SELECTED_PENDING_REVIEW_A</x:v>
      </x:c>
      <x:c r="X106" s="17" t="str">
        <x:v>Authorized or traceable tier-1 channel</x:v>
      </x:c>
      <x:c r="Y106" s="17" t="str">
        <x:v>Marking MPN package orientation electrical functional sample</x:v>
      </x:c>
    </x:row>
    <x:row r="107">
      <x:c r="A107" s="2" t="str">
        <x:v>PR-106</x:v>
      </x:c>
      <x:c r="B107" s="14" t="str">
        <x:v>PCB-MAIN</x:v>
      </x:c>
      <x:c r="C107" s="14" t="str">
        <x:v>U17</x:v>
      </x:c>
      <x:c r="D107" s="14" t="str">
        <x:v>U17</x:v>
      </x:c>
      <x:c r="E107" s="2" t="str">
        <x:v>Logic</x:v>
      </x:c>
      <x:c r="F107" s="2" t="str">
        <x:v>Texas Instruments</x:v>
      </x:c>
      <x:c r="G107" s="2" t="str">
        <x:v>SN74LVC32APWR</x:v>
      </x:c>
      <x:c r="H107" s="2" t="str">
        <x:v>TSSOP-14</x:v>
      </x:c>
      <x:c r="I107" s="2" t="str"/>
      <x:c r="J107" s="2" t="str">
        <x:v>COMMON</x:v>
      </x:c>
      <x:c r="K107" s="2" t="str">
        <x:v>FITTED</x:v>
      </x:c>
      <x:c r="L107" s="16" t="n">
        <x:v>4</x:v>
      </x:c>
      <x:c r="M107" s="16" t="n">
        <x:v>1</x:v>
      </x:c>
      <x:c r="N107" s="16" t="n">
        <x:v>5</x:v>
      </x:c>
      <x:c r="O107" s="16" t="n">
        <x:v>10</x:v>
      </x:c>
      <x:c r="P107" s="16" t="n">
        <x:v>3</x:v>
      </x:c>
      <x:c r="Q107" s="16" t="n">
        <x:v>13</x:v>
      </x:c>
      <x:c r="R107" s="16" t="n">
        <x:v>20</x:v>
      </x:c>
      <x:c r="S107" s="16" t="n">
        <x:v>5</x:v>
      </x:c>
      <x:c r="T107" s="16" t="n">
        <x:v>25</x:v>
      </x:c>
      <x:c r="U107" s="14" t="str">
        <x:v>SCALE_CEIL_FROM_20_BASELINE</x:v>
      </x:c>
      <x:c r="V107" s="14" t="str">
        <x:v>CONTROLLED_PENDING_VERIFICATION</x:v>
      </x:c>
      <x:c r="W107" s="14" t="str">
        <x:v>SELECTED_PENDING_AAD_WAKE_TEST</x:v>
      </x:c>
      <x:c r="X107" s="17" t="str">
        <x:v>Authorized or traceable tier-1 channel</x:v>
      </x:c>
      <x:c r="Y107" s="17" t="str">
        <x:v>Marking MPN package orientation electrical functional sample</x:v>
      </x:c>
    </x:row>
    <x:row r="108">
      <x:c r="A108" s="2" t="str">
        <x:v>PR-107</x:v>
      </x:c>
      <x:c r="B108" s="14" t="str">
        <x:v>PCB-MAIN</x:v>
      </x:c>
      <x:c r="C108" s="14" t="str">
        <x:v>U1</x:v>
      </x:c>
      <x:c r="D108" s="14" t="str">
        <x:v>U1</x:v>
      </x:c>
      <x:c r="E108" s="2" t="str">
        <x:v>MCU</x:v>
      </x:c>
      <x:c r="F108" s="2" t="str">
        <x:v>STMicroelectronics</x:v>
      </x:c>
      <x:c r="G108" s="2" t="str">
        <x:v>STM32U585VIT6Q</x:v>
      </x:c>
      <x:c r="H108" s="2" t="str">
        <x:v>LQFP100_14x14</x:v>
      </x:c>
      <x:c r="I108" s="2" t="str"/>
      <x:c r="J108" s="2" t="str">
        <x:v>COMMON</x:v>
      </x:c>
      <x:c r="K108" s="2" t="str">
        <x:v>FITTED</x:v>
      </x:c>
      <x:c r="L108" s="16" t="n">
        <x:v>4</x:v>
      </x:c>
      <x:c r="M108" s="16" t="n">
        <x:v>1</x:v>
      </x:c>
      <x:c r="N108" s="16" t="n">
        <x:v>5</x:v>
      </x:c>
      <x:c r="O108" s="16" t="n">
        <x:v>10</x:v>
      </x:c>
      <x:c r="P108" s="16" t="n">
        <x:v>3</x:v>
      </x:c>
      <x:c r="Q108" s="16" t="n">
        <x:v>13</x:v>
      </x:c>
      <x:c r="R108" s="16" t="n">
        <x:v>20</x:v>
      </x:c>
      <x:c r="S108" s="16" t="n">
        <x:v>5</x:v>
      </x:c>
      <x:c r="T108" s="16" t="n">
        <x:v>25</x:v>
      </x:c>
      <x:c r="U108" s="14" t="str">
        <x:v>SCALE_CEIL_FROM_20_BASELINE</x:v>
      </x:c>
      <x:c r="V108" s="14" t="str">
        <x:v>CONTROLLED_PENDING_VERIFICATION</x:v>
      </x:c>
      <x:c r="W108" s="14" t="str">
        <x:v>SELECTED_PENDING_TARGET_SAMPLE</x:v>
      </x:c>
      <x:c r="X108" s="17" t="str">
        <x:v>Authorized distributor or traceable tier-1 China channel</x:v>
      </x:c>
      <x:c r="Y108" s="17" t="str">
        <x:v>Label lot date code package X-ray sample ID readout</x:v>
      </x:c>
    </x:row>
    <x:row r="109">
      <x:c r="A109" s="2" t="str">
        <x:v>PR-108</x:v>
      </x:c>
      <x:c r="B109" s="14" t="str">
        <x:v>PCB-MAIN</x:v>
      </x:c>
      <x:c r="C109" s="14" t="str">
        <x:v>U4</x:v>
      </x:c>
      <x:c r="D109" s="14" t="str">
        <x:v>U4</x:v>
      </x:c>
      <x:c r="E109" s="2" t="str">
        <x:v>Temperature</x:v>
      </x:c>
      <x:c r="F109" s="2" t="str">
        <x:v>STMicroelectronics</x:v>
      </x:c>
      <x:c r="G109" s="2" t="str">
        <x:v>STTS22HTR</x:v>
      </x:c>
      <x:c r="H109" s="2" t="str">
        <x:v>UDFN-6L_2x2mm</x:v>
      </x:c>
      <x:c r="I109" s="2" t="str"/>
      <x:c r="J109" s="2" t="str">
        <x:v>COMMON</x:v>
      </x:c>
      <x:c r="K109" s="2" t="str">
        <x:v>FITTED</x:v>
      </x:c>
      <x:c r="L109" s="16" t="n">
        <x:v>4</x:v>
      </x:c>
      <x:c r="M109" s="16" t="n">
        <x:v>1</x:v>
      </x:c>
      <x:c r="N109" s="16" t="n">
        <x:v>5</x:v>
      </x:c>
      <x:c r="O109" s="16" t="n">
        <x:v>10</x:v>
      </x:c>
      <x:c r="P109" s="16" t="n">
        <x:v>3</x:v>
      </x:c>
      <x:c r="Q109" s="16" t="n">
        <x:v>13</x:v>
      </x:c>
      <x:c r="R109" s="16" t="n">
        <x:v>20</x:v>
      </x:c>
      <x:c r="S109" s="16" t="n">
        <x:v>5</x:v>
      </x:c>
      <x:c r="T109" s="16" t="n">
        <x:v>25</x:v>
      </x:c>
      <x:c r="U109" s="14" t="str">
        <x:v>SCALE_CEIL_FROM_20_BASELINE</x:v>
      </x:c>
      <x:c r="V109" s="14" t="str">
        <x:v>CONTROLLED_PENDING_VERIFICATION</x:v>
      </x:c>
      <x:c r="W109" s="14" t="str">
        <x:v>SELECTED_PENDING_ASSEMBLY_REVIEW</x:v>
      </x:c>
      <x:c r="X109" s="17" t="str">
        <x:v>Authorized distributor</x:v>
      </x:c>
      <x:c r="Y109" s="17" t="str">
        <x:v>X-ray sample ID and temperature compare</x:v>
      </x:c>
    </x:row>
    <x:row r="110">
      <x:c r="A110" s="2" t="str">
        <x:v>PR-109</x:v>
      </x:c>
      <x:c r="B110" s="14" t="str">
        <x:v>PCB-MAIN</x:v>
      </x:c>
      <x:c r="C110" s="14" t="str">
        <x:v>MAIN-010-Q4</x:v>
      </x:c>
      <x:c r="D110" s="14" t="str">
        <x:v>Q4</x:v>
      </x:c>
      <x:c r="E110" s="2" t="str">
        <x:v>Dual_MOSFET</x:v>
      </x:c>
      <x:c r="F110" s="2" t="str">
        <x:v>Vishay</x:v>
      </x:c>
      <x:c r="G110" s="2" t="str">
        <x:v>Si1016X-T1-GE3</x:v>
      </x:c>
      <x:c r="H110" s="2" t="str">
        <x:v>SOT-563_SC-89</x:v>
      </x:c>
      <x:c r="I110" s="2" t="str">
        <x:v>Complementary N and P channel 20 V</x:v>
      </x:c>
      <x:c r="J110" s="2" t="str">
        <x:v>COMMON</x:v>
      </x:c>
      <x:c r="K110" s="2" t="str">
        <x:v>FITTED</x:v>
      </x:c>
      <x:c r="L110" s="16" t="n">
        <x:v>4</x:v>
      </x:c>
      <x:c r="M110" s="16" t="n">
        <x:v>0</x:v>
      </x:c>
      <x:c r="N110" s="16" t="n">
        <x:v>4</x:v>
      </x:c>
      <x:c r="O110" s="16" t="n">
        <x:v>10</x:v>
      </x:c>
      <x:c r="P110" s="16" t="n">
        <x:v>0</x:v>
      </x:c>
      <x:c r="Q110" s="16" t="n">
        <x:v>10</x:v>
      </x:c>
      <x:c r="R110" s="16" t="n">
        <x:v>20</x:v>
      </x:c>
      <x:c r="S110" s="16" t="n">
        <x:v>0</x:v>
      </x:c>
      <x:c r="T110" s="16" t="n">
        <x:v>20</x:v>
      </x:c>
      <x:c r="U110" s="14" t="str">
        <x:v>NONE</x:v>
      </x:c>
      <x:c r="V110" s="14" t="str">
        <x:v>CONTROLLED_PENDING_VERIFICATION</x:v>
      </x:c>
      <x:c r="W110" s="14" t="str">
        <x:v>SELECTED_PENDING_REVIEW_A</x:v>
      </x:c>
      <x:c r="X110" s="17" t="str">
        <x:v>Authorized or traceable tier-1 channel</x:v>
      </x:c>
      <x:c r="Y110" s="17" t="str">
        <x:v>Marking MPN package orientation electrical functional sample</x:v>
      </x:c>
    </x:row>
    <x:row r="111">
      <x:c r="A111" s="2" t="str">
        <x:v>PR-110</x:v>
      </x:c>
      <x:c r="B111" s="14" t="str">
        <x:v>PCB-MAIN</x:v>
      </x:c>
      <x:c r="C111" s="14" t="str">
        <x:v>X1</x:v>
      </x:c>
      <x:c r="D111" s="14" t="str">
        <x:v>X1</x:v>
      </x:c>
      <x:c r="E111" s="2" t="str">
        <x:v>Clock</x:v>
      </x:c>
      <x:c r="F111" s="2" t="str">
        <x:v>SiTime</x:v>
      </x:c>
      <x:c r="G111" s="2" t="str">
        <x:v>SiT1552AI-JE-DCC-32.768D</x:v>
      </x:c>
      <x:c r="H111" s="2" t="str">
        <x:v>CSP-4_1.5x0.8mm</x:v>
      </x:c>
      <x:c r="I111" s="2" t="str">
        <x:v>32.768 kHz full-swing LVCMOS</x:v>
      </x:c>
      <x:c r="J111" s="2" t="str">
        <x:v>COMMON</x:v>
      </x:c>
      <x:c r="K111" s="2" t="str">
        <x:v>FITTED</x:v>
      </x:c>
      <x:c r="L111" s="16" t="n">
        <x:v>4</x:v>
      </x:c>
      <x:c r="M111" s="16" t="n">
        <x:v>1</x:v>
      </x:c>
      <x:c r="N111" s="16" t="n">
        <x:v>5</x:v>
      </x:c>
      <x:c r="O111" s="16" t="n">
        <x:v>10</x:v>
      </x:c>
      <x:c r="P111" s="16" t="n">
        <x:v>3</x:v>
      </x:c>
      <x:c r="Q111" s="16" t="n">
        <x:v>13</x:v>
      </x:c>
      <x:c r="R111" s="16" t="n">
        <x:v>20</x:v>
      </x:c>
      <x:c r="S111" s="16" t="n">
        <x:v>5</x:v>
      </x:c>
      <x:c r="T111" s="16" t="n">
        <x:v>25</x:v>
      </x:c>
      <x:c r="U111" s="14" t="str">
        <x:v>SCALE_CEIL_FROM_20_BASELINE</x:v>
      </x:c>
      <x:c r="V111" s="14" t="str">
        <x:v>CONTROLLED_PENDING_VERIFICATION</x:v>
      </x:c>
      <x:c r="W111" s="14" t="str">
        <x:v>SELECTED_PENDING_LSE_BYPASS_REVIEW</x:v>
      </x:c>
      <x:c r="X111" s="17" t="str">
        <x:v>Authorized distributor</x:v>
      </x:c>
      <x:c r="Y111" s="17" t="str">
        <x:v>Frequency and current sample test</x:v>
      </x:c>
    </x:row>
    <x:row r="112">
      <x:c r="A112" s="2" t="str">
        <x:v>PR-111</x:v>
      </x:c>
      <x:c r="B112" s="14" t="str">
        <x:v>PCB-MAIN</x:v>
      </x:c>
      <x:c r="C112" s="14" t="str">
        <x:v>MAIN-010-C36 | MAIN-010-C44</x:v>
      </x:c>
      <x:c r="D112" s="14" t="str">
        <x:v>C36 | C44</x:v>
      </x:c>
      <x:c r="E112" s="2" t="str">
        <x:v>Capacitor</x:v>
      </x:c>
      <x:c r="F112" s="2" t="str">
        <x:v>KEMET</x:v>
      </x:c>
      <x:c r="G112" s="2" t="str">
        <x:v>T520D107M006ATE015</x:v>
      </x:c>
      <x:c r="H112" s="2" t="str">
        <x:v>7343-31</x:v>
      </x:c>
      <x:c r="I112" s="2" t="str">
        <x:v>100 uF 6.3 V 15 mOhm polymer</x:v>
      </x:c>
      <x:c r="J112" s="2" t="str">
        <x:v>COMMON</x:v>
      </x:c>
      <x:c r="K112" s="2" t="str">
        <x:v>FITTED</x:v>
      </x:c>
      <x:c r="L112" s="16" t="n">
        <x:v>8</x:v>
      </x:c>
      <x:c r="M112" s="16" t="n">
        <x:v>0</x:v>
      </x:c>
      <x:c r="N112" s="16" t="n">
        <x:v>8</x:v>
      </x:c>
      <x:c r="O112" s="16" t="n">
        <x:v>20</x:v>
      </x:c>
      <x:c r="P112" s="16" t="n">
        <x:v>0</x:v>
      </x:c>
      <x:c r="Q112" s="16" t="n">
        <x:v>20</x:v>
      </x:c>
      <x:c r="R112" s="16" t="n">
        <x:v>40</x:v>
      </x:c>
      <x:c r="S112" s="16" t="n">
        <x:v>0</x:v>
      </x:c>
      <x:c r="T112" s="16" t="n">
        <x:v>40</x:v>
      </x:c>
      <x:c r="U112" s="14" t="str">
        <x:v>NONE</x:v>
      </x:c>
      <x:c r="V112" s="14" t="str">
        <x:v>CONTROLLED_PENDING_VERIFICATION</x:v>
      </x:c>
      <x:c r="W112" s="14" t="str">
        <x:v>SELECTED_PENDING_REVIEW_A</x:v>
      </x:c>
      <x:c r="X112" s="17" t="str">
        <x:v>Authorized or traceable tier-1 channel</x:v>
      </x:c>
      <x:c r="Y112" s="17" t="str">
        <x:v>Marking MPN package orientation electrical functional sample</x:v>
      </x:c>
    </x:row>
    <x:row r="113">
      <x:c r="A113" s="2" t="str">
        <x:v>PR-112</x:v>
      </x:c>
      <x:c r="B113" s="14" t="str">
        <x:v>SYSTEM</x:v>
      </x:c>
      <x:c r="C113" s="14" t="str">
        <x:v>ANT-LORA</x:v>
      </x:c>
      <x:c r="D113" s="14" t="str">
        <x:v>AE3</x:v>
      </x:c>
      <x:c r="E113" s="2" t="str">
        <x:v>Antenna</x:v>
      </x:c>
      <x:c r="F113" s="2" t="str">
        <x:v>Taoglas</x:v>
      </x:c>
      <x:c r="G113" s="2" t="str">
        <x:v>TI.89.B.2111W</x:v>
      </x:c>
      <x:c r="H113" s="2" t="str">
        <x:v>IP67 terminal antenna 180x13 mm SMA(M)</x:v>
      </x:c>
      <x:c r="I113" s="2" t="str"/>
      <x:c r="J113" s="2" t="str">
        <x:v>RU868_PILOT</x:v>
      </x:c>
      <x:c r="K113" s="2" t="str">
        <x:v>FITTED</x:v>
      </x:c>
      <x:c r="L113" s="16" t="n">
        <x:v>4</x:v>
      </x:c>
      <x:c r="M113" s="16" t="n">
        <x:v>1</x:v>
      </x:c>
      <x:c r="N113" s="16" t="n">
        <x:v>5</x:v>
      </x:c>
      <x:c r="O113" s="16" t="n">
        <x:v>10</x:v>
      </x:c>
      <x:c r="P113" s="16" t="n">
        <x:v>1</x:v>
      </x:c>
      <x:c r="Q113" s="16" t="n">
        <x:v>11</x:v>
      </x:c>
      <x:c r="R113" s="16" t="n">
        <x:v>20</x:v>
      </x:c>
      <x:c r="S113" s="16" t="n">
        <x:v>2</x:v>
      </x:c>
      <x:c r="T113" s="16" t="n">
        <x:v>22</x:v>
      </x:c>
      <x:c r="U113" s="14" t="str">
        <x:v>SCALE_CEIL_FROM_20_BASELINE</x:v>
      </x:c>
      <x:c r="V113" s="14" t="str">
        <x:v>CONTROLLED</x:v>
      </x:c>
      <x:c r="W113" s="14" t="str">
        <x:v>CONTROLLED_EVT_PURCHASE_EXACT_MPN_VALIDATION_DURING_ASSEMBLY_EVT</x:v>
      </x:c>
      <x:c r="X113" s="17" t="str">
        <x:v>Taoglas or established distributor; exact TI.89.B.2111W only; no substitution</x:v>
      </x:c>
      <x:c r="Y113" s="17" t="str">
        <x:v>Reconcile PO packing slip quantity and visible damage; verify connector mate installed VSWR conducted power sensitivity coexistence and RU868 radiated compliance during assembly EOL and EVT</x:v>
      </x:c>
    </x:row>
    <x:row r="114">
      <x:c r="A114" s="2" t="str">
        <x:v>PR-113</x:v>
      </x:c>
      <x:c r="B114" s="14" t="str">
        <x:v>PCB-MAIN</x:v>
      </x:c>
      <x:c r="C114" s="14" t="str">
        <x:v>MAIN-010-D10 | MAIN-010-D11 | MAIN-010-D6 | MAIN-010-D7 | MAIN-010-D8 | MAIN-010-D9</x:v>
      </x:c>
      <x:c r="D114" s="14" t="str">
        <x:v>D10 | D11 | D6 | D7 | D8 | D9</x:v>
      </x:c>
      <x:c r="E114" s="2" t="str">
        <x:v>ESD_Diode</x:v>
      </x:c>
      <x:c r="F114" s="2" t="str">
        <x:v>Texas Instruments</x:v>
      </x:c>
      <x:c r="G114" s="2" t="str">
        <x:v>TPD1E05U06DYAR</x:v>
      </x:c>
      <x:c r="H114" s="2" t="str">
        <x:v>SOD-523_DYA</x:v>
      </x:c>
      <x:c r="I114" s="2" t="str">
        <x:v>5.5 V 0.5 pF ESD</x:v>
      </x:c>
      <x:c r="J114" s="2" t="str">
        <x:v>COMMON</x:v>
      </x:c>
      <x:c r="K114" s="2" t="str">
        <x:v>FITTED</x:v>
      </x:c>
      <x:c r="L114" s="16" t="n">
        <x:v>24</x:v>
      </x:c>
      <x:c r="M114" s="16" t="n">
        <x:v>0</x:v>
      </x:c>
      <x:c r="N114" s="16" t="n">
        <x:v>24</x:v>
      </x:c>
      <x:c r="O114" s="16" t="n">
        <x:v>60</x:v>
      </x:c>
      <x:c r="P114" s="16" t="n">
        <x:v>0</x:v>
      </x:c>
      <x:c r="Q114" s="16" t="n">
        <x:v>60</x:v>
      </x:c>
      <x:c r="R114" s="16" t="n">
        <x:v>120</x:v>
      </x:c>
      <x:c r="S114" s="16" t="n">
        <x:v>0</x:v>
      </x:c>
      <x:c r="T114" s="16" t="n">
        <x:v>120</x:v>
      </x:c>
      <x:c r="U114" s="14" t="str">
        <x:v>NONE</x:v>
      </x:c>
      <x:c r="V114" s="14" t="str">
        <x:v>CONTROLLED_PENDING_VERIFICATION</x:v>
      </x:c>
      <x:c r="W114" s="14" t="str">
        <x:v>SELECTED_PENDING_REVIEW_A</x:v>
      </x:c>
      <x:c r="X114" s="17" t="str">
        <x:v>Authorized or traceable tier-1 channel</x:v>
      </x:c>
      <x:c r="Y114" s="17" t="str">
        <x:v>Marking MPN package orientation electrical functional sample</x:v>
      </x:c>
    </x:row>
    <x:row r="115">
      <x:c r="A115" s="2" t="str">
        <x:v>PR-114</x:v>
      </x:c>
      <x:c r="B115" s="14" t="str">
        <x:v>PCB-MAIN</x:v>
      </x:c>
      <x:c r="C115" s="14" t="str">
        <x:v>MAIN-010-D4</x:v>
      </x:c>
      <x:c r="D115" s="14" t="str">
        <x:v>D4</x:v>
      </x:c>
      <x:c r="E115" s="2" t="str">
        <x:v>RF_ESD</x:v>
      </x:c>
      <x:c r="F115" s="2" t="str">
        <x:v>Texas Instruments</x:v>
      </x:c>
      <x:c r="G115" s="2" t="str">
        <x:v>TPD1E05U06DYAR</x:v>
      </x:c>
      <x:c r="H115" s="2" t="str">
        <x:v>SOD-523_DYA</x:v>
      </x:c>
      <x:c r="I115" s="2" t="str">
        <x:v>5.5 V unidirectional 0.5 pF RF ESD</x:v>
      </x:c>
      <x:c r="J115" s="2" t="str">
        <x:v>COMMON</x:v>
      </x:c>
      <x:c r="K115" s="2" t="str">
        <x:v>FITTED</x:v>
      </x:c>
      <x:c r="L115" s="16" t="n">
        <x:v>4</x:v>
      </x:c>
      <x:c r="M115" s="16" t="n">
        <x:v>0</x:v>
      </x:c>
      <x:c r="N115" s="16" t="n">
        <x:v>4</x:v>
      </x:c>
      <x:c r="O115" s="16" t="n">
        <x:v>10</x:v>
      </x:c>
      <x:c r="P115" s="16" t="n">
        <x:v>0</x:v>
      </x:c>
      <x:c r="Q115" s="16" t="n">
        <x:v>10</x:v>
      </x:c>
      <x:c r="R115" s="16" t="n">
        <x:v>20</x:v>
      </x:c>
      <x:c r="S115" s="16" t="n">
        <x:v>0</x:v>
      </x:c>
      <x:c r="T115" s="16" t="n">
        <x:v>20</x:v>
      </x:c>
      <x:c r="U115" s="14" t="str">
        <x:v>NONE</x:v>
      </x:c>
      <x:c r="V115" s="14" t="str">
        <x:v>CONTROLLED_PENDING_VERIFICATION</x:v>
      </x:c>
      <x:c r="W115" s="14" t="str">
        <x:v>SELECTED_PENDING_REVIEW_A</x:v>
      </x:c>
      <x:c r="X115" s="17" t="str">
        <x:v>Authorized or traceable tier-1 channel</x:v>
      </x:c>
      <x:c r="Y115" s="17" t="str">
        <x:v>Marking MPN package orientation electrical functional sample</x:v>
      </x:c>
    </x:row>
    <x:row r="116">
      <x:c r="A116" s="2" t="str">
        <x:v>PR-115</x:v>
      </x:c>
      <x:c r="B116" s="14" t="str">
        <x:v>PCB-MAIN</x:v>
      </x:c>
      <x:c r="C116" s="14" t="str">
        <x:v>MAIN-010-U25 | MAIN-010-U26</x:v>
      </x:c>
      <x:c r="D116" s="14" t="str">
        <x:v>U25 | U26</x:v>
      </x:c>
      <x:c r="E116" s="2" t="str">
        <x:v>USB_ESD_Array</x:v>
      </x:c>
      <x:c r="F116" s="2" t="str">
        <x:v>Texas Instruments</x:v>
      </x:c>
      <x:c r="G116" s="2" t="str">
        <x:v>TPD2EUSB30DRTR</x:v>
      </x:c>
      <x:c r="H116" s="2" t="str">
        <x:v>SOT-9X3_DRT</x:v>
      </x:c>
      <x:c r="I116" s="2" t="str">
        <x:v>2 channel 0.7 pF USB ESD</x:v>
      </x:c>
      <x:c r="J116" s="2" t="str">
        <x:v>COMMON</x:v>
      </x:c>
      <x:c r="K116" s="2" t="str">
        <x:v>FITTED</x:v>
      </x:c>
      <x:c r="L116" s="16" t="n">
        <x:v>8</x:v>
      </x:c>
      <x:c r="M116" s="16" t="n">
        <x:v>0</x:v>
      </x:c>
      <x:c r="N116" s="16" t="n">
        <x:v>8</x:v>
      </x:c>
      <x:c r="O116" s="16" t="n">
        <x:v>20</x:v>
      </x:c>
      <x:c r="P116" s="16" t="n">
        <x:v>0</x:v>
      </x:c>
      <x:c r="Q116" s="16" t="n">
        <x:v>20</x:v>
      </x:c>
      <x:c r="R116" s="16" t="n">
        <x:v>40</x:v>
      </x:c>
      <x:c r="S116" s="16" t="n">
        <x:v>0</x:v>
      </x:c>
      <x:c r="T116" s="16" t="n">
        <x:v>40</x:v>
      </x:c>
      <x:c r="U116" s="14" t="str">
        <x:v>NONE</x:v>
      </x:c>
      <x:c r="V116" s="14" t="str">
        <x:v>CONTROLLED_PENDING_VERIFICATION</x:v>
      </x:c>
      <x:c r="W116" s="14" t="str">
        <x:v>SELECTED_PENDING_REVIEW_A</x:v>
      </x:c>
      <x:c r="X116" s="17" t="str">
        <x:v>Authorized or traceable tier-1 channel</x:v>
      </x:c>
      <x:c r="Y116" s="17" t="str">
        <x:v>Marking MPN package orientation electrical functional sample</x:v>
      </x:c>
    </x:row>
    <x:row r="117">
      <x:c r="A117" s="2" t="str">
        <x:v>PR-116</x:v>
      </x:c>
      <x:c r="B117" s="14" t="str">
        <x:v>PCB-MAIN</x:v>
      </x:c>
      <x:c r="C117" s="14" t="str">
        <x:v>MAIN-010-U19 | MAIN-010-U20 | MAIN-010-U21 | MAIN-010-U22 | MAIN-010-U23 | MAIN-010-U24 | MAIN-010-U27</x:v>
      </x:c>
      <x:c r="D117" s="14" t="str">
        <x:v>U19 | U20 | U21 | U22 | U23 | U24 | U27</x:v>
      </x:c>
      <x:c r="E117" s="2" t="str">
        <x:v>ESD_Array</x:v>
      </x:c>
      <x:c r="F117" s="2" t="str">
        <x:v>Texas Instruments</x:v>
      </x:c>
      <x:c r="G117" s="2" t="str">
        <x:v>TPD4E05U06DQAR</x:v>
      </x:c>
      <x:c r="H117" s="2" t="str">
        <x:v>USON-10_DQA</x:v>
      </x:c>
      <x:c r="I117" s="2" t="str">
        <x:v>4 channel 0.5 pF ESD</x:v>
      </x:c>
      <x:c r="J117" s="2" t="str">
        <x:v>COMMON</x:v>
      </x:c>
      <x:c r="K117" s="2" t="str">
        <x:v>FITTED</x:v>
      </x:c>
      <x:c r="L117" s="16" t="n">
        <x:v>28</x:v>
      </x:c>
      <x:c r="M117" s="16" t="n">
        <x:v>0</x:v>
      </x:c>
      <x:c r="N117" s="16" t="n">
        <x:v>28</x:v>
      </x:c>
      <x:c r="O117" s="16" t="n">
        <x:v>70</x:v>
      </x:c>
      <x:c r="P117" s="16" t="n">
        <x:v>0</x:v>
      </x:c>
      <x:c r="Q117" s="16" t="n">
        <x:v>70</x:v>
      </x:c>
      <x:c r="R117" s="16" t="n">
        <x:v>140</x:v>
      </x:c>
      <x:c r="S117" s="16" t="n">
        <x:v>0</x:v>
      </x:c>
      <x:c r="T117" s="16" t="n">
        <x:v>140</x:v>
      </x:c>
      <x:c r="U117" s="14" t="str">
        <x:v>NONE</x:v>
      </x:c>
      <x:c r="V117" s="14" t="str">
        <x:v>CONTROLLED_PENDING_VERIFICATION</x:v>
      </x:c>
      <x:c r="W117" s="14" t="str">
        <x:v>SELECTED_PENDING_REVIEW_A</x:v>
      </x:c>
      <x:c r="X117" s="17" t="str">
        <x:v>Authorized or traceable tier-1 channel</x:v>
      </x:c>
      <x:c r="Y117" s="17" t="str">
        <x:v>Marking MPN package orientation electrical functional sample</x:v>
      </x:c>
    </x:row>
    <x:row r="118">
      <x:c r="A118" s="2" t="str">
        <x:v>PR-117</x:v>
      </x:c>
      <x:c r="B118" s="14" t="str">
        <x:v>PCB-PWR</x:v>
      </x:c>
      <x:c r="C118" s="14" t="str">
        <x:v>U-PWR3</x:v>
      </x:c>
      <x:c r="D118" s="14" t="str">
        <x:v>U5</x:v>
      </x:c>
      <x:c r="E118" s="2" t="str">
        <x:v>Power</x:v>
      </x:c>
      <x:c r="F118" s="2" t="str">
        <x:v>Texas Instruments</x:v>
      </x:c>
      <x:c r="G118" s="2" t="str">
        <x:v>TPS7A2018PDBVR</x:v>
      </x:c>
      <x:c r="H118" s="2" t="str">
        <x:v>SOT-23-5</x:v>
      </x:c>
      <x:c r="I118" s="2" t="str"/>
      <x:c r="J118" s="2" t="str">
        <x:v>COMMON</x:v>
      </x:c>
      <x:c r="K118" s="2" t="str">
        <x:v>FITTED</x:v>
      </x:c>
      <x:c r="L118" s="16" t="n">
        <x:v>4</x:v>
      </x:c>
      <x:c r="M118" s="16" t="n">
        <x:v>1</x:v>
      </x:c>
      <x:c r="N118" s="16" t="n">
        <x:v>5</x:v>
      </x:c>
      <x:c r="O118" s="16" t="n">
        <x:v>10</x:v>
      </x:c>
      <x:c r="P118" s="16" t="n">
        <x:v>3</x:v>
      </x:c>
      <x:c r="Q118" s="16" t="n">
        <x:v>13</x:v>
      </x:c>
      <x:c r="R118" s="16" t="n">
        <x:v>20</x:v>
      </x:c>
      <x:c r="S118" s="16" t="n">
        <x:v>5</x:v>
      </x:c>
      <x:c r="T118" s="16" t="n">
        <x:v>25</x:v>
      </x:c>
      <x:c r="U118" s="14" t="str">
        <x:v>SCALE_CEIL_FROM_20_BASELINE</x:v>
      </x:c>
      <x:c r="V118" s="14" t="str">
        <x:v>CONTROLLED_PENDING_VERIFICATION</x:v>
      </x:c>
      <x:c r="W118" s="14" t="str">
        <x:v>SELECTED_PENDING_NOISE_SAMPLE</x:v>
      </x:c>
      <x:c r="X118" s="17" t="str">
        <x:v>Authorized distributor</x:v>
      </x:c>
      <x:c r="Y118" s="17" t="str">
        <x:v>Noise PSRR dropout thermal and AAD sleep current</x:v>
      </x:c>
    </x:row>
    <x:row r="119">
      <x:c r="A119" s="2" t="str">
        <x:v>PR-118</x:v>
      </x:c>
      <x:c r="B119" s="14" t="str">
        <x:v>PCB-MAIN</x:v>
      </x:c>
      <x:c r="C119" s="14" t="str">
        <x:v>U13</x:v>
      </x:c>
      <x:c r="D119" s="14" t="str">
        <x:v>U13</x:v>
      </x:c>
      <x:c r="E119" s="2" t="str">
        <x:v>SIM switch</x:v>
      </x:c>
      <x:c r="F119" s="2" t="str">
        <x:v>Texas Instruments</x:v>
      </x:c>
      <x:c r="G119" s="2" t="str">
        <x:v>TS3A27518EPWR</x:v>
      </x:c>
      <x:c r="H119" s="2" t="str">
        <x:v>TSSOP-24_PW</x:v>
      </x:c>
      <x:c r="I119" s="2" t="str"/>
      <x:c r="J119" s="2" t="str">
        <x:v>COMMON</x:v>
      </x:c>
      <x:c r="K119" s="2" t="str">
        <x:v>FITTED</x:v>
      </x:c>
      <x:c r="L119" s="16" t="n">
        <x:v>4</x:v>
      </x:c>
      <x:c r="M119" s="16" t="n">
        <x:v>1</x:v>
      </x:c>
      <x:c r="N119" s="16" t="n">
        <x:v>5</x:v>
      </x:c>
      <x:c r="O119" s="16" t="n">
        <x:v>10</x:v>
      </x:c>
      <x:c r="P119" s="16" t="n">
        <x:v>3</x:v>
      </x:c>
      <x:c r="Q119" s="16" t="n">
        <x:v>13</x:v>
      </x:c>
      <x:c r="R119" s="16" t="n">
        <x:v>20</x:v>
      </x:c>
      <x:c r="S119" s="16" t="n">
        <x:v>5</x:v>
      </x:c>
      <x:c r="T119" s="16" t="n">
        <x:v>25</x:v>
      </x:c>
      <x:c r="U119" s="14" t="str">
        <x:v>SCALE_CEIL_FROM_20_BASELINE</x:v>
      </x:c>
      <x:c r="V119" s="14" t="str">
        <x:v>CONTROLLED_PENDING_VERIFICATION</x:v>
      </x:c>
      <x:c r="W119" s="14" t="str">
        <x:v>SELECTED_PENDING_USIM_SI_SAMPLE</x:v>
      </x:c>
      <x:c r="X119" s="17" t="str">
        <x:v>Authorized distributor or traceable tier-1 channel</x:v>
      </x:c>
      <x:c r="Y119" s="17" t="str">
        <x:v>Marking supply leakage Ron capacitance and 100 switch cycles</x:v>
      </x:c>
    </x:row>
    <x:row r="120">
      <x:c r="A120" s="2" t="str">
        <x:v>PR-119</x:v>
      </x:c>
      <x:c r="B120" s="14" t="str">
        <x:v>PCB-MAIN</x:v>
      </x:c>
      <x:c r="C120" s="14" t="str">
        <x:v>J-RF-CELL | J-RF-GNSS</x:v>
      </x:c>
      <x:c r="D120" s="14" t="str">
        <x:v>J8 | J9</x:v>
      </x:c>
      <x:c r="E120" s="2" t="str">
        <x:v>RF connector</x:v>
      </x:c>
      <x:c r="F120" s="2" t="str">
        <x:v>Hirose</x:v>
      </x:c>
      <x:c r="G120" s="2" t="str">
        <x:v>U.FL-R-SMT-1(60)</x:v>
      </x:c>
      <x:c r="H120" s="2" t="str">
        <x:v>U.FL SMT receptacle</x:v>
      </x:c>
      <x:c r="I120" s="2" t="str"/>
      <x:c r="J120" s="2" t="str">
        <x:v>COMMON</x:v>
      </x:c>
      <x:c r="K120" s="2" t="str">
        <x:v>FITTED</x:v>
      </x:c>
      <x:c r="L120" s="16" t="n">
        <x:v>8</x:v>
      </x:c>
      <x:c r="M120" s="16" t="n">
        <x:v>4</x:v>
      </x:c>
      <x:c r="N120" s="16" t="n">
        <x:v>12</x:v>
      </x:c>
      <x:c r="O120" s="16" t="n">
        <x:v>20</x:v>
      </x:c>
      <x:c r="P120" s="16" t="n">
        <x:v>8</x:v>
      </x:c>
      <x:c r="Q120" s="16" t="n">
        <x:v>28</x:v>
      </x:c>
      <x:c r="R120" s="16" t="n">
        <x:v>40</x:v>
      </x:c>
      <x:c r="S120" s="16" t="n">
        <x:v>16</x:v>
      </x:c>
      <x:c r="T120" s="16" t="n">
        <x:v>56</x:v>
      </x:c>
      <x:c r="U120" s="14" t="str">
        <x:v>SCALE_CEIL_FROM_20_BASELINE</x:v>
      </x:c>
      <x:c r="V120" s="14" t="str">
        <x:v>CONTROLLED_PENDING_VERIFICATION</x:v>
      </x:c>
      <x:c r="W120" s="14" t="str">
        <x:v>LAYOUT_ZONE_FROZEN_PENDING_RF_VALIDATION</x:v>
      </x:c>
      <x:c r="X120" s="17" t="str">
        <x:v>Authorized Hirose distributor</x:v>
      </x:c>
      <x:c r="Y120" s="17" t="str">
        <x:v>Visual mate gauge continuity VNA and VSWR | Visual mate gauge continuity receiver sensitivity and active-antenna current</x:v>
      </x:c>
    </x:row>
    <x:row r="121">
      <x:c r="A121" s="2" t="str">
        <x:v>PR-120</x:v>
      </x:c>
      <x:c r="B121" s="14" t="str">
        <x:v>PCB-MAIN</x:v>
      </x:c>
      <x:c r="C121" s="14" t="str">
        <x:v>J-RF-LORA</x:v>
      </x:c>
      <x:c r="D121" s="14" t="str">
        <x:v>J10</x:v>
      </x:c>
      <x:c r="E121" s="2" t="str">
        <x:v>RF connector</x:v>
      </x:c>
      <x:c r="F121" s="2" t="str">
        <x:v>Hirose</x:v>
      </x:c>
      <x:c r="G121" s="2" t="str">
        <x:v>U.FL-R-SMT-1(60)</x:v>
      </x:c>
      <x:c r="H121" s="2" t="str">
        <x:v>U.FL SMT receptacle</x:v>
      </x:c>
      <x:c r="I121" s="2" t="str"/>
      <x:c r="J121" s="2" t="str">
        <x:v>RU868_PILOT</x:v>
      </x:c>
      <x:c r="K121" s="2" t="str">
        <x:v>FITTED</x:v>
      </x:c>
      <x:c r="L121" s="16" t="n">
        <x:v>4</x:v>
      </x:c>
      <x:c r="M121" s="16" t="n">
        <x:v>2</x:v>
      </x:c>
      <x:c r="N121" s="16" t="n">
        <x:v>6</x:v>
      </x:c>
      <x:c r="O121" s="16" t="n">
        <x:v>10</x:v>
      </x:c>
      <x:c r="P121" s="16" t="n">
        <x:v>4</x:v>
      </x:c>
      <x:c r="Q121" s="16" t="n">
        <x:v>14</x:v>
      </x:c>
      <x:c r="R121" s="16" t="n">
        <x:v>20</x:v>
      </x:c>
      <x:c r="S121" s="16" t="n">
        <x:v>8</x:v>
      </x:c>
      <x:c r="T121" s="16" t="n">
        <x:v>28</x:v>
      </x:c>
      <x:c r="U121" s="14" t="str">
        <x:v>SCALE_CEIL_FROM_20_BASELINE</x:v>
      </x:c>
      <x:c r="V121" s="14" t="str">
        <x:v>CONTROLLED_PENDING_VERIFICATION</x:v>
      </x:c>
      <x:c r="W121" s="14" t="str">
        <x:v>LAYOUT_ZONE_FROZEN_PENDING_RF_VALIDATION</x:v>
      </x:c>
      <x:c r="X121" s="17" t="str">
        <x:v>Authorized Hirose distributor</x:v>
      </x:c>
      <x:c r="Y121" s="17" t="str">
        <x:v>Visual mate gauge continuity conducted power sensitivity and VSWR</x:v>
      </x:c>
    </x:row>
    <x:row r="122">
      <x:c r="A122" s="2" t="str">
        <x:v>PR-121</x:v>
      </x:c>
      <x:c r="B122" s="14" t="str">
        <x:v>PCB-MAIN</x:v>
      </x:c>
      <x:c r="C122" s="14" t="str">
        <x:v>J-USB</x:v>
      </x:c>
      <x:c r="D122" s="14" t="str">
        <x:v>J11</x:v>
      </x:c>
      <x:c r="E122" s="2" t="str">
        <x:v>Connector</x:v>
      </x:c>
      <x:c r="F122" s="2" t="str">
        <x:v>GCT</x:v>
      </x:c>
      <x:c r="G122" s="2" t="str">
        <x:v>USB4105-GF-A-120</x:v>
      </x:c>
      <x:c r="H122" s="2" t="str">
        <x:v>16 positions</x:v>
      </x:c>
      <x:c r="I122" s="2" t="str"/>
      <x:c r="J122" s="2" t="str">
        <x:v>COMMON</x:v>
      </x:c>
      <x:c r="K122" s="2" t="str">
        <x:v>FITTED</x:v>
      </x:c>
      <x:c r="L122" s="16" t="n">
        <x:v>4</x:v>
      </x:c>
      <x:c r="M122" s="16" t="n">
        <x:v>1</x:v>
      </x:c>
      <x:c r="N122" s="16" t="n">
        <x:v>5</x:v>
      </x:c>
      <x:c r="O122" s="16" t="n">
        <x:v>10</x:v>
      </x:c>
      <x:c r="P122" s="16" t="n">
        <x:v>3</x:v>
      </x:c>
      <x:c r="Q122" s="16" t="n">
        <x:v>13</x:v>
      </x:c>
      <x:c r="R122" s="16" t="n">
        <x:v>20</x:v>
      </x:c>
      <x:c r="S122" s="16" t="n">
        <x:v>5</x:v>
      </x:c>
      <x:c r="T122" s="16" t="n">
        <x:v>25</x:v>
      </x:c>
      <x:c r="U122" s="14" t="str">
        <x:v>SCALE_CEIL_FROM_20_BASELINE</x:v>
      </x:c>
      <x:c r="V122" s="14" t="str">
        <x:v>CONTROLLED_PENDING_VERIFICATION</x:v>
      </x:c>
      <x:c r="W122" s="14" t="str">
        <x:v>MECHANICAL_AUTHORITY_FROZEN_PENDING_PHYSICAL_TEST</x:v>
      </x:c>
      <x:c r="X122" s="17" t="str">
        <x:v>Authorized or traceable tier-1 channel</x:v>
      </x:c>
      <x:c r="Y122" s="17" t="str">
        <x:v>Marking MPN package orientation electrical functional sample</x:v>
      </x:c>
    </x:row>
    <x:row r="123">
      <x:c r="A123" s="2" t="str">
        <x:v>PR-122</x:v>
      </x:c>
      <x:c r="B123" s="14" t="str">
        <x:v>PCB-MAIN</x:v>
      </x:c>
      <x:c r="C123" s="14" t="str">
        <x:v>U2</x:v>
      </x:c>
      <x:c r="D123" s="14" t="str">
        <x:v>U2</x:v>
      </x:c>
      <x:c r="E123" s="2" t="str">
        <x:v>Memory</x:v>
      </x:c>
      <x:c r="F123" s="2" t="str">
        <x:v>Winbond</x:v>
      </x:c>
      <x:c r="G123" s="2" t="str">
        <x:v>W25Q512JVFIQ</x:v>
      </x:c>
      <x:c r="H123" s="2" t="str">
        <x:v>SOIC-16_300mil</x:v>
      </x:c>
      <x:c r="I123" s="2" t="str"/>
      <x:c r="J123" s="2" t="str">
        <x:v>COMMON</x:v>
      </x:c>
      <x:c r="K123" s="2" t="str">
        <x:v>FITTED</x:v>
      </x:c>
      <x:c r="L123" s="16" t="n">
        <x:v>4</x:v>
      </x:c>
      <x:c r="M123" s="16" t="n">
        <x:v>1</x:v>
      </x:c>
      <x:c r="N123" s="16" t="n">
        <x:v>5</x:v>
      </x:c>
      <x:c r="O123" s="16" t="n">
        <x:v>10</x:v>
      </x:c>
      <x:c r="P123" s="16" t="n">
        <x:v>3</x:v>
      </x:c>
      <x:c r="Q123" s="16" t="n">
        <x:v>13</x:v>
      </x:c>
      <x:c r="R123" s="16" t="n">
        <x:v>20</x:v>
      </x:c>
      <x:c r="S123" s="16" t="n">
        <x:v>5</x:v>
      </x:c>
      <x:c r="T123" s="16" t="n">
        <x:v>25</x:v>
      </x:c>
      <x:c r="U123" s="14" t="str">
        <x:v>SCALE_CEIL_FROM_20_BASELINE</x:v>
      </x:c>
      <x:c r="V123" s="14" t="str">
        <x:v>CONTROLLED_PENDING_VERIFICATION</x:v>
      </x:c>
      <x:c r="W123" s="14" t="str">
        <x:v>SELECTED_PENDING_SAMPLE</x:v>
      </x:c>
      <x:c r="X123" s="17" t="str">
        <x:v>Authorized or traceable LCSC-class channel</x:v>
      </x:c>
      <x:c r="Y123" s="17" t="str">
        <x:v>Marking electrical ID read/write/erase soak</x:v>
      </x:c>
    </x:row>
    <x:row r="124">
      <x:c r="A124" t="str">
        <x:v>PR-123</x:v>
      </x:c>
      <x:c r="B124" t="str">
        <x:v>PCB-PWR</x:v>
      </x:c>
      <x:c r="C124" t="str">
        <x:v>R-SHUNT-01</x:v>
      </x:c>
      <x:c r="D124" t="str">
        <x:v>RSH1</x:v>
      </x:c>
      <x:c r="E124" t="str">
        <x:v>Shunt</x:v>
      </x:c>
      <x:c r="F124" t="str">
        <x:v>Vishay Dale</x:v>
      </x:c>
      <x:c r="G124" t="str">
        <x:v>WSK2512R0100FEA</x:v>
      </x:c>
      <x:c r="H124" t="str">
        <x:v>WSK2512 4-terminal 6.35x3.18 mm</x:v>
      </x:c>
      <x:c r="I124" t="str">
        <x:v>10 mOhm 1% 1 W</x:v>
      </x:c>
      <x:c r="J124" t="str">
        <x:v>COMMON</x:v>
      </x:c>
      <x:c r="K124" t="str">
        <x:v>FITTED</x:v>
      </x:c>
      <x:c r="L124" t="n">
        <x:v>4</x:v>
      </x:c>
      <x:c r="M124" t="n">
        <x:v>2</x:v>
      </x:c>
      <x:c r="N124" t="n">
        <x:v>6</x:v>
      </x:c>
      <x:c r="O124" t="n">
        <x:v>10</x:v>
      </x:c>
      <x:c r="P124" t="n">
        <x:v>5</x:v>
      </x:c>
      <x:c r="Q124" t="n">
        <x:v>15</x:v>
      </x:c>
      <x:c r="R124" t="n">
        <x:v>20</x:v>
      </x:c>
      <x:c r="S124" t="n">
        <x:v>10</x:v>
      </x:c>
      <x:c r="T124" t="n">
        <x:v>30</x:v>
      </x:c>
      <x:c r="U124" t="str">
        <x:v>SCALE_CEIL_FROM_20_BASELINE</x:v>
      </x:c>
      <x:c r="V124" t="str">
        <x:v>CONTROLLED_PENDING_VERIFICATION</x:v>
      </x:c>
      <x:c r="W124" t="str">
        <x:v>SELECTED_PENDING_KELVIN_LAYOUT_SAMPLE</x:v>
      </x:c>
      <x:c r="X124" t="str">
        <x:v>Authorized current-sense resistor vendor</x:v>
      </x:c>
      <x:c r="Y124" t="str">
        <x:v>Resistance TCR marking and four-wire reference measurement</x:v>
      </x:c>
    </x:row>
    <x:row r="125">
      <x:c r="A125" t="str">
        <x:v>PR-124</x:v>
      </x:c>
      <x:c r="B125" t="str">
        <x:v>PCB-PWR</x:v>
      </x:c>
      <x:c r="C125" t="str">
        <x:v>PWR-L</x:v>
      </x:c>
      <x:c r="D125" t="str">
        <x:v>L1;L2</x:v>
      </x:c>
      <x:c r="E125" t="str">
        <x:v>Passive</x:v>
      </x:c>
      <x:c r="F125" t="str">
        <x:v>Coilcraft</x:v>
      </x:c>
      <x:c r="G125" t="str">
        <x:v>XAL7030-472MEC</x:v>
      </x:c>
      <x:c r="H125" t="str">
        <x:v>XAL7030</x:v>
      </x:c>
      <x:c r="I125" t="str">
        <x:v>4.7 uH +/-20%</x:v>
      </x:c>
      <x:c r="J125" t="str">
        <x:v>COMMON</x:v>
      </x:c>
      <x:c r="K125" t="str">
        <x:v>FITTED</x:v>
      </x:c>
      <x:c r="L125" t="n">
        <x:v>8</x:v>
      </x:c>
      <x:c r="M125" t="n">
        <x:v>10</x:v>
      </x:c>
      <x:c r="N125" t="n">
        <x:v>18</x:v>
      </x:c>
      <x:c r="O125" t="n">
        <x:v>20</x:v>
      </x:c>
      <x:c r="P125" t="n">
        <x:v>10</x:v>
      </x:c>
      <x:c r="Q125" t="n">
        <x:v>30</x:v>
      </x:c>
      <x:c r="R125" t="n">
        <x:v>40</x:v>
      </x:c>
      <x:c r="S125" t="n">
        <x:v>10</x:v>
      </x:c>
      <x:c r="T125" t="n">
        <x:v>50</x:v>
      </x:c>
      <x:c r="U125" t="str">
        <x:v>FIXED_LOT_MIN</x:v>
      </x:c>
      <x:c r="V125" t="str">
        <x:v>CONTROLLED_PENDING_VERIFICATION</x:v>
      </x:c>
      <x:c r="W125" t="str">
        <x:v>SELECTED_PENDING_LAYOUT_THERMAL_EMI</x:v>
      </x:c>
      <x:c r="X125" t="str">
        <x:v>Authorized or traceable tier-1 channel</x:v>
      </x:c>
      <x:c r="Y125" t="str">
        <x:v>Marking MPN package orientation electrical functional sample</x:v>
      </x:c>
    </x:row>
  </x:sheetData>
  <x:conditionalFormatting sqref="V2:V123">
    <x:cfRule type="containsText" dxfId="0" priority="1" operator="containsText" text="BLOCKED"/>
    <x:cfRule type="containsText" dxfId="1" priority="2" operator="containsText" text="PENDING"/>
  </x:conditionalFormatting>
  <x:conditionalFormatting sqref="W2:W123">
    <x:cfRule type="containsText" dxfId="2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76f6539921fd4217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4" hidden="0" customWidth="1"/>
    <x:col min="4" max="4" width="15" hidden="0" customWidth="1"/>
    <x:col min="5" max="5" width="38" hidden="0" customWidth="1"/>
    <x:col min="6" max="6" width="15" hidden="0" customWidth="1"/>
    <x:col min="7" max="7" width="15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24" hidden="0" customWidth="1"/>
    <x:col min="20" max="20" width="15" hidden="0" customWidth="1"/>
    <x:col min="21" max="21" width="24" hidden="0" customWidth="1"/>
    <x:col min="22" max="22" width="38" hidden="0" customWidth="1"/>
    <x:col min="23" max="23" width="38" hidden="0" customWidth="1"/>
    <x:col min="24" max="24" width="38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24" hidden="0" customWidth="1"/>
  </x:cols>
  <x:sheetData>
    <x:row r="1" ht="34" customHeight="1">
      <x:c r="A1" s="11" t="str">
        <x:v>Item_ID</x:v>
      </x:c>
      <x:c r="B1" s="12" t="str">
        <x:v>Assembly</x:v>
      </x:c>
      <x:c r="C1" s="12" t="str">
        <x:v>RefDes</x:v>
      </x:c>
      <x:c r="D1" s="12" t="str">
        <x:v>Category</x:v>
      </x:c>
      <x:c r="E1" s="12" t="str">
        <x:v>Description</x:v>
      </x:c>
      <x:c r="F1" s="12" t="str">
        <x:v>Manufacturer</x:v>
      </x:c>
      <x:c r="G1" s="12" t="str">
        <x:v>MPN</x:v>
      </x:c>
      <x:c r="H1" s="12" t="str">
        <x:v>Package</x:v>
      </x:c>
      <x:c r="I1" s="12" t="str">
        <x:v>Qty_per_station</x:v>
      </x:c>
      <x:c r="J1" s="12" t="str">
        <x:v>Qty_4</x:v>
      </x:c>
      <x:c r="K1" s="12" t="str">
        <x:v>Spares_4</x:v>
      </x:c>
      <x:c r="L1" s="12" t="str">
        <x:v>Procure_qty_4</x:v>
      </x:c>
      <x:c r="M1" s="12" t="str">
        <x:v>Qty_10</x:v>
      </x:c>
      <x:c r="N1" s="12" t="str">
        <x:v>Spares_10</x:v>
      </x:c>
      <x:c r="O1" s="12" t="str">
        <x:v>Procure_qty_10</x:v>
      </x:c>
      <x:c r="P1" s="12" t="str">
        <x:v>Qty_20</x:v>
      </x:c>
      <x:c r="Q1" s="12" t="str">
        <x:v>Spares_20</x:v>
      </x:c>
      <x:c r="R1" s="12" t="str">
        <x:v>Procure_qty_20</x:v>
      </x:c>
      <x:c r="S1" s="12" t="str">
        <x:v>Spare_policy</x:v>
      </x:c>
      <x:c r="T1" s="12" t="str">
        <x:v>Variant</x:v>
      </x:c>
      <x:c r="U1" s="12" t="str">
        <x:v>Status</x:v>
      </x:c>
      <x:c r="V1" s="12" t="str">
        <x:v>China_source_policy</x:v>
      </x:c>
      <x:c r="W1" s="12" t="str">
        <x:v>Incoming_control</x:v>
      </x:c>
      <x:c r="X1" s="12" t="str">
        <x:v>Notes</x:v>
      </x:c>
      <x:c r="Y1" s="12" t="str">
        <x:v>Value</x:v>
      </x:c>
      <x:c r="Z1" s="12" t="str">
        <x:v>Line_class</x:v>
      </x:c>
      <x:c r="AA1" s="12" t="str">
        <x:v>Population</x:v>
      </x:c>
      <x:c r="AB1" s="12" t="str">
        <x:v>Temperature_C</x:v>
      </x:c>
      <x:c r="AC1" s="13" t="str">
        <x:v>BOM_disposition</x:v>
      </x:c>
    </x:row>
    <x:row r="2">
      <x:c r="A2" s="2" t="str">
        <x:v>ASM-MAIN</x:v>
      </x:c>
      <x:c r="B2" s="2" t="str">
        <x:v>PCB-MAIN</x:v>
      </x:c>
      <x:c r="C2" s="14" t="str">
        <x:v>-</x:v>
      </x:c>
      <x:c r="D2" s="2" t="str">
        <x:v>PCBA</x:v>
      </x:c>
      <x:c r="E2" s="17" t="str">
        <x:v>Assembled main controller PCB</x:v>
      </x:c>
      <x:c r="F2" s="2" t="str">
        <x:v>Contract manufacturer</x:v>
      </x:c>
      <x:c r="G2" s="2" t="str">
        <x:v>TBD</x:v>
      </x:c>
      <x:c r="H2" s="2" t="str">
        <x:v>6-layer PCBA</x:v>
      </x:c>
      <x:c r="I2" s="16" t="n">
        <x:v>1</x:v>
      </x:c>
      <x:c r="J2" s="16" t="n">
        <x:v>4</x:v>
      </x:c>
      <x:c r="K2" s="16" t="n">
        <x:v>2</x:v>
      </x:c>
      <x:c r="L2" s="16" t="n">
        <x:v>6</x:v>
      </x:c>
      <x:c r="M2" s="16" t="n">
        <x:v>10</x:v>
      </x:c>
      <x:c r="N2" s="16" t="n">
        <x:v>2</x:v>
      </x:c>
      <x:c r="O2" s="16" t="n">
        <x:v>12</x:v>
      </x:c>
      <x:c r="P2" s="16" t="n">
        <x:v>20</x:v>
      </x:c>
      <x:c r="Q2" s="16" t="n">
        <x:v>2</x:v>
      </x:c>
      <x:c r="R2" s="16" t="n">
        <x:v>22</x:v>
      </x:c>
      <x:c r="S2" s="14" t="str">
        <x:v>FIXED_LOT_MIN</x:v>
      </x:c>
      <x:c r="T2" s="2" t="str">
        <x:v>COMMON</x:v>
      </x:c>
      <x:c r="U2" s="14" t="str">
        <x:v>RFQ_REQUIRED</x:v>
      </x:c>
      <x:c r="V2" s="17" t="str">
        <x:v>Direct CM quotation</x:v>
      </x:c>
      <x:c r="W2" s="17" t="str">
        <x:v>AOI plus X-ray where hidden joints plus functional test</x:v>
      </x:c>
      <x:c r="X2" s="17" t="str">
        <x:v>PRIMARY procurement track with full assembly and EOL; not released before native schematic layout DFM and Review A/B gates</x:v>
      </x:c>
      <x:c r="Y2" s="2" t="str"/>
      <x:c r="Z2" s="2" t="str">
        <x:v>PCBA_SERVICE</x:v>
      </x:c>
      <x:c r="AA2" s="2" t="str">
        <x:v>N/A</x:v>
      </x:c>
      <x:c r="AB2" s="2" t="str">
        <x:v>N/A</x:v>
      </x:c>
      <x:c r="AC2" s="14" t="str">
        <x:v>BLOCKED_SUPPLIER_RELEASE</x:v>
      </x:c>
    </x:row>
    <x:row r="3">
      <x:c r="A3" s="2" t="str">
        <x:v>PCB-MAIN</x:v>
      </x:c>
      <x:c r="B3" s="2" t="str">
        <x:v>PCB-MAIN</x:v>
      </x:c>
      <x:c r="C3" s="14" t="str">
        <x:v>-</x:v>
      </x:c>
      <x:c r="D3" s="2" t="str">
        <x:v>Bare PCB</x:v>
      </x:c>
      <x:c r="E3" s="17" t="str">
        <x:v>Main controller bare PCB</x:v>
      </x:c>
      <x:c r="F3" s="2" t="str">
        <x:v>Qualified PCB fab</x:v>
      </x:c>
      <x:c r="G3" s="2" t="str">
        <x:v>TBD</x:v>
      </x:c>
      <x:c r="H3" s="2" t="str">
        <x:v>6-layer FR-4 110x75x1.6 mm</x:v>
      </x:c>
      <x:c r="I3" s="16" t="n">
        <x:v>1</x:v>
      </x:c>
      <x:c r="J3" s="16" t="n">
        <x:v>4</x:v>
      </x:c>
      <x:c r="K3" s="16" t="n">
        <x:v>2</x:v>
      </x:c>
      <x:c r="L3" s="16" t="n">
        <x:v>6</x:v>
      </x:c>
      <x:c r="M3" s="16" t="n">
        <x:v>10</x:v>
      </x:c>
      <x:c r="N3" s="16" t="n">
        <x:v>2</x:v>
      </x:c>
      <x:c r="O3" s="16" t="n">
        <x:v>12</x:v>
      </x:c>
      <x:c r="P3" s="16" t="n">
        <x:v>20</x:v>
      </x:c>
      <x:c r="Q3" s="16" t="n">
        <x:v>2</x:v>
      </x:c>
      <x:c r="R3" s="16" t="n">
        <x:v>22</x:v>
      </x:c>
      <x:c r="S3" s="14" t="str">
        <x:v>FIXED_LOT_MIN</x:v>
      </x:c>
      <x:c r="T3" s="2" t="str">
        <x:v>COMMON</x:v>
      </x:c>
      <x:c r="U3" s="14" t="str">
        <x:v>RFQ_REQUIRED</x:v>
      </x:c>
      <x:c r="V3" s="17" t="str">
        <x:v>Two independent fab quotations</x:v>
      </x:c>
      <x:c r="W3" s="17" t="str">
        <x:v>Coupon dimensions finish stackup impedance and netlist test</x:v>
      </x:c>
      <x:c r="X3" s="17" t="str">
        <x:v>ALTERNATIVE quotation track only; do not purchase together with ASM-MAIN; outline and holes frozen by MAIN-AUTH-011; final stackup and controlled-impedance geometry pending fab review</x:v>
      </x:c>
      <x:c r="Y3" s="2" t="str"/>
      <x:c r="Z3" s="2" t="str">
        <x:v>BARE_PCB</x:v>
      </x:c>
      <x:c r="AA3" s="2" t="str">
        <x:v>N/A</x:v>
      </x:c>
      <x:c r="AB3" s="2" t="str">
        <x:v>N/A</x:v>
      </x:c>
      <x:c r="AC3" s="14" t="str">
        <x:v>BLOCKED_SUPPLIER_RELEASE</x:v>
      </x:c>
    </x:row>
    <x:row r="4">
      <x:c r="A4" s="2" t="str">
        <x:v>U1</x:v>
      </x:c>
      <x:c r="B4" s="2" t="str">
        <x:v>PCB-MAIN</x:v>
      </x:c>
      <x:c r="C4" s="14" t="str">
        <x:v>U1</x:v>
      </x:c>
      <x:c r="D4" s="2" t="str">
        <x:v>MCU</x:v>
      </x:c>
      <x:c r="E4" s="17" t="str">
        <x:v>Ultra-low-power secure MCU</x:v>
      </x:c>
      <x:c r="F4" s="2" t="str">
        <x:v>STMicroelectronics</x:v>
      </x:c>
      <x:c r="G4" s="2" t="str">
        <x:v>STM32U585VIT6Q</x:v>
      </x:c>
      <x:c r="H4" s="2" t="str">
        <x:v>LQFP100_14x14</x:v>
      </x:c>
      <x:c r="I4" s="16" t="n">
        <x:v>1</x:v>
      </x:c>
      <x:c r="J4" s="16" t="n">
        <x:v>4</x:v>
      </x:c>
      <x:c r="K4" s="16" t="n">
        <x:v>1</x:v>
      </x:c>
      <x:c r="L4" s="16" t="n">
        <x:v>5</x:v>
      </x:c>
      <x:c r="M4" s="16" t="n">
        <x:v>10</x:v>
      </x:c>
      <x:c r="N4" s="16" t="n">
        <x:v>3</x:v>
      </x:c>
      <x:c r="O4" s="16" t="n">
        <x:v>13</x:v>
      </x:c>
      <x:c r="P4" s="16" t="n">
        <x:v>20</x:v>
      </x:c>
      <x:c r="Q4" s="16" t="n">
        <x:v>5</x:v>
      </x:c>
      <x:c r="R4" s="16" t="n">
        <x:v>25</x:v>
      </x:c>
      <x:c r="S4" s="14" t="str">
        <x:v>SCALE_CEIL_FROM_20_BASELINE</x:v>
      </x:c>
      <x:c r="T4" s="2" t="str">
        <x:v>COMMON</x:v>
      </x:c>
      <x:c r="U4" s="14" t="str">
        <x:v>SELECTED_PENDING_TARGET_SAMPLE</x:v>
      </x:c>
      <x:c r="V4" s="17" t="str">
        <x:v>Authorized distributor or traceable tier-1 China channel</x:v>
      </x:c>
      <x:c r="W4" s="17" t="str">
        <x:v>Label lot date code package X-ray sample ID readout</x:v>
      </x:c>
      <x:c r="X4" s="17" t="str">
        <x:v>Rev.A freeze source MAIN_COMPONENT_FREEZE_REV_A.csv; blockers: CubeMX exact-package IOC; target build; sample verification</x:v>
      </x:c>
      <x:c r="Y4" s="2" t="str"/>
      <x:c r="Z4" s="2" t="str">
        <x:v>ELECTRICAL_COMPONENT</x:v>
      </x:c>
      <x:c r="AA4" s="2" t="str">
        <x:v>FITTED</x:v>
      </x:c>
      <x:c r="AB4" s="2" t="str">
        <x:v>-40..85 exact selected part</x:v>
      </x:c>
      <x:c r="AC4" s="14" t="str">
        <x:v>CONTROLLED_PENDING_VERIFICATION</x:v>
      </x:c>
    </x:row>
    <x:row r="5">
      <x:c r="A5" s="2" t="str">
        <x:v>U2</x:v>
      </x:c>
      <x:c r="B5" s="2" t="str">
        <x:v>PCB-MAIN</x:v>
      </x:c>
      <x:c r="C5" s="14" t="str">
        <x:v>U2</x:v>
      </x:c>
      <x:c r="D5" s="2" t="str">
        <x:v>Memory</x:v>
      </x:c>
      <x:c r="E5" s="17" t="str">
        <x:v>512 Mbit 64 MB QSPI NOR</x:v>
      </x:c>
      <x:c r="F5" s="2" t="str">
        <x:v>Winbond</x:v>
      </x:c>
      <x:c r="G5" s="2" t="str">
        <x:v>W25Q512JVFIQ</x:v>
      </x:c>
      <x:c r="H5" s="2" t="str">
        <x:v>SOIC-16_300mil</x:v>
      </x:c>
      <x:c r="I5" s="16" t="n">
        <x:v>1</x:v>
      </x:c>
      <x:c r="J5" s="16" t="n">
        <x:v>4</x:v>
      </x:c>
      <x:c r="K5" s="16" t="n">
        <x:v>1</x:v>
      </x:c>
      <x:c r="L5" s="16" t="n">
        <x:v>5</x:v>
      </x:c>
      <x:c r="M5" s="16" t="n">
        <x:v>10</x:v>
      </x:c>
      <x:c r="N5" s="16" t="n">
        <x:v>3</x:v>
      </x:c>
      <x:c r="O5" s="16" t="n">
        <x:v>13</x:v>
      </x:c>
      <x:c r="P5" s="16" t="n">
        <x:v>20</x:v>
      </x:c>
      <x:c r="Q5" s="16" t="n">
        <x:v>5</x:v>
      </x:c>
      <x:c r="R5" s="16" t="n">
        <x:v>25</x:v>
      </x:c>
      <x:c r="S5" s="14" t="str">
        <x:v>SCALE_CEIL_FROM_20_BASELINE</x:v>
      </x:c>
      <x:c r="T5" s="2" t="str">
        <x:v>COMMON</x:v>
      </x:c>
      <x:c r="U5" s="14" t="str">
        <x:v>SELECTED_PENDING_SAMPLE</x:v>
      </x:c>
      <x:c r="V5" s="17" t="str">
        <x:v>Authorized or traceable LCSC-class channel</x:v>
      </x:c>
      <x:c r="W5" s="17" t="str">
        <x:v>Marking electrical ID read/write/erase soak</x:v>
      </x:c>
      <x:c r="X5" s="17" t="str">
        <x:v>Rev.A freeze source MAIN_COMPONENT_FREEZE_REV_A.csv; blockers: availability/endurance/power-loss test</x:v>
      </x:c>
      <x:c r="Y5" s="2" t="str"/>
      <x:c r="Z5" s="2" t="str">
        <x:v>ELECTRICAL_COMPONENT</x:v>
      </x:c>
      <x:c r="AA5" s="2" t="str">
        <x:v>FITTED</x:v>
      </x:c>
      <x:c r="AB5" s="2" t="str">
        <x:v>-40..85</x:v>
      </x:c>
      <x:c r="AC5" s="14" t="str">
        <x:v>CONTROLLED_PENDING_VERIFICATION</x:v>
      </x:c>
    </x:row>
    <x:row r="6">
      <x:c r="A6" s="2" t="str">
        <x:v>U3</x:v>
      </x:c>
      <x:c r="B6" s="2" t="str">
        <x:v>PCB-MAIN</x:v>
      </x:c>
      <x:c r="C6" s="14" t="str">
        <x:v>U3</x:v>
      </x:c>
      <x:c r="D6" s="2" t="str">
        <x:v>Motion</x:v>
      </x:c>
      <x:c r="E6" s="17" t="str">
        <x:v>Low-power accelerometer</x:v>
      </x:c>
      <x:c r="F6" s="2" t="str">
        <x:v>STMicroelectronics</x:v>
      </x:c>
      <x:c r="G6" s="2" t="str">
        <x:v>LIS2DW12TR</x:v>
      </x:c>
      <x:c r="H6" s="2" t="str">
        <x:v>LGA-12_2x2mm</x:v>
      </x:c>
      <x:c r="I6" s="16" t="n">
        <x:v>1</x:v>
      </x:c>
      <x:c r="J6" s="16" t="n">
        <x:v>4</x:v>
      </x:c>
      <x:c r="K6" s="16" t="n">
        <x:v>1</x:v>
      </x:c>
      <x:c r="L6" s="16" t="n">
        <x:v>5</x:v>
      </x:c>
      <x:c r="M6" s="16" t="n">
        <x:v>10</x:v>
      </x:c>
      <x:c r="N6" s="16" t="n">
        <x:v>3</x:v>
      </x:c>
      <x:c r="O6" s="16" t="n">
        <x:v>13</x:v>
      </x:c>
      <x:c r="P6" s="16" t="n">
        <x:v>20</x:v>
      </x:c>
      <x:c r="Q6" s="16" t="n">
        <x:v>5</x:v>
      </x:c>
      <x:c r="R6" s="16" t="n">
        <x:v>25</x:v>
      </x:c>
      <x:c r="S6" s="14" t="str">
        <x:v>SCALE_CEIL_FROM_20_BASELINE</x:v>
      </x:c>
      <x:c r="T6" s="2" t="str">
        <x:v>COMMON</x:v>
      </x:c>
      <x:c r="U6" s="14" t="str">
        <x:v>SELECTED_PENDING_SAMPLE</x:v>
      </x:c>
      <x:c r="V6" s="17" t="str">
        <x:v>Authorized distributor</x:v>
      </x:c>
      <x:c r="W6" s="17" t="str">
        <x:v>Marking orientation WHO_AM_I and self-test</x:v>
      </x:c>
      <x:c r="X6" s="17" t="str">
        <x:v>Rev.A freeze source MAIN_COMPONENT_FREEZE_REV_A.csv; blockers: orientation/self-test verification</x:v>
      </x:c>
      <x:c r="Y6" s="2" t="str"/>
      <x:c r="Z6" s="2" t="str">
        <x:v>ELECTRICAL_COMPONENT</x:v>
      </x:c>
      <x:c r="AA6" s="2" t="str">
        <x:v>FITTED</x:v>
      </x:c>
      <x:c r="AB6" s="2" t="str">
        <x:v>-40..85</x:v>
      </x:c>
      <x:c r="AC6" s="14" t="str">
        <x:v>CONTROLLED_PENDING_VERIFICATION</x:v>
      </x:c>
    </x:row>
    <x:row r="7">
      <x:c r="A7" s="2" t="str">
        <x:v>U4</x:v>
      </x:c>
      <x:c r="B7" s="2" t="str">
        <x:v>PCB-MAIN</x:v>
      </x:c>
      <x:c r="C7" s="14" t="str">
        <x:v>U4</x:v>
      </x:c>
      <x:c r="D7" s="2" t="str">
        <x:v>Temperature</x:v>
      </x:c>
      <x:c r="E7" s="17" t="str">
        <x:v>Digital temperature sensor</x:v>
      </x:c>
      <x:c r="F7" s="2" t="str">
        <x:v>STMicroelectronics</x:v>
      </x:c>
      <x:c r="G7" s="2" t="str">
        <x:v>STTS22HTR</x:v>
      </x:c>
      <x:c r="H7" s="2" t="str">
        <x:v>UDFN-6L_2x2mm</x:v>
      </x:c>
      <x:c r="I7" s="16" t="n">
        <x:v>1</x:v>
      </x:c>
      <x:c r="J7" s="16" t="n">
        <x:v>4</x:v>
      </x:c>
      <x:c r="K7" s="16" t="n">
        <x:v>1</x:v>
      </x:c>
      <x:c r="L7" s="16" t="n">
        <x:v>5</x:v>
      </x:c>
      <x:c r="M7" s="16" t="n">
        <x:v>10</x:v>
      </x:c>
      <x:c r="N7" s="16" t="n">
        <x:v>3</x:v>
      </x:c>
      <x:c r="O7" s="16" t="n">
        <x:v>13</x:v>
      </x:c>
      <x:c r="P7" s="16" t="n">
        <x:v>20</x:v>
      </x:c>
      <x:c r="Q7" s="16" t="n">
        <x:v>5</x:v>
      </x:c>
      <x:c r="R7" s="16" t="n">
        <x:v>25</x:v>
      </x:c>
      <x:c r="S7" s="14" t="str">
        <x:v>SCALE_CEIL_FROM_20_BASELINE</x:v>
      </x:c>
      <x:c r="T7" s="2" t="str">
        <x:v>COMMON</x:v>
      </x:c>
      <x:c r="U7" s="14" t="str">
        <x:v>SELECTED_PENDING_ASSEMBLY_REVIEW</x:v>
      </x:c>
      <x:c r="V7" s="17" t="str">
        <x:v>Authorized distributor</x:v>
      </x:c>
      <x:c r="W7" s="17" t="str">
        <x:v>X-ray sample ID and temperature compare</x:v>
      </x:c>
      <x:c r="X7" s="17" t="str">
        <x:v>Rev.A freeze source MAIN_COMPONENT_FREEZE_REV_A.csv; blockers: CM UDFN yield; exposed-pad land pattern; thermal response validation</x:v>
      </x:c>
      <x:c r="Y7" s="2" t="str"/>
      <x:c r="Z7" s="2" t="str">
        <x:v>ELECTRICAL_COMPONENT</x:v>
      </x:c>
      <x:c r="AA7" s="2" t="str">
        <x:v>FITTED</x:v>
      </x:c>
      <x:c r="AB7" s="2" t="str">
        <x:v>-40..125</x:v>
      </x:c>
      <x:c r="AC7" s="14" t="str">
        <x:v>CONTROLLED_PENDING_VERIFICATION</x:v>
      </x:c>
    </x:row>
    <x:row r="8">
      <x:c r="A8" s="2" t="str">
        <x:v>U7</x:v>
      </x:c>
      <x:c r="B8" s="2" t="str">
        <x:v>PCB-MAIN</x:v>
      </x:c>
      <x:c r="C8" s="14" t="str">
        <x:v>U7</x:v>
      </x:c>
      <x:c r="D8" s="2" t="str">
        <x:v>Level translator</x:v>
      </x:c>
      <x:c r="E8" s="17" t="str">
        <x:v>Directional 1.8V to 3.3V translator</x:v>
      </x:c>
      <x:c r="F8" s="2" t="str">
        <x:v>Texas Instruments</x:v>
      </x:c>
      <x:c r="G8" s="2" t="str">
        <x:v>SN74AXC8T245PWR</x:v>
      </x:c>
      <x:c r="H8" s="2" t="str">
        <x:v>TSSOP-24</x:v>
      </x:c>
      <x:c r="I8" s="16" t="n">
        <x:v>1</x:v>
      </x:c>
      <x:c r="J8" s="16" t="n">
        <x:v>4</x:v>
      </x:c>
      <x:c r="K8" s="16" t="n">
        <x:v>1</x:v>
      </x:c>
      <x:c r="L8" s="16" t="n">
        <x:v>5</x:v>
      </x:c>
      <x:c r="M8" s="16" t="n">
        <x:v>10</x:v>
      </x:c>
      <x:c r="N8" s="16" t="n">
        <x:v>3</x:v>
      </x:c>
      <x:c r="O8" s="16" t="n">
        <x:v>13</x:v>
      </x:c>
      <x:c r="P8" s="16" t="n">
        <x:v>20</x:v>
      </x:c>
      <x:c r="Q8" s="16" t="n">
        <x:v>5</x:v>
      </x:c>
      <x:c r="R8" s="16" t="n">
        <x:v>25</x:v>
      </x:c>
      <x:c r="S8" s="14" t="str">
        <x:v>SCALE_CEIL_FROM_20_BASELINE</x:v>
      </x:c>
      <x:c r="T8" s="2" t="str">
        <x:v>COMMON</x:v>
      </x:c>
      <x:c r="U8" s="14" t="str">
        <x:v>SELECTED_PENDING_SI_AAD_SAMPLE</x:v>
      </x:c>
      <x:c r="V8" s="17" t="str">
        <x:v>Do not substitute auto-direction device without review</x:v>
      </x:c>
      <x:c r="W8" s="17" t="str">
        <x:v>Logic levels direction leakage sleep test</x:v>
      </x:c>
      <x:c r="X8" s="17" t="str">
        <x:v>Rev.A freeze source MAIN_COMPONENT_FREEZE_REV_A.csv; blockers: PDM skew and final-harness SI; PDM_CLK source termination; THSEL one-wire fanout/timing; measured S0 current</x:v>
      </x:c>
      <x:c r="Y8" s="2" t="str"/>
      <x:c r="Z8" s="2" t="str">
        <x:v>ELECTRICAL_COMPONENT</x:v>
      </x:c>
      <x:c r="AA8" s="2" t="str">
        <x:v>FITTED</x:v>
      </x:c>
      <x:c r="AB8" s="2" t="str">
        <x:v>-40..125</x:v>
      </x:c>
      <x:c r="AC8" s="14" t="str">
        <x:v>CONTROLLED_PENDING_VERIFICATION</x:v>
      </x:c>
    </x:row>
    <x:row r="9">
      <x:c r="A9" s="2" t="str">
        <x:v>U8</x:v>
      </x:c>
      <x:c r="B9" s="2" t="str">
        <x:v>PCB-MAIN</x:v>
      </x:c>
      <x:c r="C9" s="14" t="str">
        <x:v>U8</x:v>
      </x:c>
      <x:c r="D9" s="2" t="str">
        <x:v>Cellular</x:v>
      </x:c>
      <x:c r="E9" s="17" t="str">
        <x:v>LPWA modem Cat M1 NB2 EGPRS</x:v>
      </x:c>
      <x:c r="F9" s="2" t="str">
        <x:v>Quectel</x:v>
      </x:c>
      <x:c r="G9" s="2" t="str">
        <x:v>BG95-M3</x:v>
      </x:c>
      <x:c r="H9" s="2" t="str">
        <x:v>LGA-102_23.6x19.9mm</x:v>
      </x:c>
      <x:c r="I9" s="16" t="n">
        <x:v>1</x:v>
      </x:c>
      <x:c r="J9" s="16" t="n">
        <x:v>4</x:v>
      </x:c>
      <x:c r="K9" s="16" t="n">
        <x:v>1</x:v>
      </x:c>
      <x:c r="L9" s="16" t="n">
        <x:v>5</x:v>
      </x:c>
      <x:c r="M9" s="16" t="n">
        <x:v>10</x:v>
      </x:c>
      <x:c r="N9" s="16" t="n">
        <x:v>3</x:v>
      </x:c>
      <x:c r="O9" s="16" t="n">
        <x:v>13</x:v>
      </x:c>
      <x:c r="P9" s="16" t="n">
        <x:v>20</x:v>
      </x:c>
      <x:c r="Q9" s="16" t="n">
        <x:v>5</x:v>
      </x:c>
      <x:c r="R9" s="16" t="n">
        <x:v>25</x:v>
      </x:c>
      <x:c r="S9" s="14" t="str">
        <x:v>SCALE_CEIL_FROM_20_BASELINE</x:v>
      </x:c>
      <x:c r="T9" s="2" t="str">
        <x:v>COMMON</x:v>
      </x:c>
      <x:c r="U9" s="14" t="str">
        <x:v>SELECTED_PENDING_INCOMING_ID_AND_POST_ASSEMBLY_EVT</x:v>
      </x:c>
      <x:c r="V9" s="17" t="str">
        <x:v>Quectel authorized channel or CM with traceability</x:v>
      </x:c>
      <x:c r="W9" s="17" t="str">
        <x:v>IMEI label firmware RF conducted attach TLS</x:v>
      </x:c>
      <x:c r="X9" s="17" t="str">
        <x:v>Rev.A freeze source MAIN_COMPONENT_FREEZE_REV_A.csv; blockers: ordered module marking and firmware identity at incoming inspection; operator attach; LTE and EGPRS burst; certification; cold-limit qualification</x:v>
      </x:c>
      <x:c r="Y9" s="2" t="str"/>
      <x:c r="Z9" s="2" t="str">
        <x:v>ELECTRICAL_COMPONENT</x:v>
      </x:c>
      <x:c r="AA9" s="2" t="str">
        <x:v>FITTED</x:v>
      </x:c>
      <x:c r="AB9" s="2" t="str">
        <x:v>-35..75 operating; -40..85 extended</x:v>
      </x:c>
      <x:c r="AC9" s="14" t="str">
        <x:v>CONTROLLED_PENDING_VERIFICATION</x:v>
      </x:c>
    </x:row>
    <x:row r="10">
      <x:c r="A10" s="2" t="str">
        <x:v>J-SIM1</x:v>
      </x:c>
      <x:c r="B10" s="2" t="str">
        <x:v>PCB-MAIN</x:v>
      </x:c>
      <x:c r="C10" s="14" t="str">
        <x:v>J6</x:v>
      </x:c>
      <x:c r="D10" s="2" t="str">
        <x:v>SIM</x:v>
      </x:c>
      <x:c r="E10" s="17" t="str">
        <x:v>Nano-SIM push-push connector slot 1</x:v>
      </x:c>
      <x:c r="F10" s="2" t="str">
        <x:v>TE Connectivity</x:v>
      </x:c>
      <x:c r="G10" s="2" t="str">
        <x:v>2336582-1</x:v>
      </x:c>
      <x:c r="H10" s="2" t="str">
        <x:v>Nano-SIM 4FF connector with DET</x:v>
      </x:c>
      <x:c r="I10" s="16" t="n">
        <x:v>1</x:v>
      </x:c>
      <x:c r="J10" s="16" t="n">
        <x:v>4</x:v>
      </x:c>
      <x:c r="K10" s="16" t="n">
        <x:v>1</x:v>
      </x:c>
      <x:c r="L10" s="16" t="n">
        <x:v>5</x:v>
      </x:c>
      <x:c r="M10" s="16" t="n">
        <x:v>10</x:v>
      </x:c>
      <x:c r="N10" s="16" t="n">
        <x:v>3</x:v>
      </x:c>
      <x:c r="O10" s="16" t="n">
        <x:v>13</x:v>
      </x:c>
      <x:c r="P10" s="16" t="n">
        <x:v>20</x:v>
      </x:c>
      <x:c r="Q10" s="16" t="n">
        <x:v>5</x:v>
      </x:c>
      <x:c r="R10" s="16" t="n">
        <x:v>25</x:v>
      </x:c>
      <x:c r="S10" s="14" t="str">
        <x:v>SCALE_CEIL_FROM_20_BASELINE</x:v>
      </x:c>
      <x:c r="T10" s="2" t="str">
        <x:v>COMMON</x:v>
      </x:c>
      <x:c r="U10" s="14" t="str">
        <x:v>TECHNICALLY_SELECTED_PROCUREMENT_RISK</x:v>
      </x:c>
      <x:c r="V10" s="17" t="str">
        <x:v>Approved connector vendor</x:v>
      </x:c>
      <x:c r="W10" s="17" t="str">
        <x:v>Mating cycles card detect coplanarity and ESD</x:v>
      </x:c>
      <x:c r="X10" s="17" t="str">
        <x:v>Rev.A connector freeze; blockers: TE page reports active but not currently available; qualify a pin/footprint/temperature/lifecycle-compatible 4FF DET second source before release</x:v>
      </x:c>
      <x:c r="Y10" s="2" t="str"/>
      <x:c r="Z10" s="2" t="str">
        <x:v>ELECTRICAL_COMPONENT</x:v>
      </x:c>
      <x:c r="AA10" s="2" t="str">
        <x:v>FITTED</x:v>
      </x:c>
      <x:c r="AB10" s="2" t="str">
        <x:v>-40..85</x:v>
      </x:c>
      <x:c r="AC10" s="14" t="str">
        <x:v>CONTROLLED_PENDING_VERIFICATION</x:v>
      </x:c>
    </x:row>
    <x:row r="11">
      <x:c r="A11" s="2" t="str">
        <x:v>J-SIM2</x:v>
      </x:c>
      <x:c r="B11" s="2" t="str">
        <x:v>PCB-MAIN</x:v>
      </x:c>
      <x:c r="C11" s="14" t="str">
        <x:v>J7</x:v>
      </x:c>
      <x:c r="D11" s="2" t="str">
        <x:v>SIM</x:v>
      </x:c>
      <x:c r="E11" s="17" t="str">
        <x:v>Nano-SIM push-push connector slot 2</x:v>
      </x:c>
      <x:c r="F11" s="2" t="str">
        <x:v>TE Connectivity</x:v>
      </x:c>
      <x:c r="G11" s="2" t="str">
        <x:v>2336582-1</x:v>
      </x:c>
      <x:c r="H11" s="2" t="str">
        <x:v>Nano-SIM 4FF connector with DET</x:v>
      </x:c>
      <x:c r="I11" s="16" t="n">
        <x:v>1</x:v>
      </x:c>
      <x:c r="J11" s="16" t="n">
        <x:v>4</x:v>
      </x:c>
      <x:c r="K11" s="16" t="n">
        <x:v>1</x:v>
      </x:c>
      <x:c r="L11" s="16" t="n">
        <x:v>5</x:v>
      </x:c>
      <x:c r="M11" s="16" t="n">
        <x:v>10</x:v>
      </x:c>
      <x:c r="N11" s="16" t="n">
        <x:v>3</x:v>
      </x:c>
      <x:c r="O11" s="16" t="n">
        <x:v>13</x:v>
      </x:c>
      <x:c r="P11" s="16" t="n">
        <x:v>20</x:v>
      </x:c>
      <x:c r="Q11" s="16" t="n">
        <x:v>5</x:v>
      </x:c>
      <x:c r="R11" s="16" t="n">
        <x:v>25</x:v>
      </x:c>
      <x:c r="S11" s="14" t="str">
        <x:v>SCALE_CEIL_FROM_20_BASELINE</x:v>
      </x:c>
      <x:c r="T11" s="2" t="str">
        <x:v>COMMON</x:v>
      </x:c>
      <x:c r="U11" s="14" t="str">
        <x:v>TECHNICALLY_SELECTED_PROCUREMENT_RISK</x:v>
      </x:c>
      <x:c r="V11" s="17" t="str">
        <x:v>Approved connector vendor</x:v>
      </x:c>
      <x:c r="W11" s="17" t="str">
        <x:v>Mating cycles card detect coplanarity and ESD</x:v>
      </x:c>
      <x:c r="X11" s="17" t="str">
        <x:v>Rev.A connector freeze; blockers: same as SIM1; source two identical slots for lot or qualify one common second source</x:v>
      </x:c>
      <x:c r="Y11" s="2" t="str"/>
      <x:c r="Z11" s="2" t="str">
        <x:v>ELECTRICAL_COMPONENT</x:v>
      </x:c>
      <x:c r="AA11" s="2" t="str">
        <x:v>FITTED</x:v>
      </x:c>
      <x:c r="AB11" s="2" t="str">
        <x:v>-40..85</x:v>
      </x:c>
      <x:c r="AC11" s="14" t="str">
        <x:v>CONTROLLED_PENDING_VERIFICATION</x:v>
      </x:c>
    </x:row>
    <x:row r="12">
      <x:c r="A12" s="2" t="str">
        <x:v>U13</x:v>
      </x:c>
      <x:c r="B12" s="2" t="str">
        <x:v>PCB-MAIN</x:v>
      </x:c>
      <x:c r="C12" s="14" t="str">
        <x:v>U13</x:v>
      </x:c>
      <x:c r="D12" s="2" t="str">
        <x:v>SIM switch</x:v>
      </x:c>
      <x:c r="E12" s="17" t="str">
        <x:v>6-channel bidirectional 2 to 1 multiplexer</x:v>
      </x:c>
      <x:c r="F12" s="2" t="str">
        <x:v>Texas Instruments</x:v>
      </x:c>
      <x:c r="G12" s="2" t="str">
        <x:v>TS3A27518EPWR</x:v>
      </x:c>
      <x:c r="H12" s="2" t="str">
        <x:v>TSSOP-24_PW</x:v>
      </x:c>
      <x:c r="I12" s="16" t="n">
        <x:v>1</x:v>
      </x:c>
      <x:c r="J12" s="16" t="n">
        <x:v>4</x:v>
      </x:c>
      <x:c r="K12" s="16" t="n">
        <x:v>1</x:v>
      </x:c>
      <x:c r="L12" s="16" t="n">
        <x:v>5</x:v>
      </x:c>
      <x:c r="M12" s="16" t="n">
        <x:v>10</x:v>
      </x:c>
      <x:c r="N12" s="16" t="n">
        <x:v>3</x:v>
      </x:c>
      <x:c r="O12" s="16" t="n">
        <x:v>13</x:v>
      </x:c>
      <x:c r="P12" s="16" t="n">
        <x:v>20</x:v>
      </x:c>
      <x:c r="Q12" s="16" t="n">
        <x:v>5</x:v>
      </x:c>
      <x:c r="R12" s="16" t="n">
        <x:v>25</x:v>
      </x:c>
      <x:c r="S12" s="14" t="str">
        <x:v>SCALE_CEIL_FROM_20_BASELINE</x:v>
      </x:c>
      <x:c r="T12" s="2" t="str">
        <x:v>COMMON</x:v>
      </x:c>
      <x:c r="U12" s="14" t="str">
        <x:v>SELECTED_PENDING_USIM_SI_SAMPLE</x:v>
      </x:c>
      <x:c r="V12" s="17" t="str">
        <x:v>Authorized distributor or traceable tier-1 channel</x:v>
      </x:c>
      <x:c r="W12" s="17" t="str">
        <x:v>Marking supply leakage Ron capacitance and 100 switch cycles</x:v>
      </x:c>
      <x:c r="X12" s="17" t="str">
        <x:v>Rev.A freeze source MAIN_COMPONENT_FREEZE_REV_A.csv; blockers: selected-card VDD minimum; CLK/DATA edge integrity; leakage and reset isolation</x:v>
      </x:c>
      <x:c r="Y12" s="2" t="str"/>
      <x:c r="Z12" s="2" t="str">
        <x:v>ELECTRICAL_COMPONENT</x:v>
      </x:c>
      <x:c r="AA12" s="2" t="str">
        <x:v>FITTED</x:v>
      </x:c>
      <x:c r="AB12" s="2" t="str">
        <x:v>-40..85</x:v>
      </x:c>
      <x:c r="AC12" s="14" t="str">
        <x:v>CONTROLLED_PENDING_VERIFICATION</x:v>
      </x:c>
    </x:row>
    <x:row r="13">
      <x:c r="A13" s="2" t="str">
        <x:v>U14-U15</x:v>
      </x:c>
      <x:c r="B13" s="2" t="str">
        <x:v>PCB-MAIN</x:v>
      </x:c>
      <x:c r="C13" s="14" t="str">
        <x:v>U14;U15</x:v>
      </x:c>
      <x:c r="D13" s="2" t="str">
        <x:v>ESD</x:v>
      </x:c>
      <x:c r="E13" s="17" t="str">
        <x:v>Low-capacitance TVS array for each SIM connector</x:v>
      </x:c>
      <x:c r="F13" s="2" t="str">
        <x:v>STMicroelectronics</x:v>
      </x:c>
      <x:c r="G13" s="2" t="str">
        <x:v>ESDALC6V1-5P6</x:v>
      </x:c>
      <x:c r="H13" s="2" t="str">
        <x:v>SOT666_1.6x1.6mm</x:v>
      </x:c>
      <x:c r="I13" s="16" t="n">
        <x:v>2</x:v>
      </x:c>
      <x:c r="J13" s="16" t="n">
        <x:v>8</x:v>
      </x:c>
      <x:c r="K13" s="16" t="n">
        <x:v>2</x:v>
      </x:c>
      <x:c r="L13" s="16" t="n">
        <x:v>10</x:v>
      </x:c>
      <x:c r="M13" s="16" t="n">
        <x:v>20</x:v>
      </x:c>
      <x:c r="N13" s="16" t="n">
        <x:v>5</x:v>
      </x:c>
      <x:c r="O13" s="16" t="n">
        <x:v>25</x:v>
      </x:c>
      <x:c r="P13" s="16" t="n">
        <x:v>40</x:v>
      </x:c>
      <x:c r="Q13" s="16" t="n">
        <x:v>10</x:v>
      </x:c>
      <x:c r="R13" s="16" t="n">
        <x:v>50</x:v>
      </x:c>
      <x:c r="S13" s="14" t="str">
        <x:v>SCALE_CEIL_FROM_20_BASELINE</x:v>
      </x:c>
      <x:c r="T13" s="2" t="str">
        <x:v>COMMON</x:v>
      </x:c>
      <x:c r="U13" s="14" t="str">
        <x:v>SELECTED_PENDING_SIM_ESD_SI_SAMPLE</x:v>
      </x:c>
      <x:c r="V13" s="17" t="str">
        <x:v>Authorized distributor</x:v>
      </x:c>
      <x:c r="W13" s="17" t="str">
        <x:v>Capacitance leakage ESD rating marking</x:v>
      </x:c>
      <x:c r="X13" s="17" t="str">
        <x:v>Two identical five-line SIM ESD arrays; exact maps in PCB_MAIN_DUAL_SIM_PIN_AUTHORITY_REV_A.csv</x:v>
      </x:c>
      <x:c r="Y13" s="2" t="str"/>
      <x:c r="Z13" s="2" t="str">
        <x:v>ELECTRICAL_COMPONENT</x:v>
      </x:c>
      <x:c r="AA13" s="2" t="str">
        <x:v>FITTED</x:v>
      </x:c>
      <x:c r="AB13" s="2" t="str">
        <x:v>-40..125</x:v>
      </x:c>
      <x:c r="AC13" s="14" t="str">
        <x:v>CONTROLLED_PENDING_VERIFICATION</x:v>
      </x:c>
    </x:row>
    <x:row r="14">
      <x:c r="A14" s="2" t="str">
        <x:v>U9</x:v>
      </x:c>
      <x:c r="B14" s="2" t="str">
        <x:v>PCB-MAIN</x:v>
      </x:c>
      <x:c r="C14" s="14" t="str">
        <x:v>U9</x:v>
      </x:c>
      <x:c r="D14" s="2" t="str">
        <x:v>GNSS</x:v>
      </x:c>
      <x:c r="E14" s="17" t="str">
        <x:v>Independent GNSS with TIMEPULSE</x:v>
      </x:c>
      <x:c r="F14" s="2" t="str">
        <x:v>u-blox</x:v>
      </x:c>
      <x:c r="G14" s="2" t="str">
        <x:v>MAX-M10S-00B</x:v>
      </x:c>
      <x:c r="H14" s="2" t="str">
        <x:v>LCC-18_9.7x10.1mm</x:v>
      </x:c>
      <x:c r="I14" s="16" t="n">
        <x:v>1</x:v>
      </x:c>
      <x:c r="J14" s="16" t="n">
        <x:v>4</x:v>
      </x:c>
      <x:c r="K14" s="16" t="n">
        <x:v>1</x:v>
      </x:c>
      <x:c r="L14" s="16" t="n">
        <x:v>5</x:v>
      </x:c>
      <x:c r="M14" s="16" t="n">
        <x:v>10</x:v>
      </x:c>
      <x:c r="N14" s="16" t="n">
        <x:v>3</x:v>
      </x:c>
      <x:c r="O14" s="16" t="n">
        <x:v>13</x:v>
      </x:c>
      <x:c r="P14" s="16" t="n">
        <x:v>20</x:v>
      </x:c>
      <x:c r="Q14" s="16" t="n">
        <x:v>5</x:v>
      </x:c>
      <x:c r="R14" s="16" t="n">
        <x:v>25</x:v>
      </x:c>
      <x:c r="S14" s="14" t="str">
        <x:v>SCALE_CEIL_FROM_20_BASELINE</x:v>
      </x:c>
      <x:c r="T14" s="2" t="str">
        <x:v>COMMON</x:v>
      </x:c>
      <x:c r="U14" s="14" t="str">
        <x:v>SELECTED_PENDING_GNSS_RF_TIMING_SAMPLE</x:v>
      </x:c>
      <x:c r="V14" s="17" t="str">
        <x:v>Authorized distributor or traceable module channel</x:v>
      </x:c>
      <x:c r="W14" s="17" t="str">
        <x:v>Marking firmware satellite fix PPS test</x:v>
      </x:c>
      <x:c r="X14" s="17" t="str">
        <x:v>Rev.A freeze source MAIN_COMPONENT_FREEZE_REV_A.csv; blockers: active antenna and cable; SAW/coexistence; supervisor fault response; PPS and holdover</x:v>
      </x:c>
      <x:c r="Y14" s="2" t="str"/>
      <x:c r="Z14" s="2" t="str">
        <x:v>ELECTRICAL_COMPONENT</x:v>
      </x:c>
      <x:c r="AA14" s="2" t="str">
        <x:v>FITTED</x:v>
      </x:c>
      <x:c r="AB14" s="2" t="str">
        <x:v>-40..85</x:v>
      </x:c>
      <x:c r="AC14" s="14" t="str">
        <x:v>CONTROLLED_PENDING_VERIFICATION</x:v>
      </x:c>
    </x:row>
    <x:row r="15">
      <x:c r="A15" s="2" t="str">
        <x:v>U10</x:v>
      </x:c>
      <x:c r="B15" s="2" t="str">
        <x:v>PCB-MAIN</x:v>
      </x:c>
      <x:c r="C15" s="14" t="str">
        <x:v>U10</x:v>
      </x:c>
      <x:c r="D15" s="2" t="str">
        <x:v>LoRa</x:v>
      </x:c>
      <x:c r="E15" s="17" t="str">
        <x:v>850-930 MHz 22 dBm SX1262 SPI module</x:v>
      </x:c>
      <x:c r="F15" s="2" t="str">
        <x:v>Ebyte</x:v>
      </x:c>
      <x:c r="G15" s="2" t="str">
        <x:v>E22-900M22S</x:v>
      </x:c>
      <x:c r="H15" s="2" t="str">
        <x:v>SMD_20x14_22P_1.27mm</x:v>
      </x:c>
      <x:c r="I15" s="16" t="n">
        <x:v>1</x:v>
      </x:c>
      <x:c r="J15" s="16" t="n">
        <x:v>4</x:v>
      </x:c>
      <x:c r="K15" s="16" t="n">
        <x:v>2</x:v>
      </x:c>
      <x:c r="L15" s="16" t="n">
        <x:v>6</x:v>
      </x:c>
      <x:c r="M15" s="16" t="n">
        <x:v>10</x:v>
      </x:c>
      <x:c r="N15" s="16" t="n">
        <x:v>3</x:v>
      </x:c>
      <x:c r="O15" s="16" t="n">
        <x:v>13</x:v>
      </x:c>
      <x:c r="P15" s="16" t="n">
        <x:v>20</x:v>
      </x:c>
      <x:c r="Q15" s="16" t="n">
        <x:v>6</x:v>
      </x:c>
      <x:c r="R15" s="16" t="n">
        <x:v>26</x:v>
      </x:c>
      <x:c r="S15" s="14" t="str">
        <x:v>SCALE_CEIL_FROM_20_BASELINE</x:v>
      </x:c>
      <x:c r="T15" s="2" t="str">
        <x:v>RU868_PILOT</x:v>
      </x:c>
      <x:c r="U15" s="14" t="str">
        <x:v>SELECTED_PENDING_CASTELLATED_OPTION_RF_REGULATORY</x:v>
      </x:c>
      <x:c r="V15" s="17" t="str">
        <x:v>Ebyte official store or authorized distributor</x:v>
      </x:c>
      <x:c r="W15" s="17" t="str">
        <x:v>Marking antenna-interface option firmware conducted power sensitivity sleep current</x:v>
      </x:c>
      <x:c r="X15" s="17" t="str">
        <x:v>Rev.A freeze source MAIN_COMPONENT_FREEZE_REV_A.csv; blockers: supplier confirmation of castellated ANT option with no fitted module IPEX; RU868 conducted/radiated test; current; supply availability</x:v>
      </x:c>
      <x:c r="Y15" s="2" t="str"/>
      <x:c r="Z15" s="2" t="str">
        <x:v>ELECTRICAL_COMPONENT</x:v>
      </x:c>
      <x:c r="AA15" s="2" t="str">
        <x:v>FITTED</x:v>
      </x:c>
      <x:c r="AB15" s="2" t="str">
        <x:v>-40..85</x:v>
      </x:c>
      <x:c r="AC15" s="14" t="str">
        <x:v>CONTROLLED_PENDING_VERIFICATION</x:v>
      </x:c>
    </x:row>
    <x:row r="16">
      <x:c r="A16" s="2" t="str">
        <x:v>U11</x:v>
      </x:c>
      <x:c r="B16" s="2" t="str">
        <x:v>PCB-MAIN</x:v>
      </x:c>
      <x:c r="C16" s="14" t="str">
        <x:v>U11</x:v>
      </x:c>
      <x:c r="D16" s="2" t="str">
        <x:v>BLE</x:v>
      </x:c>
      <x:c r="E16" s="17" t="str">
        <x:v>BLE commissioning diagnostics and signed OTA coprocessor</x:v>
      </x:c>
      <x:c r="F16" s="2" t="str">
        <x:v>Raytac</x:v>
      </x:c>
      <x:c r="G16" s="2" t="str">
        <x:v>MDBT50Q-P1MV2</x:v>
      </x:c>
      <x:c r="H16" s="2" t="str">
        <x:v>nRF52840_SMD_10.5x15.5_61P_PCB_antenna</x:v>
      </x:c>
      <x:c r="I16" s="16" t="n">
        <x:v>1</x:v>
      </x:c>
      <x:c r="J16" s="16" t="n">
        <x:v>4</x:v>
      </x:c>
      <x:c r="K16" s="16" t="n">
        <x:v>1</x:v>
      </x:c>
      <x:c r="L16" s="16" t="n">
        <x:v>5</x:v>
      </x:c>
      <x:c r="M16" s="16" t="n">
        <x:v>10</x:v>
      </x:c>
      <x:c r="N16" s="16" t="n">
        <x:v>3</x:v>
      </x:c>
      <x:c r="O16" s="16" t="n">
        <x:v>13</x:v>
      </x:c>
      <x:c r="P16" s="16" t="n">
        <x:v>20</x:v>
      </x:c>
      <x:c r="Q16" s="16" t="n">
        <x:v>5</x:v>
      </x:c>
      <x:c r="R16" s="16" t="n">
        <x:v>25</x:v>
      </x:c>
      <x:c r="S16" s="14" t="str">
        <x:v>SCALE_CEIL_FROM_20_BASELINE</x:v>
      </x:c>
      <x:c r="T16" s="2" t="str">
        <x:v>COMMON</x:v>
      </x:c>
      <x:c r="U16" s="14" t="str">
        <x:v>SELECTED_PENDING_ENCLOSURE_RF</x:v>
      </x:c>
      <x:c r="V16" s="17" t="str">
        <x:v>Raytac authorized channel or traceable distributor</x:v>
      </x:c>
      <x:c r="W16" s="17" t="str">
        <x:v>Module label firmware BLE 2M coded PHY pairing OTA current RF range and temperature test</x:v>
      </x:c>
      <x:c r="X16" s="17" t="str">
        <x:v>Rev.A freeze source MAIN_COMPONENT_FREEZE_REV_A.csv; blockers: 2.4 GHz enclosure range; SWD/DFU/reset firmware and evidence</x:v>
      </x:c>
      <x:c r="Y16" s="2" t="str"/>
      <x:c r="Z16" s="2" t="str">
        <x:v>ELECTRICAL_COMPONENT</x:v>
      </x:c>
      <x:c r="AA16" s="2" t="str">
        <x:v>FITTED</x:v>
      </x:c>
      <x:c r="AB16" s="2" t="str">
        <x:v>-40..85</x:v>
      </x:c>
      <x:c r="AC16" s="14" t="str">
        <x:v>CONTROLLED_PENDING_VERIFICATION</x:v>
      </x:c>
    </x:row>
    <x:row r="17">
      <x:c r="A17" s="2" t="str">
        <x:v>U12</x:v>
      </x:c>
      <x:c r="B17" s="2" t="str">
        <x:v>PCB-MAIN</x:v>
      </x:c>
      <x:c r="C17" s="14" t="str">
        <x:v>U12</x:v>
      </x:c>
      <x:c r="D17" s="2" t="str">
        <x:v>Storage</x:v>
      </x:c>
      <x:c r="E17" s="17" t="str">
        <x:v>Industrial microSD 32 GB</x:v>
      </x:c>
      <x:c r="F17" s="2" t="str">
        <x:v>Kingston</x:v>
      </x:c>
      <x:c r="G17" s="2" t="str">
        <x:v>SDCIT2/32GB</x:v>
      </x:c>
      <x:c r="H17" s="2" t="str">
        <x:v>microSD_card_8_contact</x:v>
      </x:c>
      <x:c r="I17" s="16" t="n">
        <x:v>1</x:v>
      </x:c>
      <x:c r="J17" s="16" t="n">
        <x:v>4</x:v>
      </x:c>
      <x:c r="K17" s="16" t="n">
        <x:v>1</x:v>
      </x:c>
      <x:c r="L17" s="16" t="n">
        <x:v>5</x:v>
      </x:c>
      <x:c r="M17" s="16" t="n">
        <x:v>10</x:v>
      </x:c>
      <x:c r="N17" s="16" t="n">
        <x:v>3</x:v>
      </x:c>
      <x:c r="O17" s="16" t="n">
        <x:v>13</x:v>
      </x:c>
      <x:c r="P17" s="16" t="n">
        <x:v>20</x:v>
      </x:c>
      <x:c r="Q17" s="16" t="n">
        <x:v>5</x:v>
      </x:c>
      <x:c r="R17" s="16" t="n">
        <x:v>25</x:v>
      </x:c>
      <x:c r="S17" s="14" t="str">
        <x:v>SCALE_CEIL_FROM_20_BASELINE</x:v>
      </x:c>
      <x:c r="T17" s="2" t="str">
        <x:v>COMMON</x:v>
      </x:c>
      <x:c r="U17" s="14" t="str">
        <x:v>SELECTED_PENDING_SAMPLE_ENDURANCE</x:v>
      </x:c>
      <x:c r="V17" s="17" t="str">
        <x:v>Kingston authorized channel</x:v>
      </x:c>
      <x:c r="W17" s="17" t="str">
        <x:v>CID capacity full write/read temperature and power-loss sample</x:v>
      </x:c>
      <x:c r="X17" s="17" t="str">
        <x:v>Rev.A freeze source MAIN_COMPONENT_FREEZE_REV_A.csv; blockers: authorized-channel procurement; CID/capacity; full write/read; temperature and power-loss sample</x:v>
      </x:c>
      <x:c r="Y17" s="2" t="str"/>
      <x:c r="Z17" s="2" t="str">
        <x:v>ELECTRICAL_COMPONENT</x:v>
      </x:c>
      <x:c r="AA17" s="2" t="str">
        <x:v>FITTED</x:v>
      </x:c>
      <x:c r="AB17" s="2" t="str">
        <x:v>-40..85</x:v>
      </x:c>
      <x:c r="AC17" s="14" t="str">
        <x:v>CONTROLLED_PENDING_VERIFICATION</x:v>
      </x:c>
    </x:row>
    <x:row r="18">
      <x:c r="A18" s="2" t="str">
        <x:v>J-SD1</x:v>
      </x:c>
      <x:c r="B18" s="2" t="str">
        <x:v>PCB-MAIN</x:v>
      </x:c>
      <x:c r="C18" s="14" t="str">
        <x:v>J12</x:v>
      </x:c>
      <x:c r="D18" s="2" t="str">
        <x:v>Connector</x:v>
      </x:c>
      <x:c r="E18" s="17" t="str">
        <x:v>microSD push-push connector with detect</x:v>
      </x:c>
      <x:c r="F18" s="2" t="str">
        <x:v>GCT</x:v>
      </x:c>
      <x:c r="G18" s="2" t="str">
        <x:v>MEM2052-00-195-00-A</x:v>
      </x:c>
      <x:c r="H18" s="2" t="str">
        <x:v>microSD push-push SMT 1.95 mm with detect</x:v>
      </x:c>
      <x:c r="I18" s="16" t="n">
        <x:v>1</x:v>
      </x:c>
      <x:c r="J18" s="16" t="n">
        <x:v>4</x:v>
      </x:c>
      <x:c r="K18" s="16" t="n">
        <x:v>1</x:v>
      </x:c>
      <x:c r="L18" s="16" t="n">
        <x:v>5</x:v>
      </x:c>
      <x:c r="M18" s="16" t="n">
        <x:v>10</x:v>
      </x:c>
      <x:c r="N18" s="16" t="n">
        <x:v>3</x:v>
      </x:c>
      <x:c r="O18" s="16" t="n">
        <x:v>13</x:v>
      </x:c>
      <x:c r="P18" s="16" t="n">
        <x:v>20</x:v>
      </x:c>
      <x:c r="Q18" s="16" t="n">
        <x:v>5</x:v>
      </x:c>
      <x:c r="R18" s="16" t="n">
        <x:v>25</x:v>
      </x:c>
      <x:c r="S18" s="14" t="str">
        <x:v>SCALE_CEIL_FROM_20_BASELINE</x:v>
      </x:c>
      <x:c r="T18" s="2" t="str">
        <x:v>COMMON</x:v>
      </x:c>
      <x:c r="U18" s="14" t="str">
        <x:v>MECHANICAL_AUTHORITY_FROZEN_PENDING_PHYSICAL_TEST</x:v>
      </x:c>
      <x:c r="V18" s="17" t="str">
        <x:v>Authorized GCT distributor</x:v>
      </x:c>
      <x:c r="W18" s="17" t="str">
        <x:v>Mating detect coplanarity and cycle sample</x:v>
      </x:c>
      <x:c r="X18" s="17" t="str">
        <x:v>Rev.A connector freeze; exact electrical map in PCB_MAIN_CONNECTOR_FIXTURE_PIN_AUTHORITY_REV_A.csv; blockers: card retention cycle and power-loss test; service-cover seal</x:v>
      </x:c>
      <x:c r="Y18" s="2" t="str"/>
      <x:c r="Z18" s="2" t="str">
        <x:v>ELECTRICAL_COMPONENT</x:v>
      </x:c>
      <x:c r="AA18" s="2" t="str">
        <x:v>FITTED</x:v>
      </x:c>
      <x:c r="AB18" s="2" t="str">
        <x:v>-40..85</x:v>
      </x:c>
      <x:c r="AC18" s="14" t="str">
        <x:v>CONTROLLED_PENDING_VERIFICATION</x:v>
      </x:c>
    </x:row>
    <x:row r="19">
      <x:c r="A19" s="2" t="str">
        <x:v>J-TAMPER</x:v>
      </x:c>
      <x:c r="B19" s="2" t="str">
        <x:v>PCB-MAIN</x:v>
      </x:c>
      <x:c r="C19" s="14" t="str">
        <x:v>J13</x:v>
      </x:c>
      <x:c r="D19" s="2" t="str">
        <x:v>Connector</x:v>
      </x:c>
      <x:c r="E19" s="17" t="str">
        <x:v>Two-position normally-closed tamper loop</x:v>
      </x:c>
      <x:c r="F19" s="2" t="str">
        <x:v>Molex</x:v>
      </x:c>
      <x:c r="G19" s="2" t="str">
        <x:v>5040500291</x:v>
      </x:c>
      <x:c r="H19" s="2" t="str">
        <x:v>Pico-Lock 1.50 mm 2-circuit right-angle SMT</x:v>
      </x:c>
      <x:c r="I19" s="16" t="n">
        <x:v>1</x:v>
      </x:c>
      <x:c r="J19" s="16" t="n">
        <x:v>4</x:v>
      </x:c>
      <x:c r="K19" s="16" t="n">
        <x:v>1</x:v>
      </x:c>
      <x:c r="L19" s="16" t="n">
        <x:v>5</x:v>
      </x:c>
      <x:c r="M19" s="16" t="n">
        <x:v>10</x:v>
      </x:c>
      <x:c r="N19" s="16" t="n">
        <x:v>3</x:v>
      </x:c>
      <x:c r="O19" s="16" t="n">
        <x:v>13</x:v>
      </x:c>
      <x:c r="P19" s="16" t="n">
        <x:v>20</x:v>
      </x:c>
      <x:c r="Q19" s="16" t="n">
        <x:v>5</x:v>
      </x:c>
      <x:c r="R19" s="16" t="n">
        <x:v>25</x:v>
      </x:c>
      <x:c r="S19" s="14" t="str">
        <x:v>SCALE_CEIL_FROM_20_BASELINE</x:v>
      </x:c>
      <x:c r="T19" s="2" t="str">
        <x:v>COMMON</x:v>
      </x:c>
      <x:c r="U19" s="14" t="str">
        <x:v>MECHANICAL_AUTHORITY_FROZEN_PENDING_PHYSICAL_TEST</x:v>
      </x:c>
      <x:c r="V19" s="17" t="str">
        <x:v>Authorized Molex distributor</x:v>
      </x:c>
      <x:c r="W19" s="17" t="str">
        <x:v>Mating pull continuity cable-break and cover-open fault coverage</x:v>
      </x:c>
      <x:c r="X19" s="17" t="str">
        <x:v>Rev.A connector freeze; exact electrical map in PCB_MAIN_CONNECTOR_FIXTURE_PIN_AUTHORITY_REV_A.csv; blockers: cable length and strain relief; pull and fault-coverage test</x:v>
      </x:c>
      <x:c r="Y19" s="2" t="str"/>
      <x:c r="Z19" s="2" t="str">
        <x:v>ELECTRICAL_COMPONENT</x:v>
      </x:c>
      <x:c r="AA19" s="2" t="str">
        <x:v>FITTED</x:v>
      </x:c>
      <x:c r="AB19" s="2" t="str">
        <x:v>-40..105</x:v>
      </x:c>
      <x:c r="AC19" s="14" t="str">
        <x:v>CONTROLLED_PENDING_VERIFICATION</x:v>
      </x:c>
    </x:row>
    <x:row r="20">
      <x:c r="A20" s="2" t="str">
        <x:v>J-PWR-MAIN</x:v>
      </x:c>
      <x:c r="B20" s="2" t="str">
        <x:v>PCB-MAIN</x:v>
      </x:c>
      <x:c r="C20" s="14" t="str">
        <x:v>J_PWR</x:v>
      </x:c>
      <x:c r="D20" s="2" t="str">
        <x:v>Connector</x:v>
      </x:c>
      <x:c r="E20" s="17" t="str">
        <x:v>Power/control/I2C harness from PCB-PWR</x:v>
      </x:c>
      <x:c r="F20" s="2" t="str">
        <x:v>Molex</x:v>
      </x:c>
      <x:c r="G20" s="2" t="str">
        <x:v>430451202</x:v>
      </x:c>
      <x:c r="H20" s="2" t="str">
        <x:v>12 positions</x:v>
      </x:c>
      <x:c r="I20" s="16" t="n">
        <x:v>1</x:v>
      </x:c>
      <x:c r="J20" s="16" t="n">
        <x:v>4</x:v>
      </x:c>
      <x:c r="K20" s="16" t="n">
        <x:v>1</x:v>
      </x:c>
      <x:c r="L20" s="16" t="n">
        <x:v>5</x:v>
      </x:c>
      <x:c r="M20" s="16" t="n">
        <x:v>10</x:v>
      </x:c>
      <x:c r="N20" s="16" t="n">
        <x:v>3</x:v>
      </x:c>
      <x:c r="O20" s="16" t="n">
        <x:v>13</x:v>
      </x:c>
      <x:c r="P20" s="16" t="n">
        <x:v>20</x:v>
      </x:c>
      <x:c r="Q20" s="16" t="n">
        <x:v>5</x:v>
      </x:c>
      <x:c r="R20" s="16" t="n">
        <x:v>25</x:v>
      </x:c>
      <x:c r="S20" s="14" t="str">
        <x:v>SCALE_CEIL_FROM_20_BASELINE</x:v>
      </x:c>
      <x:c r="T20" s="2" t="str">
        <x:v>COMMON</x:v>
      </x:c>
      <x:c r="U20" s="14" t="str">
        <x:v>MECHANICAL_AUTHORITY_FROZEN_PENDING_HARNESS_SI</x:v>
      </x:c>
      <x:c r="V20" s="17" t="str">
        <x:v>Authorized Molex distributor</x:v>
      </x:c>
      <x:c r="W20" s="17" t="str">
        <x:v>Marking dimensions latch mate continuity</x:v>
      </x:c>
      <x:c r="X20" s="17" t="str">
        <x:v>Mating Molex_430251200; terminal Molex_430300038 power; Molex_430300001 control/I2C; blockers: I2C harness capacitance and pull-up validation; mating harness bend and pull test</x:v>
      </x:c>
      <x:c r="Y20" s="2" t="str"/>
      <x:c r="Z20" s="2" t="str">
        <x:v>ELECTRICAL_COMPONENT</x:v>
      </x:c>
      <x:c r="AA20" s="2" t="str">
        <x:v>FITTED</x:v>
      </x:c>
      <x:c r="AB20" s="2" t="str">
        <x:v>header -40..125; housing -40..105</x:v>
      </x:c>
      <x:c r="AC20" s="14" t="str">
        <x:v>CONTROLLED_PENDING_VERIFICATION</x:v>
      </x:c>
    </x:row>
    <x:row r="21">
      <x:c r="A21" s="2" t="str">
        <x:v>J-RF-CELL</x:v>
      </x:c>
      <x:c r="B21" s="2" t="str">
        <x:v>PCB-MAIN</x:v>
      </x:c>
      <x:c r="C21" s="14" t="str">
        <x:v>J8</x:v>
      </x:c>
      <x:c r="D21" s="2" t="str">
        <x:v>RF connector</x:v>
      </x:c>
      <x:c r="E21" s="17" t="str">
        <x:v>Cellular RF connector</x:v>
      </x:c>
      <x:c r="F21" s="2" t="str">
        <x:v>Hirose</x:v>
      </x:c>
      <x:c r="G21" s="2" t="str">
        <x:v>U.FL-R-SMT-1(60)</x:v>
      </x:c>
      <x:c r="H21" s="2" t="str">
        <x:v>U.FL SMT receptacle</x:v>
      </x:c>
      <x:c r="I21" s="16" t="n">
        <x:v>1</x:v>
      </x:c>
      <x:c r="J21" s="16" t="n">
        <x:v>4</x:v>
      </x:c>
      <x:c r="K21" s="16" t="n">
        <x:v>2</x:v>
      </x:c>
      <x:c r="L21" s="16" t="n">
        <x:v>6</x:v>
      </x:c>
      <x:c r="M21" s="16" t="n">
        <x:v>10</x:v>
      </x:c>
      <x:c r="N21" s="16" t="n">
        <x:v>4</x:v>
      </x:c>
      <x:c r="O21" s="16" t="n">
        <x:v>14</x:v>
      </x:c>
      <x:c r="P21" s="16" t="n">
        <x:v>20</x:v>
      </x:c>
      <x:c r="Q21" s="16" t="n">
        <x:v>8</x:v>
      </x:c>
      <x:c r="R21" s="16" t="n">
        <x:v>28</x:v>
      </x:c>
      <x:c r="S21" s="14" t="str">
        <x:v>SCALE_CEIL_FROM_20_BASELINE</x:v>
      </x:c>
      <x:c r="T21" s="2" t="str">
        <x:v>COMMON</x:v>
      </x:c>
      <x:c r="U21" s="14" t="str">
        <x:v>LAYOUT_ZONE_FROZEN_PENDING_RF_VALIDATION</x:v>
      </x:c>
      <x:c r="V21" s="17" t="str">
        <x:v>Authorized Hirose distributor</x:v>
      </x:c>
      <x:c r="W21" s="17" t="str">
        <x:v>Visual mate gauge continuity VNA and VSWR</x:v>
      </x:c>
      <x:c r="X21" s="17" t="str">
        <x:v>Rev.A connector freeze; coax assembly and RF validation remain blocking: CAB.0243 MHF-I/U.FL-compatible mate and retention; 150 mm route and 6.8 mm minimum bend; bulkhead seal and numeric IP classification; installed cellular VNA/VSWR and coexistence</x:v>
      </x:c>
      <x:c r="Y21" s="2" t="str"/>
      <x:c r="Z21" s="2" t="str">
        <x:v>ELECTRICAL_COMPONENT</x:v>
      </x:c>
      <x:c r="AA21" s="2" t="str">
        <x:v>FITTED</x:v>
      </x:c>
      <x:c r="AB21" s="2" t="str">
        <x:v>-40..90</x:v>
      </x:c>
      <x:c r="AC21" s="14" t="str">
        <x:v>CONTROLLED_PENDING_VERIFICATION</x:v>
      </x:c>
    </x:row>
    <x:row r="22">
      <x:c r="A22" s="2" t="str">
        <x:v>J-RF-GNSS</x:v>
      </x:c>
      <x:c r="B22" s="2" t="str">
        <x:v>PCB-MAIN</x:v>
      </x:c>
      <x:c r="C22" s="14" t="str">
        <x:v>J9</x:v>
      </x:c>
      <x:c r="D22" s="2" t="str">
        <x:v>RF connector</x:v>
      </x:c>
      <x:c r="E22" s="17" t="str">
        <x:v>GNSS RF connector</x:v>
      </x:c>
      <x:c r="F22" s="2" t="str">
        <x:v>Hirose</x:v>
      </x:c>
      <x:c r="G22" s="2" t="str">
        <x:v>U.FL-R-SMT-1(60)</x:v>
      </x:c>
      <x:c r="H22" s="2" t="str">
        <x:v>U.FL SMT receptacle</x:v>
      </x:c>
      <x:c r="I22" s="16" t="n">
        <x:v>1</x:v>
      </x:c>
      <x:c r="J22" s="16" t="n">
        <x:v>4</x:v>
      </x:c>
      <x:c r="K22" s="16" t="n">
        <x:v>2</x:v>
      </x:c>
      <x:c r="L22" s="16" t="n">
        <x:v>6</x:v>
      </x:c>
      <x:c r="M22" s="16" t="n">
        <x:v>10</x:v>
      </x:c>
      <x:c r="N22" s="16" t="n">
        <x:v>4</x:v>
      </x:c>
      <x:c r="O22" s="16" t="n">
        <x:v>14</x:v>
      </x:c>
      <x:c r="P22" s="16" t="n">
        <x:v>20</x:v>
      </x:c>
      <x:c r="Q22" s="16" t="n">
        <x:v>8</x:v>
      </x:c>
      <x:c r="R22" s="16" t="n">
        <x:v>28</x:v>
      </x:c>
      <x:c r="S22" s="14" t="str">
        <x:v>SCALE_CEIL_FROM_20_BASELINE</x:v>
      </x:c>
      <x:c r="T22" s="2" t="str">
        <x:v>COMMON</x:v>
      </x:c>
      <x:c r="U22" s="14" t="str">
        <x:v>LAYOUT_ZONE_FROZEN_PENDING_RF_VALIDATION</x:v>
      </x:c>
      <x:c r="V22" s="17" t="str">
        <x:v>Authorized Hirose distributor</x:v>
      </x:c>
      <x:c r="W22" s="17" t="str">
        <x:v>Visual mate gauge continuity receiver sensitivity and active-antenna current</x:v>
      </x:c>
      <x:c r="X22" s="17" t="str">
        <x:v>Rev.A connector freeze; coax assembly and RF validation remain blocking: exact active antenna and cable; CAB.0243 MHF-I/U.FL-compatible mate and retention; 150 mm route and 6.8 mm minimum bend; bulkhead seal and numeric IP classification; VNA/receiver sensitivity</x:v>
      </x:c>
      <x:c r="Y22" s="2" t="str"/>
      <x:c r="Z22" s="2" t="str">
        <x:v>ELECTRICAL_COMPONENT</x:v>
      </x:c>
      <x:c r="AA22" s="2" t="str">
        <x:v>FITTED</x:v>
      </x:c>
      <x:c r="AB22" s="2" t="str">
        <x:v>-40..90</x:v>
      </x:c>
      <x:c r="AC22" s="14" t="str">
        <x:v>CONTROLLED_PENDING_VERIFICATION</x:v>
      </x:c>
    </x:row>
    <x:row r="23">
      <x:c r="A23" s="2" t="str">
        <x:v>J-RF-LORA</x:v>
      </x:c>
      <x:c r="B23" s="2" t="str">
        <x:v>PCB-MAIN</x:v>
      </x:c>
      <x:c r="C23" s="14" t="str">
        <x:v>J10</x:v>
      </x:c>
      <x:c r="D23" s="2" t="str">
        <x:v>RF connector</x:v>
      </x:c>
      <x:c r="E23" s="17" t="str">
        <x:v>LoRa RF connector</x:v>
      </x:c>
      <x:c r="F23" s="2" t="str">
        <x:v>Hirose</x:v>
      </x:c>
      <x:c r="G23" s="2" t="str">
        <x:v>U.FL-R-SMT-1(60)</x:v>
      </x:c>
      <x:c r="H23" s="2" t="str">
        <x:v>U.FL SMT receptacle</x:v>
      </x:c>
      <x:c r="I23" s="16" t="n">
        <x:v>1</x:v>
      </x:c>
      <x:c r="J23" s="16" t="n">
        <x:v>4</x:v>
      </x:c>
      <x:c r="K23" s="16" t="n">
        <x:v>2</x:v>
      </x:c>
      <x:c r="L23" s="16" t="n">
        <x:v>6</x:v>
      </x:c>
      <x:c r="M23" s="16" t="n">
        <x:v>10</x:v>
      </x:c>
      <x:c r="N23" s="16" t="n">
        <x:v>4</x:v>
      </x:c>
      <x:c r="O23" s="16" t="n">
        <x:v>14</x:v>
      </x:c>
      <x:c r="P23" s="16" t="n">
        <x:v>20</x:v>
      </x:c>
      <x:c r="Q23" s="16" t="n">
        <x:v>8</x:v>
      </x:c>
      <x:c r="R23" s="16" t="n">
        <x:v>28</x:v>
      </x:c>
      <x:c r="S23" s="14" t="str">
        <x:v>SCALE_CEIL_FROM_20_BASELINE</x:v>
      </x:c>
      <x:c r="T23" s="2" t="str">
        <x:v>RU868_PILOT</x:v>
      </x:c>
      <x:c r="U23" s="14" t="str">
        <x:v>LAYOUT_ZONE_FROZEN_PENDING_RF_VALIDATION</x:v>
      </x:c>
      <x:c r="V23" s="17" t="str">
        <x:v>Authorized Hirose distributor</x:v>
      </x:c>
      <x:c r="W23" s="17" t="str">
        <x:v>Visual mate gauge continuity conducted power sensitivity and VSWR</x:v>
      </x:c>
      <x:c r="X23" s="17" t="str">
        <x:v>Rev.A connector freeze; coax assembly and RF validation remain blocking: CAB.0243 MHF-I/U.FL-compatible mate and retention; 150 mm route and 6.8 mm minimum bend; bulkhead seal and numeric IP classification; 868 MHz installed conducted/radiated test</x:v>
      </x:c>
      <x:c r="Y23" s="2" t="str"/>
      <x:c r="Z23" s="2" t="str">
        <x:v>ELECTRICAL_COMPONENT</x:v>
      </x:c>
      <x:c r="AA23" s="2" t="str">
        <x:v>FITTED</x:v>
      </x:c>
      <x:c r="AB23" s="2" t="str">
        <x:v>-40..90</x:v>
      </x:c>
      <x:c r="AC23" s="14" t="str">
        <x:v>CONTROLLED_PENDING_VERIFICATION</x:v>
      </x:c>
    </x:row>
    <x:row r="24">
      <x:c r="A24" s="2" t="str">
        <x:v>X1</x:v>
      </x:c>
      <x:c r="B24" s="2" t="str">
        <x:v>PCB-MAIN</x:v>
      </x:c>
      <x:c r="C24" s="14" t="str">
        <x:v>X1</x:v>
      </x:c>
      <x:c r="D24" s="2" t="str">
        <x:v>Clock</x:v>
      </x:c>
      <x:c r="E24" s="17" t="str">
        <x:v>32.768 kHz low drift oscillator</x:v>
      </x:c>
      <x:c r="F24" s="2" t="str">
        <x:v>SiTime</x:v>
      </x:c>
      <x:c r="G24" s="2" t="str">
        <x:v>SiT1552AI-JE-DCC-32.768D</x:v>
      </x:c>
      <x:c r="H24" s="2" t="str">
        <x:v>CSP-4_1.5x0.8mm</x:v>
      </x:c>
      <x:c r="I24" s="16" t="n">
        <x:v>1</x:v>
      </x:c>
      <x:c r="J24" s="16" t="n">
        <x:v>4</x:v>
      </x:c>
      <x:c r="K24" s="16" t="n">
        <x:v>1</x:v>
      </x:c>
      <x:c r="L24" s="16" t="n">
        <x:v>5</x:v>
      </x:c>
      <x:c r="M24" s="16" t="n">
        <x:v>10</x:v>
      </x:c>
      <x:c r="N24" s="16" t="n">
        <x:v>3</x:v>
      </x:c>
      <x:c r="O24" s="16" t="n">
        <x:v>13</x:v>
      </x:c>
      <x:c r="P24" s="16" t="n">
        <x:v>20</x:v>
      </x:c>
      <x:c r="Q24" s="16" t="n">
        <x:v>5</x:v>
      </x:c>
      <x:c r="R24" s="16" t="n">
        <x:v>25</x:v>
      </x:c>
      <x:c r="S24" s="14" t="str">
        <x:v>SCALE_CEIL_FROM_20_BASELINE</x:v>
      </x:c>
      <x:c r="T24" s="2" t="str">
        <x:v>COMMON</x:v>
      </x:c>
      <x:c r="U24" s="14" t="str">
        <x:v>SELECTED_PENDING_LSE_BYPASS_REVIEW</x:v>
      </x:c>
      <x:c r="V24" s="17" t="str">
        <x:v>Authorized distributor</x:v>
      </x:c>
      <x:c r="W24" s="17" t="str">
        <x:v>Frequency and current sample test</x:v>
      </x:c>
      <x:c r="X24" s="17" t="str">
        <x:v>Rev.A freeze source MAIN_COMPONENT_FREEZE_REV_A.csv; blockers: CubeMX LSE bypass wiring; holdover drift measurement; complete physical pins and no-external-bypass decision in PCB_MAIN_PASSIVE_SUPPORT_AUTHORITY_REV_A.csv; physical pins: 1=GND;2=LSE_IN;3=3V3_DIGITAL;4=GND</x:v>
      </x:c>
      <x:c r="Y24" s="2" t="str">
        <x:v>32.768 kHz full-swing LVCMOS</x:v>
      </x:c>
      <x:c r="Z24" s="2" t="str">
        <x:v>ELECTRICAL_COMPONENT</x:v>
      </x:c>
      <x:c r="AA24" s="2" t="str">
        <x:v>FITTED</x:v>
      </x:c>
      <x:c r="AB24" s="2" t="str">
        <x:v>-40..85</x:v>
      </x:c>
      <x:c r="AC24" s="14" t="str">
        <x:v>CONTROLLED_PENDING_VERIFICATION</x:v>
      </x:c>
    </x:row>
    <x:row r="25">
      <x:c r="A25" s="2" t="str">
        <x:v>PWR-REV-CTL</x:v>
      </x:c>
      <x:c r="B25" s="2" t="str">
        <x:v>PCB-PWR</x:v>
      </x:c>
      <x:c r="C25" s="14" t="str">
        <x:v>U1</x:v>
      </x:c>
      <x:c r="D25" s="2" t="str">
        <x:v>Protection</x:v>
      </x:c>
      <x:c r="E25" s="17" t="str">
        <x:v>Reverse polarity and reverse current controller</x:v>
      </x:c>
      <x:c r="F25" s="2" t="str">
        <x:v>Texas Instruments</x:v>
      </x:c>
      <x:c r="G25" s="2" t="str">
        <x:v>LM74700QDBVRQ1</x:v>
      </x:c>
      <x:c r="H25" s="2" t="str">
        <x:v>SOT-23-6</x:v>
      </x:c>
      <x:c r="I25" s="16" t="n">
        <x:v>1</x:v>
      </x:c>
      <x:c r="J25" s="16" t="n">
        <x:v>4</x:v>
      </x:c>
      <x:c r="K25" s="16" t="n">
        <x:v>1</x:v>
      </x:c>
      <x:c r="L25" s="16" t="n">
        <x:v>5</x:v>
      </x:c>
      <x:c r="M25" s="16" t="n">
        <x:v>10</x:v>
      </x:c>
      <x:c r="N25" s="16" t="n">
        <x:v>3</x:v>
      </x:c>
      <x:c r="O25" s="16" t="n">
        <x:v>13</x:v>
      </x:c>
      <x:c r="P25" s="16" t="n">
        <x:v>20</x:v>
      </x:c>
      <x:c r="Q25" s="16" t="n">
        <x:v>5</x:v>
      </x:c>
      <x:c r="R25" s="16" t="n">
        <x:v>25</x:v>
      </x:c>
      <x:c r="S25" s="14" t="str">
        <x:v>SCALE_CEIL_FROM_20_BASELINE</x:v>
      </x:c>
      <x:c r="T25" s="2" t="str">
        <x:v>COMMON</x:v>
      </x:c>
      <x:c r="U25" s="14" t="str">
        <x:v>SELECTED_PENDING_SCHEMATIC_SAMPLE</x:v>
      </x:c>
      <x:c r="V25" s="17" t="str">
        <x:v>Authorized distributor</x:v>
      </x:c>
      <x:c r="W25" s="17" t="str">
        <x:v>Marking reverse test and gate waveform</x:v>
      </x:c>
      <x:c r="X25" s="17" t="str">
        <x:v>Rev.A freeze source POWER_COMPONENT_FREEZE_REV_A.csv; 3.2-65 V controller; external N-MOSFET; low-loss reverse protection; blockers: surge/fuse coordination; gate network review; bench reverse test</x:v>
      </x:c>
      <x:c r="Y25" s="2" t="str"/>
      <x:c r="Z25" s="2" t="str">
        <x:v>ELECTRICAL_COMPONENT</x:v>
      </x:c>
      <x:c r="AA25" s="2" t="str">
        <x:v>FITTED</x:v>
      </x:c>
      <x:c r="AB25" s="2" t="str">
        <x:v>-40..125</x:v>
      </x:c>
      <x:c r="AC25" s="14" t="str">
        <x:v>CONTROLLED_PENDING_VERIFICATION</x:v>
      </x:c>
    </x:row>
    <x:row r="26">
      <x:c r="A26" s="2" t="str">
        <x:v>PWR-REV-FET</x:v>
      </x:c>
      <x:c r="B26" s="2" t="str">
        <x:v>PCB-PWR</x:v>
      </x:c>
      <x:c r="C26" s="14" t="str">
        <x:v>Q1</x:v>
      </x:c>
      <x:c r="D26" s="2" t="str">
        <x:v>Protection</x:v>
      </x:c>
      <x:c r="E26" s="17" t="str">
        <x:v>60 V low-Rds(on) N-MOSFET</x:v>
      </x:c>
      <x:c r="F26" s="2" t="str">
        <x:v>Texas Instruments</x:v>
      </x:c>
      <x:c r="G26" s="2" t="str">
        <x:v>CSD18540Q5B</x:v>
      </x:c>
      <x:c r="H26" s="2" t="str">
        <x:v>VSON-CLIP 5x6 mm</x:v>
      </x:c>
      <x:c r="I26" s="16" t="n">
        <x:v>1</x:v>
      </x:c>
      <x:c r="J26" s="16" t="n">
        <x:v>4</x:v>
      </x:c>
      <x:c r="K26" s="16" t="n">
        <x:v>1</x:v>
      </x:c>
      <x:c r="L26" s="16" t="n">
        <x:v>5</x:v>
      </x:c>
      <x:c r="M26" s="16" t="n">
        <x:v>10</x:v>
      </x:c>
      <x:c r="N26" s="16" t="n">
        <x:v>3</x:v>
      </x:c>
      <x:c r="O26" s="16" t="n">
        <x:v>13</x:v>
      </x:c>
      <x:c r="P26" s="16" t="n">
        <x:v>20</x:v>
      </x:c>
      <x:c r="Q26" s="16" t="n">
        <x:v>5</x:v>
      </x:c>
      <x:c r="R26" s="16" t="n">
        <x:v>25</x:v>
      </x:c>
      <x:c r="S26" s="14" t="str">
        <x:v>SCALE_CEIL_FROM_20_BASELINE</x:v>
      </x:c>
      <x:c r="T26" s="2" t="str">
        <x:v>COMMON</x:v>
      </x:c>
      <x:c r="U26" s="14" t="str">
        <x:v>SELECTED_TECHNICALLY_PROCUREMENT_CHECK</x:v>
      </x:c>
      <x:c r="V26" s="17" t="str">
        <x:v>Authorized distributor</x:v>
      </x:c>
      <x:c r="W26" s="17" t="str">
        <x:v>Marking Rds thermal and reverse fault test</x:v>
      </x:c>
      <x:c r="X26" s="17" t="str">
        <x:v>Rev.A freeze source POWER_COMPONENT_FREEZE_REV_A.csv; 60 V; Rds(on) &lt;=2.2 mOhm at VGS=10 V; blockers: authorized-channel stock; SOA/thermal calculation; gate transient review</x:v>
      </x:c>
      <x:c r="Y26" s="2" t="str"/>
      <x:c r="Z26" s="2" t="str">
        <x:v>ELECTRICAL_COMPONENT</x:v>
      </x:c>
      <x:c r="AA26" s="2" t="str">
        <x:v>FITTED</x:v>
      </x:c>
      <x:c r="AB26" s="2" t="str">
        <x:v>-55..175</x:v>
      </x:c>
      <x:c r="AC26" s="14" t="str">
        <x:v>CONTROLLED</x:v>
      </x:c>
    </x:row>
    <x:row r="27">
      <x:c r="A27" s="2" t="str">
        <x:v>U-PWR1</x:v>
      </x:c>
      <x:c r="B27" s="2" t="str">
        <x:v>PCB-PWR</x:v>
      </x:c>
      <x:c r="C27" s="14" t="str">
        <x:v>U3</x:v>
      </x:c>
      <x:c r="D27" s="2" t="str">
        <x:v>Power</x:v>
      </x:c>
      <x:c r="E27" s="17" t="str">
        <x:v>3.8 V modem synchronous buck</x:v>
      </x:c>
      <x:c r="F27" s="2" t="str">
        <x:v>Texas Instruments</x:v>
      </x:c>
      <x:c r="G27" s="2" t="str">
        <x:v>LMR604403SRAKR</x:v>
      </x:c>
      <x:c r="H27" s="2" t="str">
        <x:v>RAK-9</x:v>
      </x:c>
      <x:c r="I27" s="16" t="n">
        <x:v>1</x:v>
      </x:c>
      <x:c r="J27" s="16" t="n">
        <x:v>4</x:v>
      </x:c>
      <x:c r="K27" s="16" t="n">
        <x:v>1</x:v>
      </x:c>
      <x:c r="L27" s="16" t="n">
        <x:v>5</x:v>
      </x:c>
      <x:c r="M27" s="16" t="n">
        <x:v>10</x:v>
      </x:c>
      <x:c r="N27" s="16" t="n">
        <x:v>3</x:v>
      </x:c>
      <x:c r="O27" s="16" t="n">
        <x:v>13</x:v>
      </x:c>
      <x:c r="P27" s="16" t="n">
        <x:v>20</x:v>
      </x:c>
      <x:c r="Q27" s="16" t="n">
        <x:v>5</x:v>
      </x:c>
      <x:c r="R27" s="16" t="n">
        <x:v>25</x:v>
      </x:c>
      <x:c r="S27" s="14" t="str">
        <x:v>SCALE_CEIL_FROM_20_BASELINE</x:v>
      </x:c>
      <x:c r="T27" s="2" t="str">
        <x:v>COMMON</x:v>
      </x:c>
      <x:c r="U27" s="14" t="str">
        <x:v>SELECTED_PENDING_DESIGN_CALC_SAMPLE</x:v>
      </x:c>
      <x:c r="V27" s="17" t="str">
        <x:v>Authorized distributor</x:v>
      </x:c>
      <x:c r="W27" s="17" t="str">
        <x:v>Load step ripple efficiency thermal and EMI</x:v>
      </x:c>
      <x:c r="X27" s="17" t="str">
        <x:v>Rev.A freeze source POWER_COMPONENT_FREEZE_REV_A.csv; 3-36 V input; 4 A; TI-verified adjustable mode; 3.8 V nominal; low-Iq synchronous buck; blockers: C11 effective capacitance under bias; C20 local CIN_HF placement; 2.7 A+ BG95 burst; EMI; thermal</x:v>
      </x:c>
      <x:c r="Y27" s="2" t="str"/>
      <x:c r="Z27" s="2" t="str">
        <x:v>ELECTRICAL_COMPONENT</x:v>
      </x:c>
      <x:c r="AA27" s="2" t="str">
        <x:v>FITTED</x:v>
      </x:c>
      <x:c r="AB27" s="2" t="str">
        <x:v>-40..125</x:v>
      </x:c>
      <x:c r="AC27" s="14" t="str">
        <x:v>CONTROLLED_PENDING_VERIFICATION</x:v>
      </x:c>
    </x:row>
    <x:row r="28">
      <x:c r="A28" s="2" t="str">
        <x:v>U-PWR2</x:v>
      </x:c>
      <x:c r="B28" s="2" t="str">
        <x:v>PCB-PWR</x:v>
      </x:c>
      <x:c r="C28" s="14" t="str">
        <x:v>U4</x:v>
      </x:c>
      <x:c r="D28" s="2" t="str">
        <x:v>Power</x:v>
      </x:c>
      <x:c r="E28" s="17" t="str">
        <x:v>3.3 V digital synchronous buck</x:v>
      </x:c>
      <x:c r="F28" s="2" t="str">
        <x:v>Texas Instruments</x:v>
      </x:c>
      <x:c r="G28" s="2" t="str">
        <x:v>LMR604403SRAKR</x:v>
      </x:c>
      <x:c r="H28" s="2" t="str">
        <x:v>RAK-9</x:v>
      </x:c>
      <x:c r="I28" s="16" t="n">
        <x:v>1</x:v>
      </x:c>
      <x:c r="J28" s="16" t="n">
        <x:v>4</x:v>
      </x:c>
      <x:c r="K28" s="16" t="n">
        <x:v>1</x:v>
      </x:c>
      <x:c r="L28" s="16" t="n">
        <x:v>5</x:v>
      </x:c>
      <x:c r="M28" s="16" t="n">
        <x:v>10</x:v>
      </x:c>
      <x:c r="N28" s="16" t="n">
        <x:v>3</x:v>
      </x:c>
      <x:c r="O28" s="16" t="n">
        <x:v>13</x:v>
      </x:c>
      <x:c r="P28" s="16" t="n">
        <x:v>20</x:v>
      </x:c>
      <x:c r="Q28" s="16" t="n">
        <x:v>5</x:v>
      </x:c>
      <x:c r="R28" s="16" t="n">
        <x:v>25</x:v>
      </x:c>
      <x:c r="S28" s="14" t="str">
        <x:v>SCALE_CEIL_FROM_20_BASELINE</x:v>
      </x:c>
      <x:c r="T28" s="2" t="str">
        <x:v>COMMON</x:v>
      </x:c>
      <x:c r="U28" s="14" t="str">
        <x:v>SELECTED_PENDING_DESIGN_CALC_SAMPLE</x:v>
      </x:c>
      <x:c r="V28" s="17" t="str">
        <x:v>Authorized distributor</x:v>
      </x:c>
      <x:c r="W28" s="17" t="str">
        <x:v>Load step ripple efficiency sleep current thermal and EMI</x:v>
      </x:c>
      <x:c r="X28" s="17" t="str">
        <x:v>Rev.A freeze source POWER_COMPONENT_FREEZE_REV_A.csv; 3-36 V input; 4 A; TI-verified fixed 3.3 V mode; low-Iq synchronous buck; blockers: C12 effective capacitance under bias; C21 local CIN_HF placement; load-step; sleep-current; EMI; thermal</x:v>
      </x:c>
      <x:c r="Y28" s="2" t="str"/>
      <x:c r="Z28" s="2" t="str">
        <x:v>ELECTRICAL_COMPONENT</x:v>
      </x:c>
      <x:c r="AA28" s="2" t="str">
        <x:v>FITTED</x:v>
      </x:c>
      <x:c r="AB28" s="2" t="str">
        <x:v>-40..125</x:v>
      </x:c>
      <x:c r="AC28" s="14" t="str">
        <x:v>CONTROLLED_PENDING_VERIFICATION</x:v>
      </x:c>
    </x:row>
    <x:row r="29">
      <x:c r="A29" s="2" t="str">
        <x:v>U-PWR3</x:v>
      </x:c>
      <x:c r="B29" s="2" t="str">
        <x:v>PCB-PWR</x:v>
      </x:c>
      <x:c r="C29" s="14" t="str">
        <x:v>U5</x:v>
      </x:c>
      <x:c r="D29" s="2" t="str">
        <x:v>Power</x:v>
      </x:c>
      <x:c r="E29" s="17" t="str">
        <x:v>1.8 V low-noise microphone LDO</x:v>
      </x:c>
      <x:c r="F29" s="2" t="str">
        <x:v>Texas Instruments</x:v>
      </x:c>
      <x:c r="G29" s="2" t="str">
        <x:v>TPS7A2018PDBVR</x:v>
      </x:c>
      <x:c r="H29" s="2" t="str">
        <x:v>SOT-23-5</x:v>
      </x:c>
      <x:c r="I29" s="16" t="n">
        <x:v>1</x:v>
      </x:c>
      <x:c r="J29" s="16" t="n">
        <x:v>4</x:v>
      </x:c>
      <x:c r="K29" s="16" t="n">
        <x:v>1</x:v>
      </x:c>
      <x:c r="L29" s="16" t="n">
        <x:v>5</x:v>
      </x:c>
      <x:c r="M29" s="16" t="n">
        <x:v>10</x:v>
      </x:c>
      <x:c r="N29" s="16" t="n">
        <x:v>3</x:v>
      </x:c>
      <x:c r="O29" s="16" t="n">
        <x:v>13</x:v>
      </x:c>
      <x:c r="P29" s="16" t="n">
        <x:v>20</x:v>
      </x:c>
      <x:c r="Q29" s="16" t="n">
        <x:v>5</x:v>
      </x:c>
      <x:c r="R29" s="16" t="n">
        <x:v>25</x:v>
      </x:c>
      <x:c r="S29" s="14" t="str">
        <x:v>SCALE_CEIL_FROM_20_BASELINE</x:v>
      </x:c>
      <x:c r="T29" s="2" t="str">
        <x:v>COMMON</x:v>
      </x:c>
      <x:c r="U29" s="14" t="str">
        <x:v>SELECTED_PENDING_NOISE_SAMPLE</x:v>
      </x:c>
      <x:c r="V29" s="17" t="str">
        <x:v>Authorized distributor</x:v>
      </x:c>
      <x:c r="W29" s="17" t="str">
        <x:v>Noise PSRR dropout thermal and AAD sleep current</x:v>
      </x:c>
      <x:c r="X29" s="17" t="str">
        <x:v>Rev.A freeze source POWER_COMPONENT_FREEZE_REV_A.csv; fixed 1.8 V; 300 mA; low-noise/high-PSRR LDO; blockers: input/output capacitor review; PDM noise test; enable sequencing</x:v>
      </x:c>
      <x:c r="Y29" s="2" t="str"/>
      <x:c r="Z29" s="2" t="str">
        <x:v>ELECTRICAL_COMPONENT</x:v>
      </x:c>
      <x:c r="AA29" s="2" t="str">
        <x:v>FITTED</x:v>
      </x:c>
      <x:c r="AB29" s="2" t="str">
        <x:v>-40..125</x:v>
      </x:c>
      <x:c r="AC29" s="14" t="str">
        <x:v>CONTROLLED_PENDING_VERIFICATION</x:v>
      </x:c>
    </x:row>
    <x:row r="30">
      <x:c r="A30" s="2" t="str">
        <x:v>U-MON-01</x:v>
      </x:c>
      <x:c r="B30" s="2" t="str">
        <x:v>PCB-PWR</x:v>
      </x:c>
      <x:c r="C30" s="14" t="str">
        <x:v>U2</x:v>
      </x:c>
      <x:c r="D30" s="2" t="str">
        <x:v>Monitor</x:v>
      </x:c>
      <x:c r="E30" s="17" t="str">
        <x:v>Total battery current voltage and power monitor</x:v>
      </x:c>
      <x:c r="F30" s="2" t="str">
        <x:v>Texas Instruments</x:v>
      </x:c>
      <x:c r="G30" s="2" t="str">
        <x:v>INA226AIDGSR</x:v>
      </x:c>
      <x:c r="H30" s="2" t="str">
        <x:v>VSSOP-10</x:v>
      </x:c>
      <x:c r="I30" s="16" t="n">
        <x:v>1</x:v>
      </x:c>
      <x:c r="J30" s="16" t="n">
        <x:v>4</x:v>
      </x:c>
      <x:c r="K30" s="16" t="n">
        <x:v>1</x:v>
      </x:c>
      <x:c r="L30" s="16" t="n">
        <x:v>5</x:v>
      </x:c>
      <x:c r="M30" s="16" t="n">
        <x:v>10</x:v>
      </x:c>
      <x:c r="N30" s="16" t="n">
        <x:v>3</x:v>
      </x:c>
      <x:c r="O30" s="16" t="n">
        <x:v>13</x:v>
      </x:c>
      <x:c r="P30" s="16" t="n">
        <x:v>20</x:v>
      </x:c>
      <x:c r="Q30" s="16" t="n">
        <x:v>5</x:v>
      </x:c>
      <x:c r="R30" s="16" t="n">
        <x:v>25</x:v>
      </x:c>
      <x:c r="S30" s="14" t="str">
        <x:v>SCALE_CEIL_FROM_20_BASELINE</x:v>
      </x:c>
      <x:c r="T30" s="2" t="str">
        <x:v>COMMON</x:v>
      </x:c>
      <x:c r="U30" s="14" t="str">
        <x:v>SELECTED_REV_A_12PIN_I2C</x:v>
      </x:c>
      <x:c r="V30" s="17" t="str">
        <x:v>Authorized distributor</x:v>
      </x:c>
      <x:c r="W30" s="17" t="str">
        <x:v>Marking I2C ID calibration and reference-meter compare</x:v>
      </x:c>
      <x:c r="X30" s="17" t="str">
        <x:v>Rev.A freeze source POWER_COMPONENT_FREEZE_REV_A.csv; 3.3 V I2C; address 0x40; 10 mOhm Kelvin shunt capture; Current_LSB 200 uA/bit; Power_LSB 5 mW/bit; blockers: Kelvin layout review; I2C harness capacitance/pull-up test; calibration against reference meter</x:v>
      </x:c>
      <x:c r="Y30" s="2" t="str"/>
      <x:c r="Z30" s="2" t="str">
        <x:v>ELECTRICAL_COMPONENT</x:v>
      </x:c>
      <x:c r="AA30" s="2" t="str">
        <x:v>FITTED</x:v>
      </x:c>
      <x:c r="AB30" s="2" t="str">
        <x:v>-40..125</x:v>
      </x:c>
      <x:c r="AC30" s="14" t="str">
        <x:v>CONTROLLED</x:v>
      </x:c>
    </x:row>
    <x:row r="31">
      <x:c r="A31" s="2" t="str">
        <x:v>R-SHUNT-01</x:v>
      </x:c>
      <x:c r="B31" s="2" t="str">
        <x:v>PCB-PWR</x:v>
      </x:c>
      <x:c r="C31" s="14" t="str">
        <x:v>RSH1</x:v>
      </x:c>
      <x:c r="D31" s="2" t="str">
        <x:v>Shunt</x:v>
      </x:c>
      <x:c r="E31" s="17" t="str">
        <x:v>10 mOhm 4-terminal Kelvin current shunt</x:v>
      </x:c>
      <x:c r="F31" s="2" t="str">
        <x:v>Vishay Dale</x:v>
      </x:c>
      <x:c r="G31" s="2" t="str">
        <x:v>WSK2512R0100FEA</x:v>
      </x:c>
      <x:c r="H31" s="2" t="str">
        <x:v>WSK2512 4-terminal 6.35x3.18 mm</x:v>
      </x:c>
      <x:c r="I31" s="16" t="n">
        <x:v>1</x:v>
      </x:c>
      <x:c r="J31" s="16" t="n">
        <x:v>4</x:v>
      </x:c>
      <x:c r="K31" s="16" t="n">
        <x:v>2</x:v>
      </x:c>
      <x:c r="L31" s="16" t="n">
        <x:v>6</x:v>
      </x:c>
      <x:c r="M31" s="16" t="n">
        <x:v>10</x:v>
      </x:c>
      <x:c r="N31" s="16" t="n">
        <x:v>5</x:v>
      </x:c>
      <x:c r="O31" s="16" t="n">
        <x:v>15</x:v>
      </x:c>
      <x:c r="P31" s="16" t="n">
        <x:v>20</x:v>
      </x:c>
      <x:c r="Q31" s="16" t="n">
        <x:v>10</x:v>
      </x:c>
      <x:c r="R31" s="16" t="n">
        <x:v>30</x:v>
      </x:c>
      <x:c r="S31" s="14" t="str">
        <x:v>SCALE_CEIL_FROM_20_BASELINE</x:v>
      </x:c>
      <x:c r="T31" s="2" t="str">
        <x:v>COMMON</x:v>
      </x:c>
      <x:c r="U31" s="14" t="str">
        <x:v>SELECTED_PENDING_KELVIN_LAYOUT_SAMPLE</x:v>
      </x:c>
      <x:c r="V31" s="17" t="str">
        <x:v>Authorized current-sense resistor vendor</x:v>
      </x:c>
      <x:c r="W31" s="17" t="str">
        <x:v>Resistance TCR marking and four-wire reference measurement</x:v>
      </x:c>
      <x:c r="X31" s="17" t="str">
        <x:v>Rev.A freeze source POWER_COMPONENT_FREEZE_REV_A.csv; exact four-terminal land pattern controlled; blockers: Kelvin routing review; +70 C thermal; four-wire resistance and reference-meter calibration</x:v>
      </x:c>
      <x:c r="Y31" s="2" t="str">
        <x:v>10 mOhm 1% 1 W</x:v>
      </x:c>
      <x:c r="Z31" s="2" t="str">
        <x:v>ELECTRICAL_COMPONENT</x:v>
      </x:c>
      <x:c r="AA31" s="2" t="str">
        <x:v>FITTED</x:v>
      </x:c>
      <x:c r="AB31" s="2" t="str">
        <x:v>-65..170</x:v>
      </x:c>
      <x:c r="AC31" s="14" t="str">
        <x:v>CONTROLLED_PENDING_VERIFICATION</x:v>
      </x:c>
    </x:row>
    <x:row r="32">
      <x:c r="A32" s="2" t="str">
        <x:v>J-PWR-PWR</x:v>
      </x:c>
      <x:c r="B32" s="2" t="str">
        <x:v>PCB-PWR</x:v>
      </x:c>
      <x:c r="C32" s="14" t="str">
        <x:v>J2</x:v>
      </x:c>
      <x:c r="D32" s="2" t="str">
        <x:v>Connector</x:v>
      </x:c>
      <x:c r="E32" s="17" t="str">
        <x:v>Power/control/I2C harness to PCB-MAIN</x:v>
      </x:c>
      <x:c r="F32" s="2" t="str">
        <x:v>Molex</x:v>
      </x:c>
      <x:c r="G32" s="2" t="str">
        <x:v>430451202</x:v>
      </x:c>
      <x:c r="H32" s="2" t="str">
        <x:v>12 positions</x:v>
      </x:c>
      <x:c r="I32" s="16" t="n">
        <x:v>1</x:v>
      </x:c>
      <x:c r="J32" s="16" t="n">
        <x:v>4</x:v>
      </x:c>
      <x:c r="K32" s="16" t="n">
        <x:v>1</x:v>
      </x:c>
      <x:c r="L32" s="16" t="n">
        <x:v>5</x:v>
      </x:c>
      <x:c r="M32" s="16" t="n">
        <x:v>10</x:v>
      </x:c>
      <x:c r="N32" s="16" t="n">
        <x:v>3</x:v>
      </x:c>
      <x:c r="O32" s="16" t="n">
        <x:v>13</x:v>
      </x:c>
      <x:c r="P32" s="16" t="n">
        <x:v>20</x:v>
      </x:c>
      <x:c r="Q32" s="16" t="n">
        <x:v>5</x:v>
      </x:c>
      <x:c r="R32" s="16" t="n">
        <x:v>25</x:v>
      </x:c>
      <x:c r="S32" s="14" t="str">
        <x:v>SCALE_CEIL_FROM_20_BASELINE</x:v>
      </x:c>
      <x:c r="T32" s="2" t="str">
        <x:v>COMMON</x:v>
      </x:c>
      <x:c r="U32" s="14" t="str">
        <x:v>SELECTED_ELECTRICAL_PENDING_MECHANICS</x:v>
      </x:c>
      <x:c r="V32" s="17" t="str">
        <x:v>Authorized Molex distributor</x:v>
      </x:c>
      <x:c r="W32" s="17" t="str">
        <x:v>Marking dimensions latch mate continuity</x:v>
      </x:c>
      <x:c r="X32" s="17" t="str">
        <x:v>Mating Molex_430251200; terminal Molex_430300038 power; Molex_430300001 control/I2C; blockers: right-angle orientation and service clearance; pin-current allocation; I2C harness capacitance and pull-up validation</x:v>
      </x:c>
      <x:c r="Y32" s="2" t="str"/>
      <x:c r="Z32" s="2" t="str">
        <x:v>ELECTRICAL_COMPONENT</x:v>
      </x:c>
      <x:c r="AA32" s="2" t="str">
        <x:v>FITTED</x:v>
      </x:c>
      <x:c r="AB32" s="2" t="str">
        <x:v>header -40..125; housing -40..105</x:v>
      </x:c>
      <x:c r="AC32" s="14" t="str">
        <x:v>CONTROLLED_PENDING_VERIFICATION</x:v>
      </x:c>
    </x:row>
    <x:row r="33">
      <x:c r="A33" s="2" t="str">
        <x:v>PWR-TVS-01</x:v>
      </x:c>
      <x:c r="B33" s="2" t="str">
        <x:v>PCB-PWR</x:v>
      </x:c>
      <x:c r="C33" s="14" t="str">
        <x:v>D1</x:v>
      </x:c>
      <x:c r="D33" s="2" t="str">
        <x:v>Protection</x:v>
      </x:c>
      <x:c r="E33" s="17" t="str">
        <x:v>Protected-bus transient clamp candidate</x:v>
      </x:c>
      <x:c r="F33" s="2" t="str">
        <x:v>Littelfuse</x:v>
      </x:c>
      <x:c r="G33" s="2" t="str">
        <x:v>SMBJ18A</x:v>
      </x:c>
      <x:c r="H33" s="2" t="str">
        <x:v>SMB_DO-214AA</x:v>
      </x:c>
      <x:c r="I33" s="16" t="n">
        <x:v>1</x:v>
      </x:c>
      <x:c r="J33" s="16" t="n">
        <x:v>4</x:v>
      </x:c>
      <x:c r="K33" s="16" t="n">
        <x:v>1</x:v>
      </x:c>
      <x:c r="L33" s="16" t="n">
        <x:v>5</x:v>
      </x:c>
      <x:c r="M33" s="16" t="n">
        <x:v>10</x:v>
      </x:c>
      <x:c r="N33" s="16" t="n">
        <x:v>3</x:v>
      </x:c>
      <x:c r="O33" s="16" t="n">
        <x:v>13</x:v>
      </x:c>
      <x:c r="P33" s="16" t="n">
        <x:v>20</x:v>
      </x:c>
      <x:c r="Q33" s="16" t="n">
        <x:v>5</x:v>
      </x:c>
      <x:c r="R33" s="16" t="n">
        <x:v>25</x:v>
      </x:c>
      <x:c r="S33" s="14" t="str">
        <x:v>SCALE_CEIL_FROM_20_BASELINE</x:v>
      </x:c>
      <x:c r="T33" s="2" t="str">
        <x:v>COMMON</x:v>
      </x:c>
      <x:c r="U33" s="14" t="str">
        <x:v>CANDIDATE_PENDING_SURGE_PROFILE</x:v>
      </x:c>
      <x:c r="V33" s="17" t="str">
        <x:v>Authorized distributor</x:v>
      </x:c>
      <x:c r="W33" s="17" t="str">
        <x:v>Marking clamp pulse and thermal sample</x:v>
      </x:c>
      <x:c r="X33" s="17" t="str">
        <x:v>Rev.A freeze source POWER_COMPONENT_FREEZE_REV_A.csv; 18 V standoff; 20.0-22.1 V breakdown; 29.2 V max clamp; 600 W class; blockers: measured/source transient envelope; fuse coordination; thermal pulse test</x:v>
      </x:c>
      <x:c r="Y33" s="2" t="str"/>
      <x:c r="Z33" s="2" t="str">
        <x:v>ELECTRICAL_COMPONENT</x:v>
      </x:c>
      <x:c r="AA33" s="2" t="str">
        <x:v>FITTED</x:v>
      </x:c>
      <x:c r="AB33" s="2" t="str">
        <x:v>-65..150</x:v>
      </x:c>
      <x:c r="AC33" s="14" t="str">
        <x:v>CONTROLLED_PENDING_VERIFICATION</x:v>
      </x:c>
    </x:row>
    <x:row r="34">
      <x:c r="A34" s="2" t="str">
        <x:v>PWR-FUSE-01</x:v>
      </x:c>
      <x:c r="B34" s="2" t="str">
        <x:v>PCB-PWR</x:v>
      </x:c>
      <x:c r="C34" s="14" t="str">
        <x:v>F1</x:v>
      </x:c>
      <x:c r="D34" s="2" t="str">
        <x:v>Protection</x:v>
      </x:c>
      <x:c r="E34" s="17" t="str">
        <x:v>PCB input fuse candidate</x:v>
      </x:c>
      <x:c r="F34" s="2" t="str">
        <x:v>Littelfuse</x:v>
      </x:c>
      <x:c r="G34" s="2" t="str">
        <x:v>0451008.MRL</x:v>
      </x:c>
      <x:c r="H34" s="2" t="str">
        <x:v>Nano2_451_6.1x2.69mm</x:v>
      </x:c>
      <x:c r="I34" s="16" t="n">
        <x:v>1</x:v>
      </x:c>
      <x:c r="J34" s="16" t="n">
        <x:v>4</x:v>
      </x:c>
      <x:c r="K34" s="16" t="n">
        <x:v>2</x:v>
      </x:c>
      <x:c r="L34" s="16" t="n">
        <x:v>6</x:v>
      </x:c>
      <x:c r="M34" s="16" t="n">
        <x:v>10</x:v>
      </x:c>
      <x:c r="N34" s="16" t="n">
        <x:v>5</x:v>
      </x:c>
      <x:c r="O34" s="16" t="n">
        <x:v>15</x:v>
      </x:c>
      <x:c r="P34" s="16" t="n">
        <x:v>20</x:v>
      </x:c>
      <x:c r="Q34" s="16" t="n">
        <x:v>10</x:v>
      </x:c>
      <x:c r="R34" s="16" t="n">
        <x:v>30</x:v>
      </x:c>
      <x:c r="S34" s="14" t="str">
        <x:v>SCALE_CEIL_FROM_20_BASELINE</x:v>
      </x:c>
      <x:c r="T34" s="2" t="str">
        <x:v>COMMON</x:v>
      </x:c>
      <x:c r="U34" s="14" t="str">
        <x:v>CANDIDATE_SELECTED_FOR_EVT_QUALIFICATION_NATIVE_VALUE_ECO_APPLIED_REPEAT_EVIDENCE_PASS_PHYSICAL_QUALIFICATION_PENDING</x:v>
      </x:c>
      <x:c r="V34" s="17" t="str">
        <x:v>Authorized distributor</x:v>
      </x:c>
      <x:c r="W34" s="17" t="str">
        <x:v>Marking continuity and controlled fault clearing</x:v>
      </x:c>
      <x:c r="X34" s="17" t="str">
        <x:v>Rev.A freeze source POWER_COMPONENT_FREEZE_REV_A.csv; 8 A nominal; 0.0077 Ohm nominal cold resistance; 20.23 A2s nominal melting I2t; standard 25% continuous derating plus temperature rerating required; blockers: native value-only ECO applied with footprint placement topology and nets retained; repeat ERC/PDF/human hierarchy review PASS; +70 C derating; inrush; fault energy; 8.5 A connector ceiling; battery-side primary-fuse coordination</x:v>
      </x:c>
      <x:c r="Y34" s="2" t="str"/>
      <x:c r="Z34" s="2" t="str">
        <x:v>ELECTRICAL_COMPONENT</x:v>
      </x:c>
      <x:c r="AA34" s="2" t="str">
        <x:v>FITTED</x:v>
      </x:c>
      <x:c r="AB34" s="2" t="str">
        <x:v>-55..125</x:v>
      </x:c>
      <x:c r="AC34" s="14" t="str">
        <x:v>CONTROLLED_PENDING_VERIFICATION</x:v>
      </x:c>
    </x:row>
    <x:row r="35">
      <x:c r="A35" s="2" t="str">
        <x:v>ASM-PWR</x:v>
      </x:c>
      <x:c r="B35" s="2" t="str">
        <x:v>PCB-PWR</x:v>
      </x:c>
      <x:c r="C35" s="14" t="str">
        <x:v>-</x:v>
      </x:c>
      <x:c r="D35" s="2" t="str">
        <x:v>PCBA</x:v>
      </x:c>
      <x:c r="E35" s="17" t="str">
        <x:v>Assembled protected power interface PCB</x:v>
      </x:c>
      <x:c r="F35" s="2" t="str">
        <x:v>Contract manufacturer</x:v>
      </x:c>
      <x:c r="G35" s="2" t="str">
        <x:v>TBD</x:v>
      </x:c>
      <x:c r="H35" s="2" t="str">
        <x:v>4-layer PCBA; outer 2 oz target; inner 1 oz target; final stackup pending DFM</x:v>
      </x:c>
      <x:c r="I35" s="16" t="n">
        <x:v>1</x:v>
      </x:c>
      <x:c r="J35" s="16" t="n">
        <x:v>4</x:v>
      </x:c>
      <x:c r="K35" s="16" t="n">
        <x:v>2</x:v>
      </x:c>
      <x:c r="L35" s="16" t="n">
        <x:v>6</x:v>
      </x:c>
      <x:c r="M35" s="16" t="n">
        <x:v>10</x:v>
      </x:c>
      <x:c r="N35" s="16" t="n">
        <x:v>2</x:v>
      </x:c>
      <x:c r="O35" s="16" t="n">
        <x:v>12</x:v>
      </x:c>
      <x:c r="P35" s="16" t="n">
        <x:v>20</x:v>
      </x:c>
      <x:c r="Q35" s="16" t="n">
        <x:v>2</x:v>
      </x:c>
      <x:c r="R35" s="16" t="n">
        <x:v>22</x:v>
      </x:c>
      <x:c r="S35" s="14" t="str">
        <x:v>FIXED_LOT_MIN</x:v>
      </x:c>
      <x:c r="T35" s="2" t="str">
        <x:v>COMMON</x:v>
      </x:c>
      <x:c r="U35" s="14" t="str">
        <x:v>RFQ_REQUIRED</x:v>
      </x:c>
      <x:c r="V35" s="17" t="str">
        <x:v>Direct CM quotation</x:v>
      </x:c>
      <x:c r="W35" s="17" t="str">
        <x:v>AOI functional high-current thermal</x:v>
      </x:c>
      <x:c r="X35" s="17" t="str">
        <x:v>PRIMARY procurement track with full assembly and EOL; no MPPT function on this board; layer count frozen but copper weights and construction remain open</x:v>
      </x:c>
      <x:c r="Y35" s="2" t="str"/>
      <x:c r="Z35" s="2" t="str">
        <x:v>PCBA_SERVICE</x:v>
      </x:c>
      <x:c r="AA35" s="2" t="str">
        <x:v>N/A</x:v>
      </x:c>
      <x:c r="AB35" s="2" t="str">
        <x:v>N/A</x:v>
      </x:c>
      <x:c r="AC35" s="14" t="str">
        <x:v>BLOCKED_SUPPLIER_RELEASE</x:v>
      </x:c>
    </x:row>
    <x:row r="36">
      <x:c r="A36" s="2" t="str">
        <x:v>PCB-PWR</x:v>
      </x:c>
      <x:c r="B36" s="2" t="str">
        <x:v>PCB-PWR</x:v>
      </x:c>
      <x:c r="C36" s="14" t="str">
        <x:v>-</x:v>
      </x:c>
      <x:c r="D36" s="2" t="str">
        <x:v>Bare PCB</x:v>
      </x:c>
      <x:c r="E36" s="17" t="str">
        <x:v>Power interface bare PCB</x:v>
      </x:c>
      <x:c r="F36" s="2" t="str">
        <x:v>Qualified PCB fab</x:v>
      </x:c>
      <x:c r="G36" s="2" t="str">
        <x:v>TBD</x:v>
      </x:c>
      <x:c r="H36" s="2" t="str">
        <x:v>4-layer FR-4; outer 2 oz target; inner 1 oz target; final stackup pending DFM</x:v>
      </x:c>
      <x:c r="I36" s="16" t="n">
        <x:v>1</x:v>
      </x:c>
      <x:c r="J36" s="16" t="n">
        <x:v>4</x:v>
      </x:c>
      <x:c r="K36" s="16" t="n">
        <x:v>2</x:v>
      </x:c>
      <x:c r="L36" s="16" t="n">
        <x:v>6</x:v>
      </x:c>
      <x:c r="M36" s="16" t="n">
        <x:v>10</x:v>
      </x:c>
      <x:c r="N36" s="16" t="n">
        <x:v>2</x:v>
      </x:c>
      <x:c r="O36" s="16" t="n">
        <x:v>12</x:v>
      </x:c>
      <x:c r="P36" s="16" t="n">
        <x:v>20</x:v>
      </x:c>
      <x:c r="Q36" s="16" t="n">
        <x:v>2</x:v>
      </x:c>
      <x:c r="R36" s="16" t="n">
        <x:v>22</x:v>
      </x:c>
      <x:c r="S36" s="14" t="str">
        <x:v>FIXED_LOT_MIN</x:v>
      </x:c>
      <x:c r="T36" s="2" t="str">
        <x:v>COMMON</x:v>
      </x:c>
      <x:c r="U36" s="14" t="str">
        <x:v>RFQ_REQUIRED</x:v>
      </x:c>
      <x:c r="V36" s="17" t="str">
        <x:v>Two independent fab quotations</x:v>
      </x:c>
      <x:c r="W36" s="17" t="str">
        <x:v>Copper thickness netlist high-current and Kelvin review</x:v>
      </x:c>
      <x:c r="X36" s="17" t="str">
        <x:v>ALTERNATIVE quotation track only; do not purchase together with ASM-PWR; layer count frozen; final copper weights by current and thermal calculation plus fabricator DFM</x:v>
      </x:c>
      <x:c r="Y36" s="2" t="str"/>
      <x:c r="Z36" s="2" t="str">
        <x:v>BARE_PCB</x:v>
      </x:c>
      <x:c r="AA36" s="2" t="str">
        <x:v>N/A</x:v>
      </x:c>
      <x:c r="AB36" s="2" t="str">
        <x:v>N/A</x:v>
      </x:c>
      <x:c r="AC36" s="14" t="str">
        <x:v>BLOCKED_SUPPLIER_RELEASE</x:v>
      </x:c>
    </x:row>
    <x:row r="37">
      <x:c r="A37" s="2" t="str">
        <x:v>ASM-MIC</x:v>
      </x:c>
      <x:c r="B37" s="2" t="str">
        <x:v>PCB-MIC</x:v>
      </x:c>
      <x:c r="C37" s="14" t="str">
        <x:v>-</x:v>
      </x:c>
      <x:c r="D37" s="2" t="str">
        <x:v>PCBA</x:v>
      </x:c>
      <x:c r="E37" s="17" t="str">
        <x:v>Assembled identical microphone leaf PCB</x:v>
      </x:c>
      <x:c r="F37" s="2" t="str">
        <x:v>Contract manufacturer</x:v>
      </x:c>
      <x:c r="G37" s="2" t="str">
        <x:v>TBD</x:v>
      </x:c>
      <x:c r="H37" s="2" t="str">
        <x:v>2-layer PCBA</x:v>
      </x:c>
      <x:c r="I37" s="16" t="n">
        <x:v>4</x:v>
      </x:c>
      <x:c r="J37" s="16" t="n">
        <x:v>16</x:v>
      </x:c>
      <x:c r="K37" s="16" t="n">
        <x:v>2</x:v>
      </x:c>
      <x:c r="L37" s="16" t="n">
        <x:v>18</x:v>
      </x:c>
      <x:c r="M37" s="16" t="n">
        <x:v>40</x:v>
      </x:c>
      <x:c r="N37" s="16" t="n">
        <x:v>2</x:v>
      </x:c>
      <x:c r="O37" s="16" t="n">
        <x:v>42</x:v>
      </x:c>
      <x:c r="P37" s="16" t="n">
        <x:v>80</x:v>
      </x:c>
      <x:c r="Q37" s="16" t="n">
        <x:v>2</x:v>
      </x:c>
      <x:c r="R37" s="16" t="n">
        <x:v>82</x:v>
      </x:c>
      <x:c r="S37" s="14" t="str">
        <x:v>FIXED_LOT_MIN</x:v>
      </x:c>
      <x:c r="T37" s="2" t="str">
        <x:v>COMMON</x:v>
      </x:c>
      <x:c r="U37" s="14" t="str">
        <x:v>RFQ_REQUIRED</x:v>
      </x:c>
      <x:c r="V37" s="17" t="str">
        <x:v>Direct CM quotation</x:v>
      </x:c>
      <x:c r="W37" s="17" t="str">
        <x:v>AOI acoustic port inspection channel functional test</x:v>
      </x:c>
      <x:c r="X37" s="17" t="str">
        <x:v>PRIMARY procurement track with full assembly and EOL; same PCB revision all positions</x:v>
      </x:c>
      <x:c r="Y37" s="2" t="str"/>
      <x:c r="Z37" s="2" t="str">
        <x:v>PCBA_SERVICE</x:v>
      </x:c>
      <x:c r="AA37" s="2" t="str">
        <x:v>N/A</x:v>
      </x:c>
      <x:c r="AB37" s="2" t="str">
        <x:v>N/A</x:v>
      </x:c>
      <x:c r="AC37" s="14" t="str">
        <x:v>BLOCKED_SUPPLIER_RELEASE</x:v>
      </x:c>
    </x:row>
    <x:row r="38">
      <x:c r="A38" s="2" t="str">
        <x:v>PCB-MIC</x:v>
      </x:c>
      <x:c r="B38" s="2" t="str">
        <x:v>PCB-MIC</x:v>
      </x:c>
      <x:c r="C38" s="14" t="str">
        <x:v>-</x:v>
      </x:c>
      <x:c r="D38" s="2" t="str">
        <x:v>Bare PCB</x:v>
      </x:c>
      <x:c r="E38" s="17" t="str">
        <x:v>Microphone leaf bare PCB</x:v>
      </x:c>
      <x:c r="F38" s="2" t="str">
        <x:v>Qualified PCB fab</x:v>
      </x:c>
      <x:c r="G38" s="2" t="str">
        <x:v>TBD</x:v>
      </x:c>
      <x:c r="H38" s="2" t="str">
        <x:v>2-layer FR-4</x:v>
      </x:c>
      <x:c r="I38" s="16" t="n">
        <x:v>4</x:v>
      </x:c>
      <x:c r="J38" s="16" t="n">
        <x:v>16</x:v>
      </x:c>
      <x:c r="K38" s="16" t="n">
        <x:v>2</x:v>
      </x:c>
      <x:c r="L38" s="16" t="n">
        <x:v>18</x:v>
      </x:c>
      <x:c r="M38" s="16" t="n">
        <x:v>40</x:v>
      </x:c>
      <x:c r="N38" s="16" t="n">
        <x:v>2</x:v>
      </x:c>
      <x:c r="O38" s="16" t="n">
        <x:v>42</x:v>
      </x:c>
      <x:c r="P38" s="16" t="n">
        <x:v>80</x:v>
      </x:c>
      <x:c r="Q38" s="16" t="n">
        <x:v>2</x:v>
      </x:c>
      <x:c r="R38" s="16" t="n">
        <x:v>82</x:v>
      </x:c>
      <x:c r="S38" s="14" t="str">
        <x:v>FIXED_LOT_MIN</x:v>
      </x:c>
      <x:c r="T38" s="2" t="str">
        <x:v>COMMON</x:v>
      </x:c>
      <x:c r="U38" s="14" t="str">
        <x:v>RFQ_REQUIRED</x:v>
      </x:c>
      <x:c r="V38" s="17" t="str">
        <x:v>Two independent fab quotations</x:v>
      </x:c>
      <x:c r="W38" s="17" t="str">
        <x:v>Outline hole position finish netlist</x:v>
      </x:c>
      <x:c r="X38" s="17" t="str">
        <x:v>ALTERNATIVE quotation track only; do not purchase together with ASM-MIC; panelization to be approved</x:v>
      </x:c>
      <x:c r="Y38" s="2" t="str"/>
      <x:c r="Z38" s="2" t="str">
        <x:v>BARE_PCB</x:v>
      </x:c>
      <x:c r="AA38" s="2" t="str">
        <x:v>N/A</x:v>
      </x:c>
      <x:c r="AB38" s="2" t="str">
        <x:v>N/A</x:v>
      </x:c>
      <x:c r="AC38" s="14" t="str">
        <x:v>BLOCKED_SUPPLIER_RELEASE</x:v>
      </x:c>
    </x:row>
    <x:row r="39">
      <x:c r="A39" s="2" t="str">
        <x:v>MK1</x:v>
      </x:c>
      <x:c r="B39" s="2" t="str">
        <x:v>PCB-MIC</x:v>
      </x:c>
      <x:c r="C39" s="14" t="str">
        <x:v>MK1</x:v>
      </x:c>
      <x:c r="D39" s="2" t="str">
        <x:v>Microphone</x:v>
      </x:c>
      <x:c r="E39" s="17" t="str">
        <x:v>Digital bottom-port PDM MEMS microphone</x:v>
      </x:c>
      <x:c r="F39" s="2" t="str">
        <x:v>TDK InvenSense</x:v>
      </x:c>
      <x:c r="G39" s="2" t="str">
        <x:v>MMICT5838-00-012</x:v>
      </x:c>
      <x:c r="H39" s="2" t="str">
        <x:v>LGA-CAV-5 3.5x2.65x0.98 mm</x:v>
      </x:c>
      <x:c r="I39" s="16" t="n">
        <x:v>4</x:v>
      </x:c>
      <x:c r="J39" s="16" t="n">
        <x:v>16</x:v>
      </x:c>
      <x:c r="K39" s="16" t="n">
        <x:v>4</x:v>
      </x:c>
      <x:c r="L39" s="16" t="n">
        <x:v>20</x:v>
      </x:c>
      <x:c r="M39" s="16" t="n">
        <x:v>40</x:v>
      </x:c>
      <x:c r="N39" s="16" t="n">
        <x:v>8</x:v>
      </x:c>
      <x:c r="O39" s="16" t="n">
        <x:v>48</x:v>
      </x:c>
      <x:c r="P39" s="16" t="n">
        <x:v>80</x:v>
      </x:c>
      <x:c r="Q39" s="16" t="n">
        <x:v>16</x:v>
      </x:c>
      <x:c r="R39" s="16" t="n">
        <x:v>96</x:v>
      </x:c>
      <x:c r="S39" s="14" t="str">
        <x:v>SCALE_CEIL_FROM_20_BASELINE</x:v>
      </x:c>
      <x:c r="T39" s="2" t="str">
        <x:v>COMMON</x:v>
      </x:c>
      <x:c r="U39" s="14" t="str">
        <x:v>SELECTED_PENDING_SAMPLE</x:v>
      </x:c>
      <x:c r="V39" s="17" t="str">
        <x:v>TDK authorized channel and same lot requested</x:v>
      </x:c>
      <x:c r="W39" s="17" t="str">
        <x:v>Marking lot acoustic sensitivity noise phase and port inspection</x:v>
      </x:c>
      <x:c r="X39" s="17" t="str">
        <x:v>Exact orderable T5838 MPN; do not mix alternate MPN within station</x:v>
      </x:c>
      <x:c r="Y39" s="2" t="str"/>
      <x:c r="Z39" s="2" t="str">
        <x:v>ELECTRICAL_COMPONENT</x:v>
      </x:c>
      <x:c r="AA39" s="2" t="str">
        <x:v>FITTED</x:v>
      </x:c>
      <x:c r="AB39" s="2" t="str">
        <x:v>-40..85</x:v>
      </x:c>
      <x:c r="AC39" s="14" t="str">
        <x:v>CONTROLLED_PENDING_VERIFICATION</x:v>
      </x:c>
    </x:row>
    <x:row r="40">
      <x:c r="A40" s="2" t="str">
        <x:v>C-MIC</x:v>
      </x:c>
      <x:c r="B40" s="2" t="str">
        <x:v>PCB-MIC</x:v>
      </x:c>
      <x:c r="C40" s="14" t="str">
        <x:v>PCB-MIC:C1 x4</x:v>
      </x:c>
      <x:c r="D40" s="2" t="str">
        <x:v>Passive</x:v>
      </x:c>
      <x:c r="E40" s="17" t="str">
        <x:v>100 nF 25 V X7R microphone VDD decoupling</x:v>
      </x:c>
      <x:c r="F40" s="2" t="str">
        <x:v>TDK</x:v>
      </x:c>
      <x:c r="G40" s="2" t="str">
        <x:v>CGA2B3X7R1E104K050BB</x:v>
      </x:c>
      <x:c r="H40" s="2" t="str">
        <x:v>0402 1005 metric</x:v>
      </x:c>
      <x:c r="I40" s="16" t="n">
        <x:v>4</x:v>
      </x:c>
      <x:c r="J40" s="16" t="n">
        <x:v>16</x:v>
      </x:c>
      <x:c r="K40" s="16" t="n">
        <x:v>40</x:v>
      </x:c>
      <x:c r="L40" s="16" t="n">
        <x:v>56</x:v>
      </x:c>
      <x:c r="M40" s="16" t="n">
        <x:v>40</x:v>
      </x:c>
      <x:c r="N40" s="16" t="n">
        <x:v>40</x:v>
      </x:c>
      <x:c r="O40" s="16" t="n">
        <x:v>80</x:v>
      </x:c>
      <x:c r="P40" s="16" t="n">
        <x:v>80</x:v>
      </x:c>
      <x:c r="Q40" s="16" t="n">
        <x:v>40</x:v>
      </x:c>
      <x:c r="R40" s="16" t="n">
        <x:v>120</x:v>
      </x:c>
      <x:c r="S40" s="14" t="str">
        <x:v>FIXED_LOT_MIN</x:v>
      </x:c>
      <x:c r="T40" s="2" t="str">
        <x:v>COMMON</x:v>
      </x:c>
      <x:c r="U40" s="14" t="str">
        <x:v>SELECTED_PENDING_SAMPLE</x:v>
      </x:c>
      <x:c r="V40" s="17" t="str">
        <x:v>Traceable passive vendor</x:v>
      </x:c>
      <x:c r="W40" s="17" t="str">
        <x:v>Value package reel label capacitance sample</x:v>
      </x:c>
      <x:c r="X40" s="17" t="str">
        <x:v>One C1 per PCB-MIC leaf; exact native schematic reference and automotive-grade MLCC</x:v>
      </x:c>
      <x:c r="Y40" s="2" t="str">
        <x:v>100 nF 25 V X7R</x:v>
      </x:c>
      <x:c r="Z40" s="2" t="str">
        <x:v>ELECTRICAL_COMPONENT</x:v>
      </x:c>
      <x:c r="AA40" s="2" t="str">
        <x:v>FITTED</x:v>
      </x:c>
      <x:c r="AB40" s="2" t="str">
        <x:v>-55..125</x:v>
      </x:c>
      <x:c r="AC40" s="14" t="str">
        <x:v>CONTROLLED_PENDING_VERIFICATION</x:v>
      </x:c>
    </x:row>
    <x:row r="41">
      <x:c r="A41" s="2" t="str">
        <x:v>J-MIC</x:v>
      </x:c>
      <x:c r="B41" s="2" t="str">
        <x:v>PCB-MIC</x:v>
      </x:c>
      <x:c r="C41" s="14" t="str">
        <x:v>PCB-MIC:J1 x4</x:v>
      </x:c>
      <x:c r="D41" s="2" t="str">
        <x:v>Connector</x:v>
      </x:c>
      <x:c r="E41" s="17" t="str">
        <x:v>6-position microphone leaf board header</x:v>
      </x:c>
      <x:c r="F41" s="2" t="str">
        <x:v>Molex</x:v>
      </x:c>
      <x:c r="G41" s="2" t="str">
        <x:v>5040500691</x:v>
      </x:c>
      <x:c r="H41" s="2" t="str">
        <x:v>Pico-Lock 1.50 mm 6-circuit right-angle SMT</x:v>
      </x:c>
      <x:c r="I41" s="16" t="n">
        <x:v>4</x:v>
      </x:c>
      <x:c r="J41" s="16" t="n">
        <x:v>16</x:v>
      </x:c>
      <x:c r="K41" s="16" t="n">
        <x:v>3</x:v>
      </x:c>
      <x:c r="L41" s="16" t="n">
        <x:v>19</x:v>
      </x:c>
      <x:c r="M41" s="16" t="n">
        <x:v>40</x:v>
      </x:c>
      <x:c r="N41" s="16" t="n">
        <x:v>6</x:v>
      </x:c>
      <x:c r="O41" s="16" t="n">
        <x:v>46</x:v>
      </x:c>
      <x:c r="P41" s="16" t="n">
        <x:v>80</x:v>
      </x:c>
      <x:c r="Q41" s="16" t="n">
        <x:v>12</x:v>
      </x:c>
      <x:c r="R41" s="16" t="n">
        <x:v>92</x:v>
      </x:c>
      <x:c r="S41" s="14" t="str">
        <x:v>SCALE_CEIL_FROM_20_BASELINE</x:v>
      </x:c>
      <x:c r="T41" s="2" t="str">
        <x:v>COMMON</x:v>
      </x:c>
      <x:c r="U41" s="14" t="str">
        <x:v>MECHANICAL_AUTHORITY_FROZEN_PENDING_SI_AAD</x:v>
      </x:c>
      <x:c r="V41" s="17" t="str">
        <x:v>Authorized Molex distributor</x:v>
      </x:c>
      <x:c r="W41" s="17" t="str">
        <x:v>Mating pull test contact resistance continuity and temperature</x:v>
      </x:c>
      <x:c r="X41" s="17" t="str">
        <x:v>Mating housing 5040510601; terminal 5040520098; pinout 1V8/GND/CLK/DATA/WAKE/AAD_CFG(THSEL); -40..105 C</x:v>
      </x:c>
      <x:c r="Y41" s="2" t="str"/>
      <x:c r="Z41" s="2" t="str">
        <x:v>ELECTRICAL_COMPONENT</x:v>
      </x:c>
      <x:c r="AA41" s="2" t="str">
        <x:v>FITTED</x:v>
      </x:c>
      <x:c r="AB41" s="2" t="str">
        <x:v>-40..105</x:v>
      </x:c>
      <x:c r="AC41" s="14" t="str">
        <x:v>CONTROLLED_PENDING_VERIFICATION</x:v>
      </x:c>
    </x:row>
    <x:row r="42" ht="60" hidden="0" customHeight="1">
      <x:c r="A42" s="14" t="str">
        <x:v>BAT1</x:v>
      </x:c>
      <x:c r="B42" s="14" t="str">
        <x:v>SYSTEM</x:v>
      </x:c>
      <x:c r="C42" s="14" t="str">
        <x:v>BT1</x:v>
      </x:c>
      <x:c r="D42" s="14" t="str">
        <x:v>Battery</x:v>
      </x:c>
      <x:c r="E42" s="17" t="str">
        <x:v>12.8 V 40 Ah LiFePO4 battery with BMS</x:v>
      </x:c>
      <x:c r="F42" s="14" t="str">
        <x:v>RELiON</x:v>
      </x:c>
      <x:c r="G42" s="14" t="str">
        <x:v>RB40</x:v>
      </x:c>
      <x:c r="H42" s="14" t="str">
        <x:v>197x166x173 mm IP66 M8 pack</x:v>
      </x:c>
      <x:c r="I42" s="107" t="n">
        <x:v>1</x:v>
      </x:c>
      <x:c r="J42" s="107" t="n">
        <x:v>4</x:v>
      </x:c>
      <x:c r="K42" s="107" t="n">
        <x:v>1</x:v>
      </x:c>
      <x:c r="L42" s="107" t="n">
        <x:v>5</x:v>
      </x:c>
      <x:c r="M42" s="107" t="n">
        <x:v>10</x:v>
      </x:c>
      <x:c r="N42" s="107" t="n">
        <x:v>1</x:v>
      </x:c>
      <x:c r="O42" s="107" t="n">
        <x:v>11</x:v>
      </x:c>
      <x:c r="P42" s="107" t="n">
        <x:v>20</x:v>
      </x:c>
      <x:c r="Q42" s="107" t="n">
        <x:v>1</x:v>
      </x:c>
      <x:c r="R42" s="107" t="n">
        <x:v>21</x:v>
      </x:c>
      <x:c r="S42" s="14" t="str">
        <x:v>SCALE_CEIL_FROM_20_BASELINE</x:v>
      </x:c>
      <x:c r="T42" s="14" t="str">
        <x:v>COMMON</x:v>
      </x:c>
      <x:c r="U42" s="14" t="str">
        <x:v>CONTROLLED_EVT_PURCHASE_EXACT_MPN_VALIDATION_DURING_ASSEMBLY_EVT</x:v>
      </x:c>
      <x:c r="V42" s="17" t="str">
        <x:v>RELiON or authorized distributor; exact RB40 only; no substitution; retain applicable battery transport documents</x:v>
      </x:c>
      <x:c r="W42" s="17" t="str">
        <x:v>Reconcile PO packing slip quantity and visible damage; check every unit polarity and open-circuit voltage at installation; capacity DCIR BMS and cold behavior during assembly and EVT</x:v>
      </x:c>
      <x:c r="X42" s="17" t="str">
        <x:v>EVT-20 baseline is 40 Ah and 512 Wh; 60 Ah is post-EVT only; discharge -20..60 C and charge -20..45 C do not close station -40..+70 C; charging remains inhibited below 0 C through MPPT-TEMP; cold enclosure and system qualification block production release</x:v>
      </x:c>
      <x:c r="Y42" s="14" t="str"/>
      <x:c r="Z42" s="14" t="str">
        <x:v>SYSTEM_ITEM</x:v>
      </x:c>
      <x:c r="AA42" s="14" t="str">
        <x:v>FITTED</x:v>
      </x:c>
      <x:c r="AB42" s="14" t="str">
        <x:v>-20..60 discharge; -20..45 charge</x:v>
      </x:c>
      <x:c r="AC42" s="14" t="str">
        <x:v>CONTROLLED</x:v>
      </x:c>
    </x:row>
    <x:row r="43" ht="36" hidden="0" customHeight="1">
      <x:c r="A43" s="14" t="str">
        <x:v>PV1</x:v>
      </x:c>
      <x:c r="B43" s="14" t="str">
        <x:v>SYSTEM</x:v>
      </x:c>
      <x:c r="C43" s="14" t="str">
        <x:v>PV1</x:v>
      </x:c>
      <x:c r="D43" s="14" t="str">
        <x:v>Solar panel</x:v>
      </x:c>
      <x:c r="E43" s="17" t="str">
        <x:v>80 W 12 V monocrystalline outdoor solar panel</x:v>
      </x:c>
      <x:c r="F43" s="14" t="str">
        <x:v>SLD Tech / Solarland</x:v>
      </x:c>
      <x:c r="G43" s="14" t="str">
        <x:v>SLP080S-12M</x:v>
      </x:c>
      <x:c r="H43" s="14" t="str">
        <x:v>1475x342x40 mm framed 36-cell panel</x:v>
      </x:c>
      <x:c r="I43" s="107" t="n">
        <x:v>1</x:v>
      </x:c>
      <x:c r="J43" s="107" t="n">
        <x:v>4</x:v>
      </x:c>
      <x:c r="K43" s="107" t="n">
        <x:v>1</x:v>
      </x:c>
      <x:c r="L43" s="107" t="n">
        <x:v>5</x:v>
      </x:c>
      <x:c r="M43" s="107" t="n">
        <x:v>10</x:v>
      </x:c>
      <x:c r="N43" s="107" t="n">
        <x:v>1</x:v>
      </x:c>
      <x:c r="O43" s="107" t="n">
        <x:v>11</x:v>
      </x:c>
      <x:c r="P43" s="107" t="n">
        <x:v>20</x:v>
      </x:c>
      <x:c r="Q43" s="107" t="n">
        <x:v>1</x:v>
      </x:c>
      <x:c r="R43" s="107" t="n">
        <x:v>21</x:v>
      </x:c>
      <x:c r="S43" s="14" t="str">
        <x:v>SCALE_CEIL_FROM_20_BASELINE</x:v>
      </x:c>
      <x:c r="T43" s="14" t="str">
        <x:v>COMMON</x:v>
      </x:c>
      <x:c r="U43" s="14" t="str">
        <x:v>CONTROLLED_EVT_PURCHASE_EXACT_MPN_VALIDATION_DURING_ASSEMBLY_EVT</x:v>
      </x:c>
      <x:c r="V43" s="17" t="str">
        <x:v>SLD Tech or authorized distributor; exact SLP080S-12M only; no substitution</x:v>
      </x:c>
      <x:c r="W43" s="17" t="str">
        <x:v>Reconcile PO packing slip quantity and visible transit damage; measure installed-unit Voc and perform IV insulation wet-leakage cold-Voc bracket cable and transport validation during assembly and EVT</x:v>
      </x:c>
      <x:c r="X43" s="17" t="str">
        <x:v>80 W baseline; Vmp 18.46 V Imp 4.33 A Voc 22.52 V Isc 4.56 A and -40..85 C; physical panel and mechanical-system qualification remain production-release gates</x:v>
      </x:c>
      <x:c r="Y43" s="14" t="str"/>
      <x:c r="Z43" s="14" t="str">
        <x:v>SYSTEM_ITEM</x:v>
      </x:c>
      <x:c r="AA43" s="14" t="str">
        <x:v>FITTED</x:v>
      </x:c>
      <x:c r="AB43" s="14" t="str">
        <x:v>-40..85</x:v>
      </x:c>
      <x:c r="AC43" s="14" t="str">
        <x:v>CONTROLLED</x:v>
      </x:c>
    </x:row>
    <x:row r="44" ht="60" hidden="0" customHeight="1">
      <x:c r="A44" s="14" t="str">
        <x:v>MPPT1</x:v>
      </x:c>
      <x:c r="B44" s="14" t="str">
        <x:v>SYSTEM</x:v>
      </x:c>
      <x:c r="C44" s="14" t="str">
        <x:v>U-MPPT</x:v>
      </x:c>
      <x:c r="D44" s="14" t="str">
        <x:v>Controller</x:v>
      </x:c>
      <x:c r="E44" s="17" t="str">
        <x:v>External SmartSolar 10 A LiFePO4 MPPT controller</x:v>
      </x:c>
      <x:c r="F44" s="14" t="str">
        <x:v>Victron Energy</x:v>
      </x:c>
      <x:c r="G44" s="14" t="str">
        <x:v>SCC075010060R</x:v>
      </x:c>
      <x:c r="H44" s="14" t="str">
        <x:v>100x113x40 mm IP43 electronics IP22 terminals</x:v>
      </x:c>
      <x:c r="I44" s="107" t="n">
        <x:v>1</x:v>
      </x:c>
      <x:c r="J44" s="107" t="n">
        <x:v>4</x:v>
      </x:c>
      <x:c r="K44" s="107" t="n">
        <x:v>1</x:v>
      </x:c>
      <x:c r="L44" s="107" t="n">
        <x:v>5</x:v>
      </x:c>
      <x:c r="M44" s="107" t="n">
        <x:v>10</x:v>
      </x:c>
      <x:c r="N44" s="107" t="n">
        <x:v>1</x:v>
      </x:c>
      <x:c r="O44" s="107" t="n">
        <x:v>11</x:v>
      </x:c>
      <x:c r="P44" s="107" t="n">
        <x:v>20</x:v>
      </x:c>
      <x:c r="Q44" s="107" t="n">
        <x:v>1</x:v>
      </x:c>
      <x:c r="R44" s="107" t="n">
        <x:v>21</x:v>
      </x:c>
      <x:c r="S44" s="14" t="str">
        <x:v>SCALE_CEIL_FROM_20_BASELINE</x:v>
      </x:c>
      <x:c r="T44" s="14" t="str">
        <x:v>COMMON</x:v>
      </x:c>
      <x:c r="U44" s="14" t="str">
        <x:v>CONTROLLED_EVT_PURCHASE_EXACT_MPN_VALIDATION_DURING_ASSEMBLY_EVT</x:v>
      </x:c>
      <x:c r="V44" s="17" t="str">
        <x:v>Victron authorized distributor; exact SCC075010060R only; no substitution</x:v>
      </x:c>
      <x:c r="W44" s="17" t="str">
        <x:v>Reconcile PO packing slip quantity and visible damage; bind article and firmware at installation; export configuration and test charge profile reverse current quiescent thermal and cutoff during assembly EOL and EVT</x:v>
      </x:c>
      <x:c r="X44" s="17" t="str">
        <x:v>SmartSolar MPPT 75/10; 12/24 V 10 A 75 V and 145 W nominal PV at 12 V; pair with MPPT-TEMP in one VE.Smart network and set low-temperature cutoff to 0 C; -30..60 C controller range and exposed terminals require enclosure and cold-system qualification</x:v>
      </x:c>
      <x:c r="Y44" s="14" t="str"/>
      <x:c r="Z44" s="14" t="str">
        <x:v>SYSTEM_ITEM</x:v>
      </x:c>
      <x:c r="AA44" s="14" t="str">
        <x:v>FITTED</x:v>
      </x:c>
      <x:c r="AB44" s="14" t="str">
        <x:v>-30..60</x:v>
      </x:c>
      <x:c r="AC44" s="14" t="str">
        <x:v>CONTROLLED</x:v>
      </x:c>
    </x:row>
    <x:row r="45" ht="84" hidden="0" customHeight="1">
      <x:c r="A45" s="14" t="str">
        <x:v>MPPT-TEMP</x:v>
      </x:c>
      <x:c r="B45" s="14" t="str">
        <x:v>SYSTEM</x:v>
      </x:c>
      <x:c r="C45" s="14" t="str">
        <x:v>TS-BAT1</x:v>
      </x:c>
      <x:c r="D45" s="14" t="str">
        <x:v>Sensor</x:v>
      </x:c>
      <x:c r="E45" s="17" t="str">
        <x:v>Wireless battery voltage and temperature sensor for MPPT</x:v>
      </x:c>
      <x:c r="F45" s="14" t="str">
        <x:v>Victron Energy</x:v>
      </x:c>
      <x:c r="G45" s="14" t="str">
        <x:v>SBS050150200</x:v>
      </x:c>
      <x:c r="H45" s="14" t="str">
        <x:v>Smart Battery Sense long range up to 10 m radio with 0.45 m leads and M10 eyelets</x:v>
      </x:c>
      <x:c r="I45" s="107" t="n">
        <x:v>1</x:v>
      </x:c>
      <x:c r="J45" s="107" t="n">
        <x:v>4</x:v>
      </x:c>
      <x:c r="K45" s="107" t="n">
        <x:v>1</x:v>
      </x:c>
      <x:c r="L45" s="107" t="n">
        <x:v>5</x:v>
      </x:c>
      <x:c r="M45" s="107" t="n">
        <x:v>10</x:v>
      </x:c>
      <x:c r="N45" s="107" t="n">
        <x:v>1</x:v>
      </x:c>
      <x:c r="O45" s="107" t="n">
        <x:v>11</x:v>
      </x:c>
      <x:c r="P45" s="107" t="n">
        <x:v>20</x:v>
      </x:c>
      <x:c r="Q45" s="107" t="n">
        <x:v>1</x:v>
      </x:c>
      <x:c r="R45" s="107" t="n">
        <x:v>21</x:v>
      </x:c>
      <x:c r="S45" s="14" t="str">
        <x:v>SCALE_CEIL_FROM_20_BASELINE</x:v>
      </x:c>
      <x:c r="T45" s="14" t="str">
        <x:v>COMMON</x:v>
      </x:c>
      <x:c r="U45" s="14" t="str">
        <x:v>CONTROLLED_EVT_PURCHASE_EXACT_MPN_VALIDATION_DURING_ASSEMBLY_EVT</x:v>
      </x:c>
      <x:c r="V45" s="17" t="str">
        <x:v>Victron authorized distributor; exact SBS050150200 only; no substitution</x:v>
      </x:c>
      <x:c r="W45" s="17" t="str">
        <x:v>Reconcile PO packing slip quantity and visible damage; verify 0.45 m lead M10 eyelets retention accuracy VE.Smart pairing cutoff reconnect and network retention during station assembly EOL and cold EVT</x:v>
      </x:c>
      <x:c r="X45" s="17" t="str">
        <x:v>Required for SmartSolar low-temperature inhibit; attach to RB40 body and M8 terminals through an approved retention stack; official operating range is -10..60 C and 10 m denotes wireless range not lead length; prove actual battery temperature reception cutoff at 0 C resume above 0.5 C and cold-system behavior before production release</x:v>
      </x:c>
      <x:c r="Y45" s="14" t="str"/>
      <x:c r="Z45" s="14" t="str">
        <x:v>SYSTEM_ITEM</x:v>
      </x:c>
      <x:c r="AA45" s="14" t="str">
        <x:v>FITTED</x:v>
      </x:c>
      <x:c r="AB45" s="14" t="str">
        <x:v>-10..60</x:v>
      </x:c>
      <x:c r="AC45" s="14" t="str">
        <x:v>CONTROLLED</x:v>
      </x:c>
    </x:row>
    <x:row r="46" ht="60" hidden="0" customHeight="1">
      <x:c r="A46" s="14" t="str">
        <x:v>ANT-CELL</x:v>
      </x:c>
      <x:c r="B46" s="14" t="str">
        <x:v>SYSTEM</x:v>
      </x:c>
      <x:c r="C46" s="14" t="str">
        <x:v>AE1</x:v>
      </x:c>
      <x:c r="D46" s="14" t="str">
        <x:v>Antenna</x:v>
      </x:c>
      <x:c r="E46" s="17" t="str">
        <x:v>Outdoor wideband cellular antenna with SMA male cable</x:v>
      </x:c>
      <x:c r="F46" s="14" t="str">
        <x:v>Taoglas</x:v>
      </x:c>
      <x:c r="G46" s="14" t="str">
        <x:v>G30.B.108111</x:v>
      </x:c>
      <x:c r="H46" s="14" t="str">
        <x:v>IP67 screw-mount dome with 1 m cable and SMA(M)</x:v>
      </x:c>
      <x:c r="I46" s="107" t="n">
        <x:v>1</x:v>
      </x:c>
      <x:c r="J46" s="107" t="n">
        <x:v>4</x:v>
      </x:c>
      <x:c r="K46" s="107" t="n">
        <x:v>1</x:v>
      </x:c>
      <x:c r="L46" s="107" t="n">
        <x:v>5</x:v>
      </x:c>
      <x:c r="M46" s="107" t="n">
        <x:v>10</x:v>
      </x:c>
      <x:c r="N46" s="107" t="n">
        <x:v>1</x:v>
      </x:c>
      <x:c r="O46" s="107" t="n">
        <x:v>11</x:v>
      </x:c>
      <x:c r="P46" s="107" t="n">
        <x:v>20</x:v>
      </x:c>
      <x:c r="Q46" s="107" t="n">
        <x:v>2</x:v>
      </x:c>
      <x:c r="R46" s="107" t="n">
        <x:v>22</x:v>
      </x:c>
      <x:c r="S46" s="14" t="str">
        <x:v>SCALE_CEIL_FROM_20_BASELINE</x:v>
      </x:c>
      <x:c r="T46" s="14" t="str">
        <x:v>COMMON</x:v>
      </x:c>
      <x:c r="U46" s="14" t="str">
        <x:v>CONTROLLED_EVT_PURCHASE_EXACT_MPN_VALIDATION_DURING_ASSEMBLY_EVT</x:v>
      </x:c>
      <x:c r="V46" s="17" t="str">
        <x:v>Taoglas or established distributor; exact G30.B.108111 only; no substitution; resolve manufacturer page cable-construction discrepancy on quote</x:v>
      </x:c>
      <x:c r="W46" s="17" t="str">
        <x:v>Reconcile PO packing slip quantity and visible damage; verify cable length connector mate route seal installed VSWR loss attach and coexistence during assembly EOL and EVT</x:v>
      </x:c>
      <x:c r="X46" s="17" t="str">
        <x:v>698-960 and 1710-2700 MHz manufacturer headline coverage for BG95-M3; SMA(M) mates outside the housing to RF-PIGTAIL bulkhead; manufacturer page conflicts on RG-316 versus RG-178 cable wording so the ordered construction must be recorded without inferring a value</x:v>
      </x:c>
      <x:c r="Y46" s="14" t="str"/>
      <x:c r="Z46" s="14" t="str">
        <x:v>SYSTEM_ITEM</x:v>
      </x:c>
      <x:c r="AA46" s="14" t="str">
        <x:v>FITTED</x:v>
      </x:c>
      <x:c r="AB46" s="14" t="str">
        <x:v>-40..85</x:v>
      </x:c>
      <x:c r="AC46" s="14" t="str">
        <x:v>CONTROLLED</x:v>
      </x:c>
    </x:row>
    <x:row r="47" ht="48" hidden="0" customHeight="1">
      <x:c r="A47" s="14" t="str">
        <x:v>ANT-GNSS</x:v>
      </x:c>
      <x:c r="B47" s="14" t="str">
        <x:v>SYSTEM</x:v>
      </x:c>
      <x:c r="C47" s="14" t="str">
        <x:v>AE2</x:v>
      </x:c>
      <x:c r="D47" s="14" t="str">
        <x:v>Antenna</x:v>
      </x:c>
      <x:c r="E47" s="17" t="str">
        <x:v>Outdoor active multi-GNSS L1 antenna with SMA male cable</x:v>
      </x:c>
      <x:c r="F47" s="14" t="str">
        <x:v>Taoglas</x:v>
      </x:c>
      <x:c r="G47" s="14" t="str">
        <x:v>AA.166.A.301111</x:v>
      </x:c>
      <x:c r="H47" s="14" t="str">
        <x:v>IP67 magnetic 37.8x40.4x10 mm with 3 m RG174 SMA(M)</x:v>
      </x:c>
      <x:c r="I47" s="107" t="n">
        <x:v>1</x:v>
      </x:c>
      <x:c r="J47" s="107" t="n">
        <x:v>4</x:v>
      </x:c>
      <x:c r="K47" s="107" t="n">
        <x:v>1</x:v>
      </x:c>
      <x:c r="L47" s="107" t="n">
        <x:v>5</x:v>
      </x:c>
      <x:c r="M47" s="107" t="n">
        <x:v>10</x:v>
      </x:c>
      <x:c r="N47" s="107" t="n">
        <x:v>1</x:v>
      </x:c>
      <x:c r="O47" s="107" t="n">
        <x:v>11</x:v>
      </x:c>
      <x:c r="P47" s="107" t="n">
        <x:v>20</x:v>
      </x:c>
      <x:c r="Q47" s="107" t="n">
        <x:v>2</x:v>
      </x:c>
      <x:c r="R47" s="107" t="n">
        <x:v>22</x:v>
      </x:c>
      <x:c r="S47" s="14" t="str">
        <x:v>SCALE_CEIL_FROM_20_BASELINE</x:v>
      </x:c>
      <x:c r="T47" s="14" t="str">
        <x:v>COMMON</x:v>
      </x:c>
      <x:c r="U47" s="14" t="str">
        <x:v>CONTROLLED_EVT_PURCHASE_EXACT_MPN_VALIDATION_DURING_ASSEMBLY_EVT</x:v>
      </x:c>
      <x:c r="V47" s="17" t="str">
        <x:v>Taoglas or established distributor; exact AA.166.A.301111 only; no substitution</x:v>
      </x:c>
      <x:c r="W47" s="17" t="str">
        <x:v>Reconcile PO packing slip quantity and visible damage; verify connector cable route current at 3.3 V receiver sensitivity PPS mounting and coexistence during assembly EOL and EVT</x:v>
      </x:c>
      <x:c r="X47" s="17" t="str">
        <x:v>1559-1610 MHz and 3-5 V active antenna; SMA(M) mates outside the housing to RF-PIGTAIL bulkhead; project current limit is at most 50 mA and installed sensitivity remains a physical production-release gate</x:v>
      </x:c>
      <x:c r="Y47" s="14" t="str"/>
      <x:c r="Z47" s="14" t="str">
        <x:v>SYSTEM_ITEM</x:v>
      </x:c>
      <x:c r="AA47" s="14" t="str">
        <x:v>FITTED</x:v>
      </x:c>
      <x:c r="AB47" s="14" t="str">
        <x:v>-40..85</x:v>
      </x:c>
      <x:c r="AC47" s="14" t="str">
        <x:v>CONTROLLED</x:v>
      </x:c>
    </x:row>
    <x:row r="48" ht="48" hidden="0" customHeight="1">
      <x:c r="A48" s="14" t="str">
        <x:v>ANT-LORA</x:v>
      </x:c>
      <x:c r="B48" s="14" t="str">
        <x:v>SYSTEM</x:v>
      </x:c>
      <x:c r="C48" s="14" t="str">
        <x:v>AE3</x:v>
      </x:c>
      <x:c r="D48" s="14" t="str">
        <x:v>Antenna</x:v>
      </x:c>
      <x:c r="E48" s="17" t="str">
        <x:v>Outdoor RU868 terminal antenna with SMA male</x:v>
      </x:c>
      <x:c r="F48" s="14" t="str">
        <x:v>Taoglas</x:v>
      </x:c>
      <x:c r="G48" s="14" t="str">
        <x:v>TI.89.B.2111W</x:v>
      </x:c>
      <x:c r="H48" s="14" t="str">
        <x:v>IP67 terminal antenna 180x13 mm SMA(M)</x:v>
      </x:c>
      <x:c r="I48" s="107" t="n">
        <x:v>1</x:v>
      </x:c>
      <x:c r="J48" s="107" t="n">
        <x:v>4</x:v>
      </x:c>
      <x:c r="K48" s="107" t="n">
        <x:v>1</x:v>
      </x:c>
      <x:c r="L48" s="107" t="n">
        <x:v>5</x:v>
      </x:c>
      <x:c r="M48" s="107" t="n">
        <x:v>10</x:v>
      </x:c>
      <x:c r="N48" s="107" t="n">
        <x:v>1</x:v>
      </x:c>
      <x:c r="O48" s="107" t="n">
        <x:v>11</x:v>
      </x:c>
      <x:c r="P48" s="107" t="n">
        <x:v>20</x:v>
      </x:c>
      <x:c r="Q48" s="107" t="n">
        <x:v>2</x:v>
      </x:c>
      <x:c r="R48" s="107" t="n">
        <x:v>22</x:v>
      </x:c>
      <x:c r="S48" s="14" t="str">
        <x:v>SCALE_CEIL_FROM_20_BASELINE</x:v>
      </x:c>
      <x:c r="T48" s="14" t="str">
        <x:v>RU868_PILOT</x:v>
      </x:c>
      <x:c r="U48" s="14" t="str">
        <x:v>CONTROLLED_EVT_PURCHASE_EXACT_MPN_VALIDATION_DURING_ASSEMBLY_EVT</x:v>
      </x:c>
      <x:c r="V48" s="17" t="str">
        <x:v>Taoglas or established distributor; exact TI.89.B.2111W only; no substitution</x:v>
      </x:c>
      <x:c r="W48" s="17" t="str">
        <x:v>Reconcile PO packing slip quantity and visible damage; verify connector mate installed VSWR conducted power sensitivity coexistence and RU868 radiated compliance during assembly EOL and EVT</x:v>
      </x:c>
      <x:c r="X48" s="17" t="str">
        <x:v>860-930 MHz with 862-874 MHz measured 868 MHz range; SMA(M) mounts on RF-PIGTAIL bulkhead; installed RF and regulatory evidence remain production-release gates</x:v>
      </x:c>
      <x:c r="Y48" s="14" t="str"/>
      <x:c r="Z48" s="14" t="str">
        <x:v>SYSTEM_ITEM</x:v>
      </x:c>
      <x:c r="AA48" s="14" t="str">
        <x:v>FITTED</x:v>
      </x:c>
      <x:c r="AB48" s="14" t="str">
        <x:v>-40..85</x:v>
      </x:c>
      <x:c r="AC48" s="14" t="str">
        <x:v>CONTROLLED</x:v>
      </x:c>
    </x:row>
    <x:row r="49" ht="60" hidden="0" customHeight="1">
      <x:c r="A49" s="14" t="str">
        <x:v>RF-PIGTAIL</x:v>
      </x:c>
      <x:c r="B49" s="14" t="str">
        <x:v>SYSTEM</x:v>
      </x:c>
      <x:c r="C49" s="14" t="str">
        <x:v>J8/J9/J10 cable</x:v>
      </x:c>
      <x:c r="D49" s="14" t="str">
        <x:v>RF cable</x:v>
      </x:c>
      <x:c r="E49" s="17" t="str">
        <x:v>Internal 150 mm U.FL-compatible right-angle to SMA female bulkhead pigtail</x:v>
      </x:c>
      <x:c r="F49" s="14" t="str">
        <x:v>Taoglas</x:v>
      </x:c>
      <x:c r="G49" s="14" t="str">
        <x:v>CAB.0243</x:v>
      </x:c>
      <x:c r="H49" s="14" t="str">
        <x:v>1.13 mm micro-coax 150 mm MHF I/U.FL-compatible R/A to waterproof SMA(F) bulkhead</x:v>
      </x:c>
      <x:c r="I49" s="107" t="n">
        <x:v>3</x:v>
      </x:c>
      <x:c r="J49" s="107" t="n">
        <x:v>12</x:v>
      </x:c>
      <x:c r="K49" s="107" t="n">
        <x:v>2</x:v>
      </x:c>
      <x:c r="L49" s="107" t="n">
        <x:v>14</x:v>
      </x:c>
      <x:c r="M49" s="107" t="n">
        <x:v>30</x:v>
      </x:c>
      <x:c r="N49" s="107" t="n">
        <x:v>3</x:v>
      </x:c>
      <x:c r="O49" s="107" t="n">
        <x:v>33</x:v>
      </x:c>
      <x:c r="P49" s="107" t="n">
        <x:v>60</x:v>
      </x:c>
      <x:c r="Q49" s="107" t="n">
        <x:v>6</x:v>
      </x:c>
      <x:c r="R49" s="107" t="n">
        <x:v>66</x:v>
      </x:c>
      <x:c r="S49" s="14" t="str">
        <x:v>SCALE_CEIL_FROM_20_BASELINE</x:v>
      </x:c>
      <x:c r="T49" s="14" t="str">
        <x:v>COMMON</x:v>
      </x:c>
      <x:c r="U49" s="14" t="str">
        <x:v>CONTROLLED_EVT_PURCHASE_EXACT_MPN_VALIDATION_DURING_ASSEMBLY_EVT</x:v>
      </x:c>
      <x:c r="V49" s="17" t="str">
        <x:v>Taoglas or established distributor; exact CAB.0243 only; no substitution</x:v>
      </x:c>
      <x:c r="W49" s="17" t="str">
        <x:v>Reconcile PO packing slip quantity and visible damage; verify every installed cable continuity polarity length and route then mate retention bend seal torque temperature and VNA performance during assembly EOL and EVT</x:v>
      </x:c>
      <x:c r="X49" s="17" t="str">
        <x:v>One identical pigtail on J8 J9 and J10; Taoglas SPE-24-8-147-A states I-PEX MHF I (U.FL compatible) to normal-polarity SMA(F) bulkhead with 150 mm 1.13 mm coax minimum bend radius 6.8 mm and published -60..200 C operating range; product page calls the bulkhead waterproof but gives no numeric IP class; installed physical validation remains open</x:v>
      </x:c>
      <x:c r="Y49" s="14" t="str"/>
      <x:c r="Z49" s="14" t="str">
        <x:v>SYSTEM_ITEM</x:v>
      </x:c>
      <x:c r="AA49" s="14" t="str">
        <x:v>FITTED</x:v>
      </x:c>
      <x:c r="AB49" s="14" t="str">
        <x:v>-60..200</x:v>
      </x:c>
      <x:c r="AC49" s="14" t="str">
        <x:v>CONTROLLED</x:v>
      </x:c>
    </x:row>
    <x:row r="50" ht="36" hidden="0" customHeight="1">
      <x:c r="A50" s="14" t="str">
        <x:v>HARNESS</x:v>
      </x:c>
      <x:c r="B50" s="14" t="str">
        <x:v>SYSTEM</x:v>
      </x:c>
      <x:c r="C50" s="14" t="str">
        <x:v>-</x:v>
      </x:c>
      <x:c r="D50" s="14" t="str">
        <x:v>Harness</x:v>
      </x:c>
      <x:c r="E50" s="17" t="str">
        <x:v>Complete labeled harness set</x:v>
      </x:c>
      <x:c r="F50" s="14" t="str">
        <x:v>TBD</x:v>
      </x:c>
      <x:c r="G50" s="14" t="str">
        <x:v>TBD</x:v>
      </x:c>
      <x:c r="H50" s="14" t="str">
        <x:v>Assembly</x:v>
      </x:c>
      <x:c r="I50" s="107" t="n">
        <x:v>1</x:v>
      </x:c>
      <x:c r="J50" s="107" t="n">
        <x:v>4</x:v>
      </x:c>
      <x:c r="K50" s="107" t="n">
        <x:v>1</x:v>
      </x:c>
      <x:c r="L50" s="107" t="n">
        <x:v>5</x:v>
      </x:c>
      <x:c r="M50" s="107" t="n">
        <x:v>10</x:v>
      </x:c>
      <x:c r="N50" s="107" t="n">
        <x:v>1</x:v>
      </x:c>
      <x:c r="O50" s="107" t="n">
        <x:v>11</x:v>
      </x:c>
      <x:c r="P50" s="107" t="n">
        <x:v>20</x:v>
      </x:c>
      <x:c r="Q50" s="107" t="n">
        <x:v>2</x:v>
      </x:c>
      <x:c r="R50" s="107" t="n">
        <x:v>22</x:v>
      </x:c>
      <x:c r="S50" s="14" t="str">
        <x:v>SCALE_CEIL_FROM_20_BASELINE</x:v>
      </x:c>
      <x:c r="T50" s="14" t="str">
        <x:v>COMMON</x:v>
      </x:c>
      <x:c r="U50" s="14" t="str">
        <x:v>OPEN_MECHANICAL_LENGTH_FREEZE</x:v>
      </x:c>
      <x:c r="V50" s="17" t="str">
        <x:v>Qualified harness factory</x:v>
      </x:c>
      <x:c r="W50" s="17" t="str">
        <x:v>100 percent continuity polarity pull sample</x:v>
      </x:c>
      <x:c r="X50" s="17" t="str">
        <x:v>MAIN-PWR uses two 43025-1200 housings; 18 AWG 43030-0038 for pins 1-6 and 20-24 AWG 43030-0001 for pins 7-12; separate drawing required</x:v>
      </x:c>
      <x:c r="Y50" s="14" t="str"/>
      <x:c r="Z50" s="14" t="str">
        <x:v>SYSTEM_ITEM</x:v>
      </x:c>
      <x:c r="AA50" s="14" t="str">
        <x:v>FITTED</x:v>
      </x:c>
      <x:c r="AB50" s="14" t="str">
        <x:v>OPEN</x:v>
      </x:c>
      <x:c r="AC50" s="14" t="str">
        <x:v>BLOCKED_SELECTION</x:v>
      </x:c>
    </x:row>
    <x:row r="51">
      <x:c r="A51" s="2" t="str">
        <x:v>HSG-VC</x:v>
      </x:c>
      <x:c r="B51" s="2" t="str">
        <x:v>SYSTEM</x:v>
      </x:c>
      <x:c r="C51" s="14" t="str">
        <x:v>HSG1</x:v>
      </x:c>
      <x:c r="D51" s="2" t="str">
        <x:v>Housing</x:v>
      </x:c>
      <x:c r="E51" s="17" t="str">
        <x:v>Vacuum-cast polyurethane housing set</x:v>
      </x:c>
      <x:c r="F51" s="2" t="str">
        <x:v>TBD</x:v>
      </x:c>
      <x:c r="G51" s="2" t="str">
        <x:v>TBD</x:v>
      </x:c>
      <x:c r="H51" s="2" t="str">
        <x:v>Assembly</x:v>
      </x:c>
      <x:c r="I51" s="16" t="n">
        <x:v>1</x:v>
      </x:c>
      <x:c r="J51" s="16" t="n">
        <x:v>4</x:v>
      </x:c>
      <x:c r="K51" s="16" t="n">
        <x:v>0</x:v>
      </x:c>
      <x:c r="L51" s="16" t="n">
        <x:v>4</x:v>
      </x:c>
      <x:c r="M51" s="16" t="n">
        <x:v>10</x:v>
      </x:c>
      <x:c r="N51" s="16" t="n">
        <x:v>0</x:v>
      </x:c>
      <x:c r="O51" s="16" t="n">
        <x:v>10</x:v>
      </x:c>
      <x:c r="P51" s="16" t="n">
        <x:v>20</x:v>
      </x:c>
      <x:c r="Q51" s="16" t="n">
        <x:v>0</x:v>
      </x:c>
      <x:c r="R51" s="16" t="n">
        <x:v>20</x:v>
      </x:c>
      <x:c r="S51" s="14" t="str">
        <x:v>NONE</x:v>
      </x:c>
      <x:c r="T51" s="2" t="str">
        <x:v>VACUUM_CASTING_PRIMARY</x:v>
      </x:c>
      <x:c r="U51" s="14" t="str">
        <x:v>RFQ_REQUIRED</x:v>
      </x:c>
      <x:c r="V51" s="17" t="str">
        <x:v>Qualified vacuum casting manufacturer</x:v>
      </x:c>
      <x:c r="W51" s="17" t="str">
        <x:v>FAI dimensions material cure finish inserts leak fit acoustic and RF checks</x:v>
      </x:c>
      <x:c r="X51" s="17" t="str">
        <x:v>Primary process for each selected EVT lot; controlled procurement calculations are generated for 4 10 and 20 stations</x:v>
      </x:c>
      <x:c r="Y51" s="2" t="str"/>
      <x:c r="Z51" s="2" t="str">
        <x:v>MECHANICAL_OPTION</x:v>
      </x:c>
      <x:c r="AA51" s="2" t="str">
        <x:v>N/A</x:v>
      </x:c>
      <x:c r="AB51" s="2" t="str">
        <x:v>OPEN</x:v>
      </x:c>
      <x:c r="AC51" s="14" t="str">
        <x:v>CONDITIONAL_NOT_RELEASED</x:v>
      </x:c>
    </x:row>
    <x:row r="52">
      <x:c r="A52" s="2" t="str">
        <x:v>HSG-3D</x:v>
      </x:c>
      <x:c r="B52" s="2" t="str">
        <x:v>SYSTEM</x:v>
      </x:c>
      <x:c r="C52" s="14" t="str">
        <x:v>HSG1</x:v>
      </x:c>
      <x:c r="D52" s="2" t="str">
        <x:v>Housing</x:v>
      </x:c>
      <x:c r="E52" s="17" t="str">
        <x:v>3D-printed fallback housing set</x:v>
      </x:c>
      <x:c r="F52" s="2" t="str">
        <x:v>TBD</x:v>
      </x:c>
      <x:c r="G52" s="2" t="str">
        <x:v>TBD</x:v>
      </x:c>
      <x:c r="H52" s="2" t="str">
        <x:v>Assembly</x:v>
      </x:c>
      <x:c r="I52" s="16" t="n">
        <x:v>0</x:v>
      </x:c>
      <x:c r="J52" s="16" t="n">
        <x:v>0</x:v>
      </x:c>
      <x:c r="K52" s="16" t="n">
        <x:v>0</x:v>
      </x:c>
      <x:c r="L52" s="16" t="n">
        <x:v>0</x:v>
      </x:c>
      <x:c r="M52" s="16" t="n">
        <x:v>0</x:v>
      </x:c>
      <x:c r="N52" s="16" t="n">
        <x:v>0</x:v>
      </x:c>
      <x:c r="O52" s="16" t="n">
        <x:v>0</x:v>
      </x:c>
      <x:c r="P52" s="16" t="n">
        <x:v>0</x:v>
      </x:c>
      <x:c r="Q52" s="16" t="n">
        <x:v>0</x:v>
      </x:c>
      <x:c r="R52" s="16" t="n">
        <x:v>0</x:v>
      </x:c>
      <x:c r="S52" s="14" t="str">
        <x:v>NONE</x:v>
      </x:c>
      <x:c r="T52" s="2" t="str">
        <x:v>THREE_D_PRINT_FALLBACK</x:v>
      </x:c>
      <x:c r="U52" s="14" t="str">
        <x:v>SOURCE_PACKAGE_REQUIRED</x:v>
      </x:c>
      <x:c r="V52" s="17" t="str">
        <x:v>Qualified print supplier or controlled FlashForge 5M Pro process</x:v>
      </x:c>
      <x:c r="W52" s="17" t="str">
        <x:v>Engineering sample dimensions material finish leak fit acoustic and RF checks</x:v>
      </x:c>
      <x:c r="X52" s="17" t="str">
        <x:v>Conditional selected-lot demand is activated only by ECO; 4 10 and 20 station scenarios remain zero until activation</x:v>
      </x:c>
      <x:c r="Y52" s="2" t="str"/>
      <x:c r="Z52" s="2" t="str">
        <x:v>MECHANICAL_OPTION</x:v>
      </x:c>
      <x:c r="AA52" s="2" t="str">
        <x:v>N/A</x:v>
      </x:c>
      <x:c r="AB52" s="2" t="str">
        <x:v>OPEN</x:v>
      </x:c>
      <x:c r="AC52" s="14" t="str">
        <x:v>CONDITIONAL_NOT_RELEASED</x:v>
      </x:c>
    </x:row>
    <x:row r="53">
      <x:c r="A53" s="2" t="str">
        <x:v>HSG-IM</x:v>
      </x:c>
      <x:c r="B53" s="2" t="str">
        <x:v>SYSTEM</x:v>
      </x:c>
      <x:c r="C53" s="14" t="str">
        <x:v>HSG1</x:v>
      </x:c>
      <x:c r="D53" s="2" t="str">
        <x:v>Housing</x:v>
      </x:c>
      <x:c r="E53" s="17" t="str">
        <x:v>Injection-molding source package and DFM</x:v>
      </x:c>
      <x:c r="F53" s="2" t="str">
        <x:v>TBD</x:v>
      </x:c>
      <x:c r="G53" s="2" t="str">
        <x:v>TBD</x:v>
      </x:c>
      <x:c r="H53" s="2" t="str">
        <x:v>Source_data</x:v>
      </x:c>
      <x:c r="I53" s="16" t="n">
        <x:v>0</x:v>
      </x:c>
      <x:c r="J53" s="16" t="n">
        <x:v>0</x:v>
      </x:c>
      <x:c r="K53" s="16" t="n">
        <x:v>0</x:v>
      </x:c>
      <x:c r="L53" s="16" t="n">
        <x:v>0</x:v>
      </x:c>
      <x:c r="M53" s="16" t="n">
        <x:v>0</x:v>
      </x:c>
      <x:c r="N53" s="16" t="n">
        <x:v>0</x:v>
      </x:c>
      <x:c r="O53" s="16" t="n">
        <x:v>0</x:v>
      </x:c>
      <x:c r="P53" s="16" t="n">
        <x:v>0</x:v>
      </x:c>
      <x:c r="Q53" s="16" t="n">
        <x:v>0</x:v>
      </x:c>
      <x:c r="R53" s="16" t="n">
        <x:v>0</x:v>
      </x:c>
      <x:c r="S53" s="14" t="str">
        <x:v>NONE</x:v>
      </x:c>
      <x:c r="T53" s="2" t="str">
        <x:v>INJECTION_MOLDING_FUTURE</x:v>
      </x:c>
      <x:c r="U53" s="14" t="str">
        <x:v>SOURCE_PACKAGE_REQUIRED</x:v>
      </x:c>
      <x:c r="V53" s="17" t="str">
        <x:v>Qualified mold manufacturer for DFM quotation</x:v>
      </x:c>
      <x:c r="W53" s="17" t="str">
        <x:v>Source audit wall draft ribs bosses parting ejector shrink material and tooling concept</x:v>
      </x:c>
      <x:c r="X53" s="17" t="str">
        <x:v>No tooling or physical pilot housing without separate authorization</x:v>
      </x:c>
      <x:c r="Y53" s="2" t="str"/>
      <x:c r="Z53" s="2" t="str">
        <x:v>MECHANICAL_OPTION</x:v>
      </x:c>
      <x:c r="AA53" s="2" t="str">
        <x:v>N/A</x:v>
      </x:c>
      <x:c r="AB53" s="2" t="str">
        <x:v>OPEN</x:v>
      </x:c>
      <x:c r="AC53" s="14" t="str">
        <x:v>CONDITIONAL_NOT_RELEASED</x:v>
      </x:c>
    </x:row>
    <x:row r="54">
      <x:c r="A54" s="2" t="str">
        <x:v>U16</x:v>
      </x:c>
      <x:c r="B54" s="2" t="str">
        <x:v>PCB-MAIN</x:v>
      </x:c>
      <x:c r="C54" s="14" t="str">
        <x:v>U16</x:v>
      </x:c>
      <x:c r="D54" s="2" t="str">
        <x:v>Logic</x:v>
      </x:c>
      <x:c r="E54" s="17" t="str">
        <x:v>BG95 UART/status 1.8V/3.3V translator</x:v>
      </x:c>
      <x:c r="F54" s="2" t="str">
        <x:v>Texas Instruments</x:v>
      </x:c>
      <x:c r="G54" s="2" t="str">
        <x:v>SN74AXC8T245PWR</x:v>
      </x:c>
      <x:c r="H54" s="2" t="str">
        <x:v>TSSOP-24</x:v>
      </x:c>
      <x:c r="I54" s="16" t="n">
        <x:v>1</x:v>
      </x:c>
      <x:c r="J54" s="16" t="n">
        <x:v>4</x:v>
      </x:c>
      <x:c r="K54" s="16" t="n">
        <x:v>1</x:v>
      </x:c>
      <x:c r="L54" s="16" t="n">
        <x:v>5</x:v>
      </x:c>
      <x:c r="M54" s="16" t="n">
        <x:v>10</x:v>
      </x:c>
      <x:c r="N54" s="16" t="n">
        <x:v>3</x:v>
      </x:c>
      <x:c r="O54" s="16" t="n">
        <x:v>13</x:v>
      </x:c>
      <x:c r="P54" s="16" t="n">
        <x:v>20</x:v>
      </x:c>
      <x:c r="Q54" s="16" t="n">
        <x:v>5</x:v>
      </x:c>
      <x:c r="R54" s="16" t="n">
        <x:v>25</x:v>
      </x:c>
      <x:c r="S54" s="14" t="str">
        <x:v>SCALE_CEIL_FROM_20_BASELINE</x:v>
      </x:c>
      <x:c r="T54" s="2" t="str">
        <x:v>COMMON</x:v>
      </x:c>
      <x:c r="U54" s="14" t="str">
        <x:v>SELECTED_PENDING_UART_POWER_SAMPLE</x:v>
      </x:c>
      <x:c r="V54" s="17" t="str">
        <x:v>Authorized or traceable tier-1 channel</x:v>
      </x:c>
      <x:c r="W54" s="17" t="str">
        <x:v>Marking MPN package orientation electrical functional sample</x:v>
      </x:c>
      <x:c r="X54" s="17" t="str">
        <x:v>Rev.A MAIN freeze; blockers: UART/RI/STATUS timing; partial-power isolation; burst ground-offset margin; measured current</x:v>
      </x:c>
      <x:c r="Y54" s="2" t="str"/>
      <x:c r="Z54" s="2" t="str">
        <x:v>ELECTRICAL_COMPONENT</x:v>
      </x:c>
      <x:c r="AA54" s="2" t="str">
        <x:v>FITTED</x:v>
      </x:c>
      <x:c r="AB54" s="2" t="str">
        <x:v>-40..125</x:v>
      </x:c>
      <x:c r="AC54" s="14" t="str">
        <x:v>CONTROLLED_PENDING_VERIFICATION</x:v>
      </x:c>
    </x:row>
    <x:row r="55">
      <x:c r="A55" s="2" t="str">
        <x:v>U17</x:v>
      </x:c>
      <x:c r="B55" s="2" t="str">
        <x:v>PCB-MAIN</x:v>
      </x:c>
      <x:c r="C55" s="14" t="str">
        <x:v>U17</x:v>
      </x:c>
      <x:c r="D55" s="2" t="str">
        <x:v>Logic</x:v>
      </x:c>
      <x:c r="E55" s="17" t="str">
        <x:v>T5838 four-channel AAD WAKE OR aggregation</x:v>
      </x:c>
      <x:c r="F55" s="2" t="str">
        <x:v>Texas Instruments</x:v>
      </x:c>
      <x:c r="G55" s="2" t="str">
        <x:v>SN74LVC32APWR</x:v>
      </x:c>
      <x:c r="H55" s="2" t="str">
        <x:v>TSSOP-14</x:v>
      </x:c>
      <x:c r="I55" s="16" t="n">
        <x:v>1</x:v>
      </x:c>
      <x:c r="J55" s="16" t="n">
        <x:v>4</x:v>
      </x:c>
      <x:c r="K55" s="16" t="n">
        <x:v>1</x:v>
      </x:c>
      <x:c r="L55" s="16" t="n">
        <x:v>5</x:v>
      </x:c>
      <x:c r="M55" s="16" t="n">
        <x:v>10</x:v>
      </x:c>
      <x:c r="N55" s="16" t="n">
        <x:v>3</x:v>
      </x:c>
      <x:c r="O55" s="16" t="n">
        <x:v>13</x:v>
      </x:c>
      <x:c r="P55" s="16" t="n">
        <x:v>20</x:v>
      </x:c>
      <x:c r="Q55" s="16" t="n">
        <x:v>5</x:v>
      </x:c>
      <x:c r="R55" s="16" t="n">
        <x:v>25</x:v>
      </x:c>
      <x:c r="S55" s="14" t="str">
        <x:v>SCALE_CEIL_FROM_20_BASELINE</x:v>
      </x:c>
      <x:c r="T55" s="2" t="str">
        <x:v>COMMON</x:v>
      </x:c>
      <x:c r="U55" s="14" t="str">
        <x:v>SELECTED_PENDING_AAD_WAKE_TEST</x:v>
      </x:c>
      <x:c r="V55" s="17" t="str">
        <x:v>Authorized or traceable tier-1 channel</x:v>
      </x:c>
      <x:c r="W55" s="17" t="str">
        <x:v>Marking MPN package orientation electrical functional sample</x:v>
      </x:c>
      <x:c r="X55" s="17" t="str">
        <x:v>Rev.A MAIN freeze; blockers: quiescent-current measurement; individual and aggregate wake latency; false-wake and open-harness tests</x:v>
      </x:c>
      <x:c r="Y55" s="2" t="str"/>
      <x:c r="Z55" s="2" t="str">
        <x:v>ELECTRICAL_COMPONENT</x:v>
      </x:c>
      <x:c r="AA55" s="2" t="str">
        <x:v>FITTED</x:v>
      </x:c>
      <x:c r="AB55" s="2" t="str">
        <x:v>-40..125</x:v>
      </x:c>
      <x:c r="AC55" s="14" t="str">
        <x:v>CONTROLLED_PENDING_VERIFICATION</x:v>
      </x:c>
    </x:row>
    <x:row r="56">
      <x:c r="A56" s="2" t="str">
        <x:v>U18</x:v>
      </x:c>
      <x:c r="B56" s="2" t="str">
        <x:v>PCB-MAIN</x:v>
      </x:c>
      <x:c r="C56" s="14" t="str">
        <x:v>U18</x:v>
      </x:c>
      <x:c r="D56" s="2" t="str">
        <x:v>Logic</x:v>
      </x:c>
      <x:c r="E56" s="17" t="str">
        <x:v>T5838 aggregated WAKE 1.8V-to-3.3V translator</x:v>
      </x:c>
      <x:c r="F56" s="2" t="str">
        <x:v>Texas Instruments</x:v>
      </x:c>
      <x:c r="G56" s="2" t="str">
        <x:v>SN74AXC1T45DRLR</x:v>
      </x:c>
      <x:c r="H56" s="2" t="str">
        <x:v>SOT-5X3_6</x:v>
      </x:c>
      <x:c r="I56" s="16" t="n">
        <x:v>1</x:v>
      </x:c>
      <x:c r="J56" s="16" t="n">
        <x:v>4</x:v>
      </x:c>
      <x:c r="K56" s="16" t="n">
        <x:v>1</x:v>
      </x:c>
      <x:c r="L56" s="16" t="n">
        <x:v>5</x:v>
      </x:c>
      <x:c r="M56" s="16" t="n">
        <x:v>10</x:v>
      </x:c>
      <x:c r="N56" s="16" t="n">
        <x:v>3</x:v>
      </x:c>
      <x:c r="O56" s="16" t="n">
        <x:v>13</x:v>
      </x:c>
      <x:c r="P56" s="16" t="n">
        <x:v>20</x:v>
      </x:c>
      <x:c r="Q56" s="16" t="n">
        <x:v>5</x:v>
      </x:c>
      <x:c r="R56" s="16" t="n">
        <x:v>25</x:v>
      </x:c>
      <x:c r="S56" s="14" t="str">
        <x:v>SCALE_CEIL_FROM_20_BASELINE</x:v>
      </x:c>
      <x:c r="T56" s="2" t="str">
        <x:v>COMMON</x:v>
      </x:c>
      <x:c r="U56" s="14" t="str">
        <x:v>SELECTED_PENDING_AAD_WAKE_TEST</x:v>
      </x:c>
      <x:c r="V56" s="17" t="str">
        <x:v>Authorized or traceable tier-1 channel</x:v>
      </x:c>
      <x:c r="W56" s="17" t="str">
        <x:v>Marking MPN package orientation electrical functional sample</x:v>
      </x:c>
      <x:c r="X56" s="17" t="str">
        <x:v>Rev.A MAIN freeze; blockers: wake edge and Stop-mode latency; partial-power test; quiescent-current measurement</x:v>
      </x:c>
      <x:c r="Y56" s="2" t="str"/>
      <x:c r="Z56" s="2" t="str">
        <x:v>ELECTRICAL_COMPONENT</x:v>
      </x:c>
      <x:c r="AA56" s="2" t="str">
        <x:v>FITTED</x:v>
      </x:c>
      <x:c r="AB56" s="2" t="str">
        <x:v>-40..125</x:v>
      </x:c>
      <x:c r="AC56" s="14" t="str">
        <x:v>CONTROLLED_PENDING_VERIFICATION</x:v>
      </x:c>
    </x:row>
    <x:row r="57">
      <x:c r="A57" s="2" t="str">
        <x:v>Q-MODEM-PWRKEY</x:v>
      </x:c>
      <x:c r="B57" s="2" t="str">
        <x:v>PCB-MAIN</x:v>
      </x:c>
      <x:c r="C57" s="14" t="str">
        <x:v>Q1</x:v>
      </x:c>
      <x:c r="D57" s="2" t="str">
        <x:v>Transistor</x:v>
      </x:c>
      <x:c r="E57" s="17" t="str">
        <x:v>BG95 PWRKEY open-collector driver</x:v>
      </x:c>
      <x:c r="F57" s="2" t="str">
        <x:v>Nexperia</x:v>
      </x:c>
      <x:c r="G57" s="2" t="str">
        <x:v>MMBT3904,215</x:v>
      </x:c>
      <x:c r="H57" s="2" t="str">
        <x:v>SOT23</x:v>
      </x:c>
      <x:c r="I57" s="16" t="n">
        <x:v>1</x:v>
      </x:c>
      <x:c r="J57" s="16" t="n">
        <x:v>4</x:v>
      </x:c>
      <x:c r="K57" s="16" t="n">
        <x:v>1</x:v>
      </x:c>
      <x:c r="L57" s="16" t="n">
        <x:v>5</x:v>
      </x:c>
      <x:c r="M57" s="16" t="n">
        <x:v>10</x:v>
      </x:c>
      <x:c r="N57" s="16" t="n">
        <x:v>3</x:v>
      </x:c>
      <x:c r="O57" s="16" t="n">
        <x:v>13</x:v>
      </x:c>
      <x:c r="P57" s="16" t="n">
        <x:v>20</x:v>
      </x:c>
      <x:c r="Q57" s="16" t="n">
        <x:v>5</x:v>
      </x:c>
      <x:c r="R57" s="16" t="n">
        <x:v>25</x:v>
      </x:c>
      <x:c r="S57" s="14" t="str">
        <x:v>SCALE_CEIL_FROM_20_BASELINE</x:v>
      </x:c>
      <x:c r="T57" s="2" t="str">
        <x:v>COMMON</x:v>
      </x:c>
      <x:c r="U57" s="14" t="str">
        <x:v>SELECTED_PENDING_CONTROL_TIMING_SAMPLE</x:v>
      </x:c>
      <x:c r="V57" s="17" t="str">
        <x:v>Authorized or traceable tier-1 channel</x:v>
      </x:c>
      <x:c r="W57" s="17" t="str">
        <x:v>Marking MPN package orientation electrical functional sample</x:v>
      </x:c>
      <x:c r="X57" s="17" t="str">
        <x:v>Rev.A MAIN freeze; blockers: 500-1000 ms pulse; collector-low margin; cold-start and shutdown timing</x:v>
      </x:c>
      <x:c r="Y57" s="2" t="str"/>
      <x:c r="Z57" s="2" t="str">
        <x:v>ELECTRICAL_COMPONENT</x:v>
      </x:c>
      <x:c r="AA57" s="2" t="str">
        <x:v>FITTED</x:v>
      </x:c>
      <x:c r="AB57" s="2" t="str">
        <x:v>-65..150</x:v>
      </x:c>
      <x:c r="AC57" s="14" t="str">
        <x:v>CONTROLLED_PENDING_VERIFICATION</x:v>
      </x:c>
    </x:row>
    <x:row r="58">
      <x:c r="A58" s="2" t="str">
        <x:v>Q-MODEM-RESET</x:v>
      </x:c>
      <x:c r="B58" s="2" t="str">
        <x:v>PCB-MAIN</x:v>
      </x:c>
      <x:c r="C58" s="14" t="str">
        <x:v>Q2</x:v>
      </x:c>
      <x:c r="D58" s="2" t="str">
        <x:v>Transistor</x:v>
      </x:c>
      <x:c r="E58" s="17" t="str">
        <x:v>BG95 RESET_N open-collector driver</x:v>
      </x:c>
      <x:c r="F58" s="2" t="str">
        <x:v>Nexperia</x:v>
      </x:c>
      <x:c r="G58" s="2" t="str">
        <x:v>MMBT3904,215</x:v>
      </x:c>
      <x:c r="H58" s="2" t="str">
        <x:v>SOT23</x:v>
      </x:c>
      <x:c r="I58" s="16" t="n">
        <x:v>1</x:v>
      </x:c>
      <x:c r="J58" s="16" t="n">
        <x:v>4</x:v>
      </x:c>
      <x:c r="K58" s="16" t="n">
        <x:v>1</x:v>
      </x:c>
      <x:c r="L58" s="16" t="n">
        <x:v>5</x:v>
      </x:c>
      <x:c r="M58" s="16" t="n">
        <x:v>10</x:v>
      </x:c>
      <x:c r="N58" s="16" t="n">
        <x:v>3</x:v>
      </x:c>
      <x:c r="O58" s="16" t="n">
        <x:v>13</x:v>
      </x:c>
      <x:c r="P58" s="16" t="n">
        <x:v>20</x:v>
      </x:c>
      <x:c r="Q58" s="16" t="n">
        <x:v>5</x:v>
      </x:c>
      <x:c r="R58" s="16" t="n">
        <x:v>25</x:v>
      </x:c>
      <x:c r="S58" s="14" t="str">
        <x:v>SCALE_CEIL_FROM_20_BASELINE</x:v>
      </x:c>
      <x:c r="T58" s="2" t="str">
        <x:v>COMMON</x:v>
      </x:c>
      <x:c r="U58" s="14" t="str">
        <x:v>SELECTED_PENDING_CONTROL_TIMING_SAMPLE</x:v>
      </x:c>
      <x:c r="V58" s="17" t="str">
        <x:v>Authorized or traceable tier-1 channel</x:v>
      </x:c>
      <x:c r="W58" s="17" t="str">
        <x:v>Marking MPN package orientation electrical functional sample</x:v>
      </x:c>
      <x:c r="X58" s="17" t="str">
        <x:v>Rev.A MAIN freeze; blockers: 2-3.8 s reset pulse; collector-low margin; reset recovery and mutual exclusion</x:v>
      </x:c>
      <x:c r="Y58" s="2" t="str"/>
      <x:c r="Z58" s="2" t="str">
        <x:v>ELECTRICAL_COMPONENT</x:v>
      </x:c>
      <x:c r="AA58" s="2" t="str">
        <x:v>FITTED</x:v>
      </x:c>
      <x:c r="AB58" s="2" t="str">
        <x:v>-65..150</x:v>
      </x:c>
      <x:c r="AC58" s="14" t="str">
        <x:v>CONTROLLED_PENDING_VERIFICATION</x:v>
      </x:c>
    </x:row>
    <x:row r="59">
      <x:c r="A59" s="2" t="str">
        <x:v>Q-SIM-MUX-EN</x:v>
      </x:c>
      <x:c r="B59" s="2" t="str">
        <x:v>PCB-MAIN</x:v>
      </x:c>
      <x:c r="C59" s="14" t="str">
        <x:v>Q3</x:v>
      </x:c>
      <x:c r="D59" s="2" t="str">
        <x:v>Transistor</x:v>
      </x:c>
      <x:c r="E59" s="17" t="str">
        <x:v>Dual-SIM mux boot-safe enable inverter</x:v>
      </x:c>
      <x:c r="F59" s="2" t="str">
        <x:v>Nexperia</x:v>
      </x:c>
      <x:c r="G59" s="2" t="str">
        <x:v>MMBT3904,215</x:v>
      </x:c>
      <x:c r="H59" s="2" t="str">
        <x:v>SOT23</x:v>
      </x:c>
      <x:c r="I59" s="16" t="n">
        <x:v>1</x:v>
      </x:c>
      <x:c r="J59" s="16" t="n">
        <x:v>4</x:v>
      </x:c>
      <x:c r="K59" s="16" t="n">
        <x:v>1</x:v>
      </x:c>
      <x:c r="L59" s="16" t="n">
        <x:v>5</x:v>
      </x:c>
      <x:c r="M59" s="16" t="n">
        <x:v>10</x:v>
      </x:c>
      <x:c r="N59" s="16" t="n">
        <x:v>3</x:v>
      </x:c>
      <x:c r="O59" s="16" t="n">
        <x:v>13</x:v>
      </x:c>
      <x:c r="P59" s="16" t="n">
        <x:v>20</x:v>
      </x:c>
      <x:c r="Q59" s="16" t="n">
        <x:v>5</x:v>
      </x:c>
      <x:c r="R59" s="16" t="n">
        <x:v>25</x:v>
      </x:c>
      <x:c r="S59" s="14" t="str">
        <x:v>SCALE_CEIL_FROM_20_BASELINE</x:v>
      </x:c>
      <x:c r="T59" s="2" t="str">
        <x:v>COMMON</x:v>
      </x:c>
      <x:c r="U59" s="14" t="str">
        <x:v>SELECTED_PENDING_SIM_SAFE_STATE_SAMPLE</x:v>
      </x:c>
      <x:c r="V59" s="17" t="str">
        <x:v>Authorized or traceable tier-1 channel</x:v>
      </x:c>
      <x:c r="W59" s="17" t="str">
        <x:v>Marking MPN package orientation electrical functional sample</x:v>
      </x:c>
      <x:c r="X59" s="17" t="str">
        <x:v>Rev.A MAIN freeze; blockers: reset and brownout High-Z behavior; U13 EN low margin; 100 slot-change cycles</x:v>
      </x:c>
      <x:c r="Y59" s="2" t="str"/>
      <x:c r="Z59" s="2" t="str">
        <x:v>ELECTRICAL_COMPONENT</x:v>
      </x:c>
      <x:c r="AA59" s="2" t="str">
        <x:v>FITTED</x:v>
      </x:c>
      <x:c r="AB59" s="2" t="str">
        <x:v>-65..150</x:v>
      </x:c>
      <x:c r="AC59" s="14" t="str">
        <x:v>CONTROLLED_PENDING_VERIFICATION</x:v>
      </x:c>
    </x:row>
    <x:row r="60">
      <x:c r="A60" s="2" t="str">
        <x:v>MAIN-010-C1</x:v>
      </x:c>
      <x:c r="B60" s="2" t="str">
        <x:v>PCB-MAIN</x:v>
      </x:c>
      <x:c r="C60" s="14" t="str">
        <x:v>C1</x:v>
      </x:c>
      <x:c r="D60" s="2" t="str">
        <x:v>Capacitor</x:v>
      </x:c>
      <x:c r="E60" s="17" t="str">
        <x:v>U1 VDD pin 11 local bypass</x:v>
      </x:c>
      <x:c r="F60" s="2" t="str">
        <x:v>Murata</x:v>
      </x:c>
      <x:c r="G60" s="2" t="str">
        <x:v>GRM155R71E104KE14D</x:v>
      </x:c>
      <x:c r="H60" s="2" t="str">
        <x:v>0402</x:v>
      </x:c>
      <x:c r="I60" s="16" t="n">
        <x:v>1</x:v>
      </x:c>
      <x:c r="J60" s="16" t="n">
        <x:v>4</x:v>
      </x:c>
      <x:c r="K60" s="16" t="n">
        <x:v>0</x:v>
      </x:c>
      <x:c r="L60" s="16" t="n">
        <x:v>4</x:v>
      </x:c>
      <x:c r="M60" s="16" t="n">
        <x:v>10</x:v>
      </x:c>
      <x:c r="N60" s="16" t="n">
        <x:v>0</x:v>
      </x:c>
      <x:c r="O60" s="16" t="n">
        <x:v>10</x:v>
      </x:c>
      <x:c r="P60" s="16" t="n">
        <x:v>20</x:v>
      </x:c>
      <x:c r="Q60" s="16" t="n">
        <x:v>0</x:v>
      </x:c>
      <x:c r="R60" s="16" t="n">
        <x:v>20</x:v>
      </x:c>
      <x:c r="S60" s="14" t="str">
        <x:v>NONE</x:v>
      </x:c>
      <x:c r="T60" s="2" t="str">
        <x:v>COMMON</x:v>
      </x:c>
      <x:c r="U60" s="14" t="str">
        <x:v>SELECTED_PENDING_REVIEW_A</x:v>
      </x:c>
      <x:c r="V60" s="17" t="str">
        <x:v>Authorized or traceable tier-1 channel</x:v>
      </x:c>
      <x:c r="W60" s="17" t="str">
        <x:v>Marking MPN package orientation electrical functional sample</x:v>
      </x:c>
      <x:c r="X60" s="17" t="str">
        <x:v>MAIN-AUTH-010 exact capture authority; physical pins: 1=3V3_DIGITAL;2=GND; Place at U1 pin 11</x:v>
      </x:c>
      <x:c r="Y60" s="2" t="str">
        <x:v>100 nF 25 V X7R</x:v>
      </x:c>
      <x:c r="Z60" s="2" t="str">
        <x:v>ELECTRICAL_COMPONENT</x:v>
      </x:c>
      <x:c r="AA60" s="2" t="str">
        <x:v>FITTED</x:v>
      </x:c>
      <x:c r="AB60" s="2" t="str">
        <x:v>-55..125</x:v>
      </x:c>
      <x:c r="AC60" s="14" t="str">
        <x:v>CONTROLLED_PENDING_VERIFICATION</x:v>
      </x:c>
    </x:row>
    <x:row r="61">
      <x:c r="A61" s="2" t="str">
        <x:v>MAIN-010-C2</x:v>
      </x:c>
      <x:c r="B61" s="2" t="str">
        <x:v>PCB-MAIN</x:v>
      </x:c>
      <x:c r="C61" s="14" t="str">
        <x:v>C2</x:v>
      </x:c>
      <x:c r="D61" s="2" t="str">
        <x:v>Capacitor</x:v>
      </x:c>
      <x:c r="E61" s="17" t="str">
        <x:v>U1 VDD pin 27 local bypass</x:v>
      </x:c>
      <x:c r="F61" s="2" t="str">
        <x:v>Murata</x:v>
      </x:c>
      <x:c r="G61" s="2" t="str">
        <x:v>GRM155R71E104KE14D</x:v>
      </x:c>
      <x:c r="H61" s="2" t="str">
        <x:v>0402</x:v>
      </x:c>
      <x:c r="I61" s="16" t="n">
        <x:v>1</x:v>
      </x:c>
      <x:c r="J61" s="16" t="n">
        <x:v>4</x:v>
      </x:c>
      <x:c r="K61" s="16" t="n">
        <x:v>0</x:v>
      </x:c>
      <x:c r="L61" s="16" t="n">
        <x:v>4</x:v>
      </x:c>
      <x:c r="M61" s="16" t="n">
        <x:v>10</x:v>
      </x:c>
      <x:c r="N61" s="16" t="n">
        <x:v>0</x:v>
      </x:c>
      <x:c r="O61" s="16" t="n">
        <x:v>10</x:v>
      </x:c>
      <x:c r="P61" s="16" t="n">
        <x:v>20</x:v>
      </x:c>
      <x:c r="Q61" s="16" t="n">
        <x:v>0</x:v>
      </x:c>
      <x:c r="R61" s="16" t="n">
        <x:v>20</x:v>
      </x:c>
      <x:c r="S61" s="14" t="str">
        <x:v>NONE</x:v>
      </x:c>
      <x:c r="T61" s="2" t="str">
        <x:v>COMMON</x:v>
      </x:c>
      <x:c r="U61" s="14" t="str">
        <x:v>SELECTED_PENDING_REVIEW_A</x:v>
      </x:c>
      <x:c r="V61" s="17" t="str">
        <x:v>Authorized or traceable tier-1 channel</x:v>
      </x:c>
      <x:c r="W61" s="17" t="str">
        <x:v>Marking MPN package orientation electrical functional sample</x:v>
      </x:c>
      <x:c r="X61" s="17" t="str">
        <x:v>MAIN-AUTH-010 exact capture authority; physical pins: 1=3V3_DIGITAL;2=GND; Place at U1 pin 27</x:v>
      </x:c>
      <x:c r="Y61" s="2" t="str">
        <x:v>100 nF 25 V X7R</x:v>
      </x:c>
      <x:c r="Z61" s="2" t="str">
        <x:v>ELECTRICAL_COMPONENT</x:v>
      </x:c>
      <x:c r="AA61" s="2" t="str">
        <x:v>FITTED</x:v>
      </x:c>
      <x:c r="AB61" s="2" t="str">
        <x:v>-55..125</x:v>
      </x:c>
      <x:c r="AC61" s="14" t="str">
        <x:v>CONTROLLED_PENDING_VERIFICATION</x:v>
      </x:c>
    </x:row>
    <x:row r="62">
      <x:c r="A62" s="2" t="str">
        <x:v>MAIN-010-C3</x:v>
      </x:c>
      <x:c r="B62" s="2" t="str">
        <x:v>PCB-MAIN</x:v>
      </x:c>
      <x:c r="C62" s="14" t="str">
        <x:v>C3</x:v>
      </x:c>
      <x:c r="D62" s="2" t="str">
        <x:v>Capacitor</x:v>
      </x:c>
      <x:c r="E62" s="17" t="str">
        <x:v>U1 VDD pin 51 local bypass</x:v>
      </x:c>
      <x:c r="F62" s="2" t="str">
        <x:v>Murata</x:v>
      </x:c>
      <x:c r="G62" s="2" t="str">
        <x:v>GRM155R71E104KE14D</x:v>
      </x:c>
      <x:c r="H62" s="2" t="str">
        <x:v>0402</x:v>
      </x:c>
      <x:c r="I62" s="16" t="n">
        <x:v>1</x:v>
      </x:c>
      <x:c r="J62" s="16" t="n">
        <x:v>4</x:v>
      </x:c>
      <x:c r="K62" s="16" t="n">
        <x:v>0</x:v>
      </x:c>
      <x:c r="L62" s="16" t="n">
        <x:v>4</x:v>
      </x:c>
      <x:c r="M62" s="16" t="n">
        <x:v>10</x:v>
      </x:c>
      <x:c r="N62" s="16" t="n">
        <x:v>0</x:v>
      </x:c>
      <x:c r="O62" s="16" t="n">
        <x:v>10</x:v>
      </x:c>
      <x:c r="P62" s="16" t="n">
        <x:v>20</x:v>
      </x:c>
      <x:c r="Q62" s="16" t="n">
        <x:v>0</x:v>
      </x:c>
      <x:c r="R62" s="16" t="n">
        <x:v>20</x:v>
      </x:c>
      <x:c r="S62" s="14" t="str">
        <x:v>NONE</x:v>
      </x:c>
      <x:c r="T62" s="2" t="str">
        <x:v>COMMON</x:v>
      </x:c>
      <x:c r="U62" s="14" t="str">
        <x:v>SELECTED_PENDING_REVIEW_A</x:v>
      </x:c>
      <x:c r="V62" s="17" t="str">
        <x:v>Authorized or traceable tier-1 channel</x:v>
      </x:c>
      <x:c r="W62" s="17" t="str">
        <x:v>Marking MPN package orientation electrical functional sample</x:v>
      </x:c>
      <x:c r="X62" s="17" t="str">
        <x:v>MAIN-AUTH-010 exact capture authority; physical pins: 1=3V3_DIGITAL;2=GND; Place at U1 pin 51</x:v>
      </x:c>
      <x:c r="Y62" s="2" t="str">
        <x:v>100 nF 25 V X7R</x:v>
      </x:c>
      <x:c r="Z62" s="2" t="str">
        <x:v>ELECTRICAL_COMPONENT</x:v>
      </x:c>
      <x:c r="AA62" s="2" t="str">
        <x:v>FITTED</x:v>
      </x:c>
      <x:c r="AB62" s="2" t="str">
        <x:v>-55..125</x:v>
      </x:c>
      <x:c r="AC62" s="14" t="str">
        <x:v>CONTROLLED_PENDING_VERIFICATION</x:v>
      </x:c>
    </x:row>
    <x:row r="63">
      <x:c r="A63" s="2" t="str">
        <x:v>MAIN-010-C4</x:v>
      </x:c>
      <x:c r="B63" s="2" t="str">
        <x:v>PCB-MAIN</x:v>
      </x:c>
      <x:c r="C63" s="14" t="str">
        <x:v>C4</x:v>
      </x:c>
      <x:c r="D63" s="2" t="str">
        <x:v>Capacitor</x:v>
      </x:c>
      <x:c r="E63" s="17" t="str">
        <x:v>U1 VDD pin 75 local bypass</x:v>
      </x:c>
      <x:c r="F63" s="2" t="str">
        <x:v>Murata</x:v>
      </x:c>
      <x:c r="G63" s="2" t="str">
        <x:v>GRM155R71E104KE14D</x:v>
      </x:c>
      <x:c r="H63" s="2" t="str">
        <x:v>0402</x:v>
      </x:c>
      <x:c r="I63" s="16" t="n">
        <x:v>1</x:v>
      </x:c>
      <x:c r="J63" s="16" t="n">
        <x:v>4</x:v>
      </x:c>
      <x:c r="K63" s="16" t="n">
        <x:v>0</x:v>
      </x:c>
      <x:c r="L63" s="16" t="n">
        <x:v>4</x:v>
      </x:c>
      <x:c r="M63" s="16" t="n">
        <x:v>10</x:v>
      </x:c>
      <x:c r="N63" s="16" t="n">
        <x:v>0</x:v>
      </x:c>
      <x:c r="O63" s="16" t="n">
        <x:v>10</x:v>
      </x:c>
      <x:c r="P63" s="16" t="n">
        <x:v>20</x:v>
      </x:c>
      <x:c r="Q63" s="16" t="n">
        <x:v>0</x:v>
      </x:c>
      <x:c r="R63" s="16" t="n">
        <x:v>20</x:v>
      </x:c>
      <x:c r="S63" s="14" t="str">
        <x:v>NONE</x:v>
      </x:c>
      <x:c r="T63" s="2" t="str">
        <x:v>COMMON</x:v>
      </x:c>
      <x:c r="U63" s="14" t="str">
        <x:v>SELECTED_PENDING_REVIEW_A</x:v>
      </x:c>
      <x:c r="V63" s="17" t="str">
        <x:v>Authorized or traceable tier-1 channel</x:v>
      </x:c>
      <x:c r="W63" s="17" t="str">
        <x:v>Marking MPN package orientation electrical functional sample</x:v>
      </x:c>
      <x:c r="X63" s="17" t="str">
        <x:v>MAIN-AUTH-010 exact capture authority; physical pins: 1=3V3_DIGITAL;2=GND; Place at U1 pin 75</x:v>
      </x:c>
      <x:c r="Y63" s="2" t="str">
        <x:v>100 nF 25 V X7R</x:v>
      </x:c>
      <x:c r="Z63" s="2" t="str">
        <x:v>ELECTRICAL_COMPONENT</x:v>
      </x:c>
      <x:c r="AA63" s="2" t="str">
        <x:v>FITTED</x:v>
      </x:c>
      <x:c r="AB63" s="2" t="str">
        <x:v>-55..125</x:v>
      </x:c>
      <x:c r="AC63" s="14" t="str">
        <x:v>CONTROLLED_PENDING_VERIFICATION</x:v>
      </x:c>
    </x:row>
    <x:row r="64">
      <x:c r="A64" s="2" t="str">
        <x:v>MAIN-010-C5</x:v>
      </x:c>
      <x:c r="B64" s="2" t="str">
        <x:v>PCB-MAIN</x:v>
      </x:c>
      <x:c r="C64" s="14" t="str">
        <x:v>C5</x:v>
      </x:c>
      <x:c r="D64" s="2" t="str">
        <x:v>Capacitor</x:v>
      </x:c>
      <x:c r="E64" s="17" t="str">
        <x:v>U1 VDD pin 100 local bypass</x:v>
      </x:c>
      <x:c r="F64" s="2" t="str">
        <x:v>Murata</x:v>
      </x:c>
      <x:c r="G64" s="2" t="str">
        <x:v>GRM155R71E104KE14D</x:v>
      </x:c>
      <x:c r="H64" s="2" t="str">
        <x:v>0402</x:v>
      </x:c>
      <x:c r="I64" s="16" t="n">
        <x:v>1</x:v>
      </x:c>
      <x:c r="J64" s="16" t="n">
        <x:v>4</x:v>
      </x:c>
      <x:c r="K64" s="16" t="n">
        <x:v>0</x:v>
      </x:c>
      <x:c r="L64" s="16" t="n">
        <x:v>4</x:v>
      </x:c>
      <x:c r="M64" s="16" t="n">
        <x:v>10</x:v>
      </x:c>
      <x:c r="N64" s="16" t="n">
        <x:v>0</x:v>
      </x:c>
      <x:c r="O64" s="16" t="n">
        <x:v>10</x:v>
      </x:c>
      <x:c r="P64" s="16" t="n">
        <x:v>20</x:v>
      </x:c>
      <x:c r="Q64" s="16" t="n">
        <x:v>0</x:v>
      </x:c>
      <x:c r="R64" s="16" t="n">
        <x:v>20</x:v>
      </x:c>
      <x:c r="S64" s="14" t="str">
        <x:v>NONE</x:v>
      </x:c>
      <x:c r="T64" s="2" t="str">
        <x:v>COMMON</x:v>
      </x:c>
      <x:c r="U64" s="14" t="str">
        <x:v>SELECTED_PENDING_REVIEW_A</x:v>
      </x:c>
      <x:c r="V64" s="17" t="str">
        <x:v>Authorized or traceable tier-1 channel</x:v>
      </x:c>
      <x:c r="W64" s="17" t="str">
        <x:v>Marking MPN package orientation electrical functional sample</x:v>
      </x:c>
      <x:c r="X64" s="17" t="str">
        <x:v>MAIN-AUTH-010 exact capture authority; physical pins: 1=3V3_DIGITAL;2=GND; Place at U1 pin 100</x:v>
      </x:c>
      <x:c r="Y64" s="2" t="str">
        <x:v>100 nF 25 V X7R</x:v>
      </x:c>
      <x:c r="Z64" s="2" t="str">
        <x:v>ELECTRICAL_COMPONENT</x:v>
      </x:c>
      <x:c r="AA64" s="2" t="str">
        <x:v>FITTED</x:v>
      </x:c>
      <x:c r="AB64" s="2" t="str">
        <x:v>-55..125</x:v>
      </x:c>
      <x:c r="AC64" s="14" t="str">
        <x:v>CONTROLLED_PENDING_VERIFICATION</x:v>
      </x:c>
    </x:row>
    <x:row r="65">
      <x:c r="A65" s="2" t="str">
        <x:v>MAIN-010-C6</x:v>
      </x:c>
      <x:c r="B65" s="2" t="str">
        <x:v>PCB-MAIN</x:v>
      </x:c>
      <x:c r="C65" s="14" t="str">
        <x:v>C6</x:v>
      </x:c>
      <x:c r="D65" s="2" t="str">
        <x:v>Capacitor</x:v>
      </x:c>
      <x:c r="E65" s="17" t="str">
        <x:v>U1 package bulk</x:v>
      </x:c>
      <x:c r="F65" s="2" t="str">
        <x:v>Murata</x:v>
      </x:c>
      <x:c r="G65" s="2" t="str">
        <x:v>GRM188R61A106KE69D</x:v>
      </x:c>
      <x:c r="H65" s="2" t="str">
        <x:v>0603</x:v>
      </x:c>
      <x:c r="I65" s="16" t="n">
        <x:v>1</x:v>
      </x:c>
      <x:c r="J65" s="16" t="n">
        <x:v>4</x:v>
      </x:c>
      <x:c r="K65" s="16" t="n">
        <x:v>0</x:v>
      </x:c>
      <x:c r="L65" s="16" t="n">
        <x:v>4</x:v>
      </x:c>
      <x:c r="M65" s="16" t="n">
        <x:v>10</x:v>
      </x:c>
      <x:c r="N65" s="16" t="n">
        <x:v>0</x:v>
      </x:c>
      <x:c r="O65" s="16" t="n">
        <x:v>10</x:v>
      </x:c>
      <x:c r="P65" s="16" t="n">
        <x:v>20</x:v>
      </x:c>
      <x:c r="Q65" s="16" t="n">
        <x:v>0</x:v>
      </x:c>
      <x:c r="R65" s="16" t="n">
        <x:v>20</x:v>
      </x:c>
      <x:c r="S65" s="14" t="str">
        <x:v>NONE</x:v>
      </x:c>
      <x:c r="T65" s="2" t="str">
        <x:v>COMMON</x:v>
      </x:c>
      <x:c r="U65" s="14" t="str">
        <x:v>SELECTED_PENDING_REVIEW_A</x:v>
      </x:c>
      <x:c r="V65" s="17" t="str">
        <x:v>Authorized or traceable tier-1 channel</x:v>
      </x:c>
      <x:c r="W65" s="17" t="str">
        <x:v>Marking MPN package orientation electrical functional sample</x:v>
      </x:c>
      <x:c r="X65" s="17" t="str">
        <x:v>MAIN-AUTH-010 exact capture authority; physical pins: 1=3V3_DIGITAL;2=GND; Verify effective capacitance after DC bias</x:v>
      </x:c>
      <x:c r="Y65" s="2" t="str">
        <x:v>10 uF 10 V X5R</x:v>
      </x:c>
      <x:c r="Z65" s="2" t="str">
        <x:v>ELECTRICAL_COMPONENT</x:v>
      </x:c>
      <x:c r="AA65" s="2" t="str">
        <x:v>FITTED</x:v>
      </x:c>
      <x:c r="AB65" s="2" t="str">
        <x:v>-55..85</x:v>
      </x:c>
      <x:c r="AC65" s="14" t="str">
        <x:v>CONTROLLED_PENDING_VERIFICATION</x:v>
      </x:c>
    </x:row>
    <x:row r="66">
      <x:c r="A66" s="2" t="str">
        <x:v>MAIN-010-C7</x:v>
      </x:c>
      <x:c r="B66" s="2" t="str">
        <x:v>PCB-MAIN</x:v>
      </x:c>
      <x:c r="C66" s="14" t="str">
        <x:v>C7</x:v>
      </x:c>
      <x:c r="D66" s="2" t="str">
        <x:v>Capacitor</x:v>
      </x:c>
      <x:c r="E66" s="17" t="str">
        <x:v>U1 VBAT pin 6 bypass</x:v>
      </x:c>
      <x:c r="F66" s="2" t="str">
        <x:v>Murata</x:v>
      </x:c>
      <x:c r="G66" s="2" t="str">
        <x:v>GRM155R71E104KE14D</x:v>
      </x:c>
      <x:c r="H66" s="2" t="str">
        <x:v>0402</x:v>
      </x:c>
      <x:c r="I66" s="16" t="n">
        <x:v>1</x:v>
      </x:c>
      <x:c r="J66" s="16" t="n">
        <x:v>4</x:v>
      </x:c>
      <x:c r="K66" s="16" t="n">
        <x:v>0</x:v>
      </x:c>
      <x:c r="L66" s="16" t="n">
        <x:v>4</x:v>
      </x:c>
      <x:c r="M66" s="16" t="n">
        <x:v>10</x:v>
      </x:c>
      <x:c r="N66" s="16" t="n">
        <x:v>0</x:v>
      </x:c>
      <x:c r="O66" s="16" t="n">
        <x:v>10</x:v>
      </x:c>
      <x:c r="P66" s="16" t="n">
        <x:v>20</x:v>
      </x:c>
      <x:c r="Q66" s="16" t="n">
        <x:v>0</x:v>
      </x:c>
      <x:c r="R66" s="16" t="n">
        <x:v>20</x:v>
      </x:c>
      <x:c r="S66" s="14" t="str">
        <x:v>NONE</x:v>
      </x:c>
      <x:c r="T66" s="2" t="str">
        <x:v>COMMON</x:v>
      </x:c>
      <x:c r="U66" s="14" t="str">
        <x:v>SELECTED_PENDING_REVIEW_A</x:v>
      </x:c>
      <x:c r="V66" s="17" t="str">
        <x:v>Authorized or traceable tier-1 channel</x:v>
      </x:c>
      <x:c r="W66" s="17" t="str">
        <x:v>Marking MPN package orientation electrical functional sample</x:v>
      </x:c>
      <x:c r="X66" s="17" t="str">
        <x:v>MAIN-AUTH-010 exact capture authority; physical pins: 1=3V3_DIGITAL;2=GND; No backup cell in Rev.A</x:v>
      </x:c>
      <x:c r="Y66" s="2" t="str">
        <x:v>100 nF 25 V X7R</x:v>
      </x:c>
      <x:c r="Z66" s="2" t="str">
        <x:v>ELECTRICAL_COMPONENT</x:v>
      </x:c>
      <x:c r="AA66" s="2" t="str">
        <x:v>FITTED</x:v>
      </x:c>
      <x:c r="AB66" s="2" t="str">
        <x:v>-55..125</x:v>
      </x:c>
      <x:c r="AC66" s="14" t="str">
        <x:v>CONTROLLED_PENDING_VERIFICATION</x:v>
      </x:c>
    </x:row>
    <x:row r="67">
      <x:c r="A67" s="2" t="str">
        <x:v>MAIN-010-C8</x:v>
      </x:c>
      <x:c r="B67" s="2" t="str">
        <x:v>PCB-MAIN</x:v>
      </x:c>
      <x:c r="C67" s="14" t="str">
        <x:v>C8</x:v>
      </x:c>
      <x:c r="D67" s="2" t="str">
        <x:v>Capacitor</x:v>
      </x:c>
      <x:c r="E67" s="17" t="str">
        <x:v>U1 VDDA pin 21 high frequency bypass</x:v>
      </x:c>
      <x:c r="F67" s="2" t="str">
        <x:v>Murata</x:v>
      </x:c>
      <x:c r="G67" s="2" t="str">
        <x:v>GRM155R71E104KE14D</x:v>
      </x:c>
      <x:c r="H67" s="2" t="str">
        <x:v>0402</x:v>
      </x:c>
      <x:c r="I67" s="16" t="n">
        <x:v>1</x:v>
      </x:c>
      <x:c r="J67" s="16" t="n">
        <x:v>4</x:v>
      </x:c>
      <x:c r="K67" s="16" t="n">
        <x:v>0</x:v>
      </x:c>
      <x:c r="L67" s="16" t="n">
        <x:v>4</x:v>
      </x:c>
      <x:c r="M67" s="16" t="n">
        <x:v>10</x:v>
      </x:c>
      <x:c r="N67" s="16" t="n">
        <x:v>0</x:v>
      </x:c>
      <x:c r="O67" s="16" t="n">
        <x:v>10</x:v>
      </x:c>
      <x:c r="P67" s="16" t="n">
        <x:v>20</x:v>
      </x:c>
      <x:c r="Q67" s="16" t="n">
        <x:v>0</x:v>
      </x:c>
      <x:c r="R67" s="16" t="n">
        <x:v>20</x:v>
      </x:c>
      <x:c r="S67" s="14" t="str">
        <x:v>NONE</x:v>
      </x:c>
      <x:c r="T67" s="2" t="str">
        <x:v>COMMON</x:v>
      </x:c>
      <x:c r="U67" s="14" t="str">
        <x:v>SELECTED_PENDING_REVIEW_A</x:v>
      </x:c>
      <x:c r="V67" s="17" t="str">
        <x:v>Authorized or traceable tier-1 channel</x:v>
      </x:c>
      <x:c r="W67" s="17" t="str">
        <x:v>Marking MPN package orientation electrical functional sample</x:v>
      </x:c>
      <x:c r="X67" s="17" t="str">
        <x:v>MAIN-AUTH-010 exact capture authority; physical pins: 1=3V3_DIGITAL;2=GND; Single supply analog domain</x:v>
      </x:c>
      <x:c r="Y67" s="2" t="str">
        <x:v>100 nF 25 V X7R</x:v>
      </x:c>
      <x:c r="Z67" s="2" t="str">
        <x:v>ELECTRICAL_COMPONENT</x:v>
      </x:c>
      <x:c r="AA67" s="2" t="str">
        <x:v>FITTED</x:v>
      </x:c>
      <x:c r="AB67" s="2" t="str">
        <x:v>-55..125</x:v>
      </x:c>
      <x:c r="AC67" s="14" t="str">
        <x:v>CONTROLLED_PENDING_VERIFICATION</x:v>
      </x:c>
    </x:row>
    <x:row r="68">
      <x:c r="A68" s="2" t="str">
        <x:v>MAIN-010-C9</x:v>
      </x:c>
      <x:c r="B68" s="2" t="str">
        <x:v>PCB-MAIN</x:v>
      </x:c>
      <x:c r="C68" s="14" t="str">
        <x:v>C9</x:v>
      </x:c>
      <x:c r="D68" s="2" t="str">
        <x:v>Capacitor</x:v>
      </x:c>
      <x:c r="E68" s="17" t="str">
        <x:v>U1 VDDA pin 21 local bulk</x:v>
      </x:c>
      <x:c r="F68" s="2" t="str">
        <x:v>Murata</x:v>
      </x:c>
      <x:c r="G68" s="2" t="str">
        <x:v>GRM155R61C105KA12D</x:v>
      </x:c>
      <x:c r="H68" s="2" t="str">
        <x:v>0402</x:v>
      </x:c>
      <x:c r="I68" s="16" t="n">
        <x:v>1</x:v>
      </x:c>
      <x:c r="J68" s="16" t="n">
        <x:v>4</x:v>
      </x:c>
      <x:c r="K68" s="16" t="n">
        <x:v>0</x:v>
      </x:c>
      <x:c r="L68" s="16" t="n">
        <x:v>4</x:v>
      </x:c>
      <x:c r="M68" s="16" t="n">
        <x:v>10</x:v>
      </x:c>
      <x:c r="N68" s="16" t="n">
        <x:v>0</x:v>
      </x:c>
      <x:c r="O68" s="16" t="n">
        <x:v>10</x:v>
      </x:c>
      <x:c r="P68" s="16" t="n">
        <x:v>20</x:v>
      </x:c>
      <x:c r="Q68" s="16" t="n">
        <x:v>0</x:v>
      </x:c>
      <x:c r="R68" s="16" t="n">
        <x:v>20</x:v>
      </x:c>
      <x:c r="S68" s="14" t="str">
        <x:v>NONE</x:v>
      </x:c>
      <x:c r="T68" s="2" t="str">
        <x:v>COMMON</x:v>
      </x:c>
      <x:c r="U68" s="14" t="str">
        <x:v>SELECTED_PENDING_REVIEW_A</x:v>
      </x:c>
      <x:c r="V68" s="17" t="str">
        <x:v>Authorized or traceable tier-1 channel</x:v>
      </x:c>
      <x:c r="W68" s="17" t="str">
        <x:v>Marking MPN package orientation electrical functional sample</x:v>
      </x:c>
      <x:c r="X68" s="17" t="str">
        <x:v>MAIN-AUTH-010 exact capture authority; physical pins: 1=3V3_DIGITAL;2=GND; Single supply analog domain</x:v>
      </x:c>
      <x:c r="Y68" s="2" t="str">
        <x:v>1 uF 16 V X5R</x:v>
      </x:c>
      <x:c r="Z68" s="2" t="str">
        <x:v>ELECTRICAL_COMPONENT</x:v>
      </x:c>
      <x:c r="AA68" s="2" t="str">
        <x:v>FITTED</x:v>
      </x:c>
      <x:c r="AB68" s="2" t="str">
        <x:v>-55..85</x:v>
      </x:c>
      <x:c r="AC68" s="14" t="str">
        <x:v>CONTROLLED_PENDING_VERIFICATION</x:v>
      </x:c>
    </x:row>
    <x:row r="69">
      <x:c r="A69" s="2" t="str">
        <x:v>MAIN-010-C10</x:v>
      </x:c>
      <x:c r="B69" s="2" t="str">
        <x:v>PCB-MAIN</x:v>
      </x:c>
      <x:c r="C69" s="14" t="str">
        <x:v>C10</x:v>
      </x:c>
      <x:c r="D69" s="2" t="str">
        <x:v>Capacitor</x:v>
      </x:c>
      <x:c r="E69" s="17" t="str">
        <x:v>U1 VREF+ pin 20 high frequency bypass</x:v>
      </x:c>
      <x:c r="F69" s="2" t="str">
        <x:v>Murata</x:v>
      </x:c>
      <x:c r="G69" s="2" t="str">
        <x:v>GRM155R71E104KE14D</x:v>
      </x:c>
      <x:c r="H69" s="2" t="str">
        <x:v>0402</x:v>
      </x:c>
      <x:c r="I69" s="16" t="n">
        <x:v>1</x:v>
      </x:c>
      <x:c r="J69" s="16" t="n">
        <x:v>4</x:v>
      </x:c>
      <x:c r="K69" s="16" t="n">
        <x:v>0</x:v>
      </x:c>
      <x:c r="L69" s="16" t="n">
        <x:v>4</x:v>
      </x:c>
      <x:c r="M69" s="16" t="n">
        <x:v>10</x:v>
      </x:c>
      <x:c r="N69" s="16" t="n">
        <x:v>0</x:v>
      </x:c>
      <x:c r="O69" s="16" t="n">
        <x:v>10</x:v>
      </x:c>
      <x:c r="P69" s="16" t="n">
        <x:v>20</x:v>
      </x:c>
      <x:c r="Q69" s="16" t="n">
        <x:v>0</x:v>
      </x:c>
      <x:c r="R69" s="16" t="n">
        <x:v>20</x:v>
      </x:c>
      <x:c r="S69" s="14" t="str">
        <x:v>NONE</x:v>
      </x:c>
      <x:c r="T69" s="2" t="str">
        <x:v>COMMON</x:v>
      </x:c>
      <x:c r="U69" s="14" t="str">
        <x:v>SELECTED_PENDING_REVIEW_A</x:v>
      </x:c>
      <x:c r="V69" s="17" t="str">
        <x:v>Authorized or traceable tier-1 channel</x:v>
      </x:c>
      <x:c r="W69" s="17" t="str">
        <x:v>Marking MPN package orientation electrical functional sample</x:v>
      </x:c>
      <x:c r="X69" s="17" t="str">
        <x:v>MAIN-AUTH-010 exact capture authority; physical pins: 1=VREF+;2=GND; VREF+ tied to VDDA</x:v>
      </x:c>
      <x:c r="Y69" s="2" t="str">
        <x:v>100 nF 25 V X7R</x:v>
      </x:c>
      <x:c r="Z69" s="2" t="str">
        <x:v>ELECTRICAL_COMPONENT</x:v>
      </x:c>
      <x:c r="AA69" s="2" t="str">
        <x:v>FITTED</x:v>
      </x:c>
      <x:c r="AB69" s="2" t="str">
        <x:v>-55..125</x:v>
      </x:c>
      <x:c r="AC69" s="14" t="str">
        <x:v>CONTROLLED_PENDING_VERIFICATION</x:v>
      </x:c>
    </x:row>
    <x:row r="70">
      <x:c r="A70" s="2" t="str">
        <x:v>MAIN-010-C11</x:v>
      </x:c>
      <x:c r="B70" s="2" t="str">
        <x:v>PCB-MAIN</x:v>
      </x:c>
      <x:c r="C70" s="14" t="str">
        <x:v>C11</x:v>
      </x:c>
      <x:c r="D70" s="2" t="str">
        <x:v>Capacitor</x:v>
      </x:c>
      <x:c r="E70" s="17" t="str">
        <x:v>U1 VREF+ pin 20 local bulk</x:v>
      </x:c>
      <x:c r="F70" s="2" t="str">
        <x:v>Murata</x:v>
      </x:c>
      <x:c r="G70" s="2" t="str">
        <x:v>GRM155R61C105KA12D</x:v>
      </x:c>
      <x:c r="H70" s="2" t="str">
        <x:v>0402</x:v>
      </x:c>
      <x:c r="I70" s="16" t="n">
        <x:v>1</x:v>
      </x:c>
      <x:c r="J70" s="16" t="n">
        <x:v>4</x:v>
      </x:c>
      <x:c r="K70" s="16" t="n">
        <x:v>0</x:v>
      </x:c>
      <x:c r="L70" s="16" t="n">
        <x:v>4</x:v>
      </x:c>
      <x:c r="M70" s="16" t="n">
        <x:v>10</x:v>
      </x:c>
      <x:c r="N70" s="16" t="n">
        <x:v>0</x:v>
      </x:c>
      <x:c r="O70" s="16" t="n">
        <x:v>10</x:v>
      </x:c>
      <x:c r="P70" s="16" t="n">
        <x:v>20</x:v>
      </x:c>
      <x:c r="Q70" s="16" t="n">
        <x:v>0</x:v>
      </x:c>
      <x:c r="R70" s="16" t="n">
        <x:v>20</x:v>
      </x:c>
      <x:c r="S70" s="14" t="str">
        <x:v>NONE</x:v>
      </x:c>
      <x:c r="T70" s="2" t="str">
        <x:v>COMMON</x:v>
      </x:c>
      <x:c r="U70" s="14" t="str">
        <x:v>SELECTED_PENDING_REVIEW_A</x:v>
      </x:c>
      <x:c r="V70" s="17" t="str">
        <x:v>Authorized or traceable tier-1 channel</x:v>
      </x:c>
      <x:c r="W70" s="17" t="str">
        <x:v>Marking MPN package orientation electrical functional sample</x:v>
      </x:c>
      <x:c r="X70" s="17" t="str">
        <x:v>MAIN-AUTH-010 exact capture authority; physical pins: 1=VREF+;2=GND; VREFBUF disabled</x:v>
      </x:c>
      <x:c r="Y70" s="2" t="str">
        <x:v>1 uF 16 V X5R</x:v>
      </x:c>
      <x:c r="Z70" s="2" t="str">
        <x:v>ELECTRICAL_COMPONENT</x:v>
      </x:c>
      <x:c r="AA70" s="2" t="str">
        <x:v>FITTED</x:v>
      </x:c>
      <x:c r="AB70" s="2" t="str">
        <x:v>-55..85</x:v>
      </x:c>
      <x:c r="AC70" s="14" t="str">
        <x:v>CONTROLLED_PENDING_VERIFICATION</x:v>
      </x:c>
    </x:row>
    <x:row r="71">
      <x:c r="A71" s="2" t="str">
        <x:v>MAIN-010-C12</x:v>
      </x:c>
      <x:c r="B71" s="2" t="str">
        <x:v>PCB-MAIN</x:v>
      </x:c>
      <x:c r="C71" s="14" t="str">
        <x:v>C12</x:v>
      </x:c>
      <x:c r="D71" s="2" t="str">
        <x:v>Capacitor</x:v>
      </x:c>
      <x:c r="E71" s="17" t="str">
        <x:v>U1 VDDUSB pin 73 bypass</x:v>
      </x:c>
      <x:c r="F71" s="2" t="str">
        <x:v>Murata</x:v>
      </x:c>
      <x:c r="G71" s="2" t="str">
        <x:v>GRM155R71E104KE14D</x:v>
      </x:c>
      <x:c r="H71" s="2" t="str">
        <x:v>0402</x:v>
      </x:c>
      <x:c r="I71" s="16" t="n">
        <x:v>1</x:v>
      </x:c>
      <x:c r="J71" s="16" t="n">
        <x:v>4</x:v>
      </x:c>
      <x:c r="K71" s="16" t="n">
        <x:v>0</x:v>
      </x:c>
      <x:c r="L71" s="16" t="n">
        <x:v>4</x:v>
      </x:c>
      <x:c r="M71" s="16" t="n">
        <x:v>10</x:v>
      </x:c>
      <x:c r="N71" s="16" t="n">
        <x:v>0</x:v>
      </x:c>
      <x:c r="O71" s="16" t="n">
        <x:v>10</x:v>
      </x:c>
      <x:c r="P71" s="16" t="n">
        <x:v>20</x:v>
      </x:c>
      <x:c r="Q71" s="16" t="n">
        <x:v>0</x:v>
      </x:c>
      <x:c r="R71" s="16" t="n">
        <x:v>20</x:v>
      </x:c>
      <x:c r="S71" s="14" t="str">
        <x:v>NONE</x:v>
      </x:c>
      <x:c r="T71" s="2" t="str">
        <x:v>COMMON</x:v>
      </x:c>
      <x:c r="U71" s="14" t="str">
        <x:v>SELECTED_PENDING_REVIEW_A</x:v>
      </x:c>
      <x:c r="V71" s="17" t="str">
        <x:v>Authorized or traceable tier-1 channel</x:v>
      </x:c>
      <x:c r="W71" s="17" t="str">
        <x:v>Marking MPN package orientation electrical functional sample</x:v>
      </x:c>
      <x:c r="X71" s="17" t="str">
        <x:v>MAIN-AUTH-010 exact capture authority; physical pins: 1=3V3_DIGITAL;2=GND; Place at VDDUSB</x:v>
      </x:c>
      <x:c r="Y71" s="2" t="str">
        <x:v>100 nF 25 V X7R</x:v>
      </x:c>
      <x:c r="Z71" s="2" t="str">
        <x:v>ELECTRICAL_COMPONENT</x:v>
      </x:c>
      <x:c r="AA71" s="2" t="str">
        <x:v>FITTED</x:v>
      </x:c>
      <x:c r="AB71" s="2" t="str">
        <x:v>-55..125</x:v>
      </x:c>
      <x:c r="AC71" s="14" t="str">
        <x:v>CONTROLLED_PENDING_VERIFICATION</x:v>
      </x:c>
    </x:row>
    <x:row r="72">
      <x:c r="A72" s="2" t="str">
        <x:v>MAIN-010-C13</x:v>
      </x:c>
      <x:c r="B72" s="2" t="str">
        <x:v>PCB-MAIN</x:v>
      </x:c>
      <x:c r="C72" s="14" t="str">
        <x:v>C13</x:v>
      </x:c>
      <x:c r="D72" s="2" t="str">
        <x:v>Capacitor</x:v>
      </x:c>
      <x:c r="E72" s="17" t="str">
        <x:v>U1 VDDSMPS pin 47 local input capacitor</x:v>
      </x:c>
      <x:c r="F72" s="2" t="str">
        <x:v>Murata</x:v>
      </x:c>
      <x:c r="G72" s="2" t="str">
        <x:v>GRM188R61A106KE69D</x:v>
      </x:c>
      <x:c r="H72" s="2" t="str">
        <x:v>0603</x:v>
      </x:c>
      <x:c r="I72" s="16" t="n">
        <x:v>1</x:v>
      </x:c>
      <x:c r="J72" s="16" t="n">
        <x:v>4</x:v>
      </x:c>
      <x:c r="K72" s="16" t="n">
        <x:v>0</x:v>
      </x:c>
      <x:c r="L72" s="16" t="n">
        <x:v>4</x:v>
      </x:c>
      <x:c r="M72" s="16" t="n">
        <x:v>10</x:v>
      </x:c>
      <x:c r="N72" s="16" t="n">
        <x:v>0</x:v>
      </x:c>
      <x:c r="O72" s="16" t="n">
        <x:v>10</x:v>
      </x:c>
      <x:c r="P72" s="16" t="n">
        <x:v>20</x:v>
      </x:c>
      <x:c r="Q72" s="16" t="n">
        <x:v>0</x:v>
      </x:c>
      <x:c r="R72" s="16" t="n">
        <x:v>20</x:v>
      </x:c>
      <x:c r="S72" s="14" t="str">
        <x:v>NONE</x:v>
      </x:c>
      <x:c r="T72" s="2" t="str">
        <x:v>COMMON</x:v>
      </x:c>
      <x:c r="U72" s="14" t="str">
        <x:v>SELECTED_PENDING_REVIEW_A</x:v>
      </x:c>
      <x:c r="V72" s="17" t="str">
        <x:v>Authorized or traceable tier-1 channel</x:v>
      </x:c>
      <x:c r="W72" s="17" t="str">
        <x:v>Marking MPN package orientation electrical functional sample</x:v>
      </x:c>
      <x:c r="X72" s="17" t="str">
        <x:v>MAIN-AUTH-010 exact capture authority; physical pins: 1=3V3_DIGITAL;2=GND; Verify ESR below 10 mOhm at 3 MHz and effective capacitance</x:v>
      </x:c>
      <x:c r="Y72" s="2" t="str">
        <x:v>10 uF 10 V X5R</x:v>
      </x:c>
      <x:c r="Z72" s="2" t="str">
        <x:v>ELECTRICAL_COMPONENT</x:v>
      </x:c>
      <x:c r="AA72" s="2" t="str">
        <x:v>FITTED</x:v>
      </x:c>
      <x:c r="AB72" s="2" t="str">
        <x:v>-55..85</x:v>
      </x:c>
      <x:c r="AC72" s="14" t="str">
        <x:v>CONTROLLED_PENDING_VERIFICATION</x:v>
      </x:c>
    </x:row>
    <x:row r="73">
      <x:c r="A73" s="2" t="str">
        <x:v>MAIN-010-C14</x:v>
      </x:c>
      <x:c r="B73" s="2" t="str">
        <x:v>PCB-MAIN</x:v>
      </x:c>
      <x:c r="C73" s="14" t="str">
        <x:v>C14</x:v>
      </x:c>
      <x:c r="D73" s="2" t="str">
        <x:v>Capacitor</x:v>
      </x:c>
      <x:c r="E73" s="17" t="str">
        <x:v>U1 VDD11 pin 49 core capacitor</x:v>
      </x:c>
      <x:c r="F73" s="2" t="str">
        <x:v>Murata</x:v>
      </x:c>
      <x:c r="G73" s="2" t="str">
        <x:v>GRM155R61A225KE15D</x:v>
      </x:c>
      <x:c r="H73" s="2" t="str">
        <x:v>0402</x:v>
      </x:c>
      <x:c r="I73" s="16" t="n">
        <x:v>1</x:v>
      </x:c>
      <x:c r="J73" s="16" t="n">
        <x:v>4</x:v>
      </x:c>
      <x:c r="K73" s="16" t="n">
        <x:v>0</x:v>
      </x:c>
      <x:c r="L73" s="16" t="n">
        <x:v>4</x:v>
      </x:c>
      <x:c r="M73" s="16" t="n">
        <x:v>10</x:v>
      </x:c>
      <x:c r="N73" s="16" t="n">
        <x:v>0</x:v>
      </x:c>
      <x:c r="O73" s="16" t="n">
        <x:v>10</x:v>
      </x:c>
      <x:c r="P73" s="16" t="n">
        <x:v>20</x:v>
      </x:c>
      <x:c r="Q73" s="16" t="n">
        <x:v>0</x:v>
      </x:c>
      <x:c r="R73" s="16" t="n">
        <x:v>20</x:v>
      </x:c>
      <x:c r="S73" s="14" t="str">
        <x:v>NONE</x:v>
      </x:c>
      <x:c r="T73" s="2" t="str">
        <x:v>COMMON</x:v>
      </x:c>
      <x:c r="U73" s="14" t="str">
        <x:v>SELECTED_PENDING_REVIEW_A</x:v>
      </x:c>
      <x:c r="V73" s="17" t="str">
        <x:v>Authorized or traceable tier-1 channel</x:v>
      </x:c>
      <x:c r="W73" s="17" t="str">
        <x:v>Marking MPN package orientation electrical functional sample</x:v>
      </x:c>
      <x:c r="X73" s="17" t="str">
        <x:v>MAIN-AUTH-010 exact capture authority; physical pins: 1=VCORE_1V1;2=GND; VCORE must not power external circuitry</x:v>
      </x:c>
      <x:c r="Y73" s="2" t="str">
        <x:v>2.2 uF 10 V X5R</x:v>
      </x:c>
      <x:c r="Z73" s="2" t="str">
        <x:v>ELECTRICAL_COMPONENT</x:v>
      </x:c>
      <x:c r="AA73" s="2" t="str">
        <x:v>FITTED</x:v>
      </x:c>
      <x:c r="AB73" s="2" t="str">
        <x:v>-55..85</x:v>
      </x:c>
      <x:c r="AC73" s="14" t="str">
        <x:v>CONTROLLED_PENDING_VERIFICATION</x:v>
      </x:c>
    </x:row>
    <x:row r="74">
      <x:c r="A74" s="2" t="str">
        <x:v>MAIN-010-C15</x:v>
      </x:c>
      <x:c r="B74" s="2" t="str">
        <x:v>PCB-MAIN</x:v>
      </x:c>
      <x:c r="C74" s="14" t="str">
        <x:v>C15</x:v>
      </x:c>
      <x:c r="D74" s="2" t="str">
        <x:v>Capacitor</x:v>
      </x:c>
      <x:c r="E74" s="17" t="str">
        <x:v>U1 VDD11 pin 98 core capacitor</x:v>
      </x:c>
      <x:c r="F74" s="2" t="str">
        <x:v>Murata</x:v>
      </x:c>
      <x:c r="G74" s="2" t="str">
        <x:v>GRM155R61A225KE15D</x:v>
      </x:c>
      <x:c r="H74" s="2" t="str">
        <x:v>0402</x:v>
      </x:c>
      <x:c r="I74" s="16" t="n">
        <x:v>1</x:v>
      </x:c>
      <x:c r="J74" s="16" t="n">
        <x:v>4</x:v>
      </x:c>
      <x:c r="K74" s="16" t="n">
        <x:v>0</x:v>
      </x:c>
      <x:c r="L74" s="16" t="n">
        <x:v>4</x:v>
      </x:c>
      <x:c r="M74" s="16" t="n">
        <x:v>10</x:v>
      </x:c>
      <x:c r="N74" s="16" t="n">
        <x:v>0</x:v>
      </x:c>
      <x:c r="O74" s="16" t="n">
        <x:v>10</x:v>
      </x:c>
      <x:c r="P74" s="16" t="n">
        <x:v>20</x:v>
      </x:c>
      <x:c r="Q74" s="16" t="n">
        <x:v>0</x:v>
      </x:c>
      <x:c r="R74" s="16" t="n">
        <x:v>20</x:v>
      </x:c>
      <x:c r="S74" s="14" t="str">
        <x:v>NONE</x:v>
      </x:c>
      <x:c r="T74" s="2" t="str">
        <x:v>COMMON</x:v>
      </x:c>
      <x:c r="U74" s="14" t="str">
        <x:v>SELECTED_PENDING_REVIEW_A</x:v>
      </x:c>
      <x:c r="V74" s="17" t="str">
        <x:v>Authorized or traceable tier-1 channel</x:v>
      </x:c>
      <x:c r="W74" s="17" t="str">
        <x:v>Marking MPN package orientation electrical functional sample</x:v>
      </x:c>
      <x:c r="X74" s="17" t="str">
        <x:v>MAIN-AUTH-010 exact capture authority; physical pins: 1=VCORE_1V1;2=GND; VCORE must not power external circuitry</x:v>
      </x:c>
      <x:c r="Y74" s="2" t="str">
        <x:v>2.2 uF 10 V X5R</x:v>
      </x:c>
      <x:c r="Z74" s="2" t="str">
        <x:v>ELECTRICAL_COMPONENT</x:v>
      </x:c>
      <x:c r="AA74" s="2" t="str">
        <x:v>FITTED</x:v>
      </x:c>
      <x:c r="AB74" s="2" t="str">
        <x:v>-55..85</x:v>
      </x:c>
      <x:c r="AC74" s="14" t="str">
        <x:v>CONTROLLED_PENDING_VERIFICATION</x:v>
      </x:c>
    </x:row>
    <x:row r="75">
      <x:c r="A75" s="2" t="str">
        <x:v>MAIN-010-C16</x:v>
      </x:c>
      <x:c r="B75" s="2" t="str">
        <x:v>PCB-MAIN</x:v>
      </x:c>
      <x:c r="C75" s="14" t="str">
        <x:v>C16</x:v>
      </x:c>
      <x:c r="D75" s="2" t="str">
        <x:v>Capacitor</x:v>
      </x:c>
      <x:c r="E75" s="17" t="str">
        <x:v>U1 VDD11 pin 49 optional high frequency position</x:v>
      </x:c>
      <x:c r="F75" s="2" t="str">
        <x:v>Murata</x:v>
      </x:c>
      <x:c r="G75" s="2" t="str">
        <x:v>GRM155R71E104KE14D</x:v>
      </x:c>
      <x:c r="H75" s="2" t="str">
        <x:v>0402</x:v>
      </x:c>
      <x:c r="I75" s="16" t="n">
        <x:v>0</x:v>
      </x:c>
      <x:c r="J75" s="16" t="n">
        <x:v>0</x:v>
      </x:c>
      <x:c r="K75" s="16" t="n">
        <x:v>0</x:v>
      </x:c>
      <x:c r="L75" s="16" t="n">
        <x:v>0</x:v>
      </x:c>
      <x:c r="M75" s="16" t="n">
        <x:v>0</x:v>
      </x:c>
      <x:c r="N75" s="16" t="n">
        <x:v>0</x:v>
      </x:c>
      <x:c r="O75" s="16" t="n">
        <x:v>0</x:v>
      </x:c>
      <x:c r="P75" s="16" t="n">
        <x:v>0</x:v>
      </x:c>
      <x:c r="Q75" s="16" t="n">
        <x:v>0</x:v>
      </x:c>
      <x:c r="R75" s="16" t="n">
        <x:v>0</x:v>
      </x:c>
      <x:c r="S75" s="14" t="str">
        <x:v>NONE</x:v>
      </x:c>
      <x:c r="T75" s="2" t="str">
        <x:v>COMMON</x:v>
      </x:c>
      <x:c r="U75" s="14" t="str">
        <x:v>CONTROLLED_DNP</x:v>
      </x:c>
      <x:c r="V75" s="17" t="str">
        <x:v>Authorized or traceable tier-1 channel</x:v>
      </x:c>
      <x:c r="W75" s="17" t="str">
        <x:v>Marking MPN package orientation electrical functional sample</x:v>
      </x:c>
      <x:c r="X75" s="17" t="str">
        <x:v>MAIN-AUTH-010 exact capture authority; physical pins: 1=VCORE_1V1;2=GND; Populate only by signed power integrity change</x:v>
      </x:c>
      <x:c r="Y75" s="2" t="str">
        <x:v>100 nF 25 V X7R</x:v>
      </x:c>
      <x:c r="Z75" s="2" t="str">
        <x:v>ELECTRICAL_COMPONENT</x:v>
      </x:c>
      <x:c r="AA75" s="2" t="str">
        <x:v>DNP</x:v>
      </x:c>
      <x:c r="AB75" s="2" t="str">
        <x:v>-55..125</x:v>
      </x:c>
      <x:c r="AC75" s="14" t="str">
        <x:v>CONTROLLED_DNP</x:v>
      </x:c>
    </x:row>
    <x:row r="76">
      <x:c r="A76" s="2" t="str">
        <x:v>MAIN-010-C17</x:v>
      </x:c>
      <x:c r="B76" s="2" t="str">
        <x:v>PCB-MAIN</x:v>
      </x:c>
      <x:c r="C76" s="14" t="str">
        <x:v>C17</x:v>
      </x:c>
      <x:c r="D76" s="2" t="str">
        <x:v>Capacitor</x:v>
      </x:c>
      <x:c r="E76" s="17" t="str">
        <x:v>U1 VDD11 pin 98 optional high frequency position</x:v>
      </x:c>
      <x:c r="F76" s="2" t="str">
        <x:v>Murata</x:v>
      </x:c>
      <x:c r="G76" s="2" t="str">
        <x:v>GRM155R71E104KE14D</x:v>
      </x:c>
      <x:c r="H76" s="2" t="str">
        <x:v>0402</x:v>
      </x:c>
      <x:c r="I76" s="16" t="n">
        <x:v>0</x:v>
      </x:c>
      <x:c r="J76" s="16" t="n">
        <x:v>0</x:v>
      </x:c>
      <x:c r="K76" s="16" t="n">
        <x:v>0</x:v>
      </x:c>
      <x:c r="L76" s="16" t="n">
        <x:v>0</x:v>
      </x:c>
      <x:c r="M76" s="16" t="n">
        <x:v>0</x:v>
      </x:c>
      <x:c r="N76" s="16" t="n">
        <x:v>0</x:v>
      </x:c>
      <x:c r="O76" s="16" t="n">
        <x:v>0</x:v>
      </x:c>
      <x:c r="P76" s="16" t="n">
        <x:v>0</x:v>
      </x:c>
      <x:c r="Q76" s="16" t="n">
        <x:v>0</x:v>
      </x:c>
      <x:c r="R76" s="16" t="n">
        <x:v>0</x:v>
      </x:c>
      <x:c r="S76" s="14" t="str">
        <x:v>NONE</x:v>
      </x:c>
      <x:c r="T76" s="2" t="str">
        <x:v>COMMON</x:v>
      </x:c>
      <x:c r="U76" s="14" t="str">
        <x:v>CONTROLLED_DNP</x:v>
      </x:c>
      <x:c r="V76" s="17" t="str">
        <x:v>Authorized or traceable tier-1 channel</x:v>
      </x:c>
      <x:c r="W76" s="17" t="str">
        <x:v>Marking MPN package orientation electrical functional sample</x:v>
      </x:c>
      <x:c r="X76" s="17" t="str">
        <x:v>MAIN-AUTH-010 exact capture authority; physical pins: 1=VCORE_1V1;2=GND; Populate only by signed power integrity change</x:v>
      </x:c>
      <x:c r="Y76" s="2" t="str">
        <x:v>100 nF 25 V X7R</x:v>
      </x:c>
      <x:c r="Z76" s="2" t="str">
        <x:v>ELECTRICAL_COMPONENT</x:v>
      </x:c>
      <x:c r="AA76" s="2" t="str">
        <x:v>DNP</x:v>
      </x:c>
      <x:c r="AB76" s="2" t="str">
        <x:v>-55..125</x:v>
      </x:c>
      <x:c r="AC76" s="14" t="str">
        <x:v>CONTROLLED_DNP</x:v>
      </x:c>
    </x:row>
    <x:row r="77">
      <x:c r="A77" s="2" t="str">
        <x:v>MAIN-010-C18</x:v>
      </x:c>
      <x:c r="B77" s="2" t="str">
        <x:v>PCB-MAIN</x:v>
      </x:c>
      <x:c r="C77" s="14" t="str">
        <x:v>C18</x:v>
      </x:c>
      <x:c r="D77" s="2" t="str">
        <x:v>Capacitor</x:v>
      </x:c>
      <x:c r="E77" s="17" t="str">
        <x:v>U1 normal reset filter</x:v>
      </x:c>
      <x:c r="F77" s="2" t="str">
        <x:v>Murata</x:v>
      </x:c>
      <x:c r="G77" s="2" t="str">
        <x:v>GRM155R71E104KE14D</x:v>
      </x:c>
      <x:c r="H77" s="2" t="str">
        <x:v>0402</x:v>
      </x:c>
      <x:c r="I77" s="16" t="n">
        <x:v>1</x:v>
      </x:c>
      <x:c r="J77" s="16" t="n">
        <x:v>4</x:v>
      </x:c>
      <x:c r="K77" s="16" t="n">
        <x:v>0</x:v>
      </x:c>
      <x:c r="L77" s="16" t="n">
        <x:v>4</x:v>
      </x:c>
      <x:c r="M77" s="16" t="n">
        <x:v>10</x:v>
      </x:c>
      <x:c r="N77" s="16" t="n">
        <x:v>0</x:v>
      </x:c>
      <x:c r="O77" s="16" t="n">
        <x:v>10</x:v>
      </x:c>
      <x:c r="P77" s="16" t="n">
        <x:v>20</x:v>
      </x:c>
      <x:c r="Q77" s="16" t="n">
        <x:v>0</x:v>
      </x:c>
      <x:c r="R77" s="16" t="n">
        <x:v>20</x:v>
      </x:c>
      <x:c r="S77" s="14" t="str">
        <x:v>NONE</x:v>
      </x:c>
      <x:c r="T77" s="2" t="str">
        <x:v>COMMON</x:v>
      </x:c>
      <x:c r="U77" s="14" t="str">
        <x:v>SELECTED_PENDING_REVIEW_A</x:v>
      </x:c>
      <x:c r="V77" s="17" t="str">
        <x:v>Authorized or traceable tier-1 channel</x:v>
      </x:c>
      <x:c r="W77" s="17" t="str">
        <x:v>Marking MPN package orientation electrical functional sample</x:v>
      </x:c>
      <x:c r="X77" s="17" t="str">
        <x:v>MAIN-AUTH-010 exact capture authority; physical pins: 1=NRST;2=GND; Keep reset path short</x:v>
      </x:c>
      <x:c r="Y77" s="2" t="str">
        <x:v>100 nF 25 V X7R</x:v>
      </x:c>
      <x:c r="Z77" s="2" t="str">
        <x:v>ELECTRICAL_COMPONENT</x:v>
      </x:c>
      <x:c r="AA77" s="2" t="str">
        <x:v>FITTED</x:v>
      </x:c>
      <x:c r="AB77" s="2" t="str">
        <x:v>-55..125</x:v>
      </x:c>
      <x:c r="AC77" s="14" t="str">
        <x:v>CONTROLLED_PENDING_VERIFICATION</x:v>
      </x:c>
    </x:row>
    <x:row r="78">
      <x:c r="A78" s="2" t="str">
        <x:v>MAIN-010-C19</x:v>
      </x:c>
      <x:c r="B78" s="2" t="str">
        <x:v>PCB-MAIN</x:v>
      </x:c>
      <x:c r="C78" s="14" t="str">
        <x:v>C19</x:v>
      </x:c>
      <x:c r="D78" s="2" t="str">
        <x:v>Capacitor</x:v>
      </x:c>
      <x:c r="E78" s="17" t="str">
        <x:v>PCB-MAIN 3V3 entry bulk</x:v>
      </x:c>
      <x:c r="F78" s="2" t="str">
        <x:v>Murata</x:v>
      </x:c>
      <x:c r="G78" s="2" t="str">
        <x:v>GRM21BR61A226ME44L</x:v>
      </x:c>
      <x:c r="H78" s="2" t="str">
        <x:v>0805</x:v>
      </x:c>
      <x:c r="I78" s="16" t="n">
        <x:v>1</x:v>
      </x:c>
      <x:c r="J78" s="16" t="n">
        <x:v>4</x:v>
      </x:c>
      <x:c r="K78" s="16" t="n">
        <x:v>0</x:v>
      </x:c>
      <x:c r="L78" s="16" t="n">
        <x:v>4</x:v>
      </x:c>
      <x:c r="M78" s="16" t="n">
        <x:v>10</x:v>
      </x:c>
      <x:c r="N78" s="16" t="n">
        <x:v>0</x:v>
      </x:c>
      <x:c r="O78" s="16" t="n">
        <x:v>10</x:v>
      </x:c>
      <x:c r="P78" s="16" t="n">
        <x:v>20</x:v>
      </x:c>
      <x:c r="Q78" s="16" t="n">
        <x:v>0</x:v>
      </x:c>
      <x:c r="R78" s="16" t="n">
        <x:v>20</x:v>
      </x:c>
      <x:c r="S78" s="14" t="str">
        <x:v>NONE</x:v>
      </x:c>
      <x:c r="T78" s="2" t="str">
        <x:v>COMMON</x:v>
      </x:c>
      <x:c r="U78" s="14" t="str">
        <x:v>SELECTED_PENDING_REVIEW_A</x:v>
      </x:c>
      <x:c r="V78" s="17" t="str">
        <x:v>Authorized or traceable tier-1 channel</x:v>
      </x:c>
      <x:c r="W78" s="17" t="str">
        <x:v>Marking MPN package orientation electrical functional sample</x:v>
      </x:c>
      <x:c r="X78" s="17" t="str">
        <x:v>MAIN-AUTH-010 exact capture authority; physical pins: 1=3V3_DIGITAL;2=GND; Verify rail transient and DC bias in Review A</x:v>
      </x:c>
      <x:c r="Y78" s="2" t="str">
        <x:v>22 uF 10 V X5R</x:v>
      </x:c>
      <x:c r="Z78" s="2" t="str">
        <x:v>ELECTRICAL_COMPONENT</x:v>
      </x:c>
      <x:c r="AA78" s="2" t="str">
        <x:v>FITTED</x:v>
      </x:c>
      <x:c r="AB78" s="2" t="str">
        <x:v>-55..85</x:v>
      </x:c>
      <x:c r="AC78" s="14" t="str">
        <x:v>CONTROLLED_PENDING_VERIFICATION</x:v>
      </x:c>
    </x:row>
    <x:row r="79">
      <x:c r="A79" s="2" t="str">
        <x:v>MAIN-010-C20</x:v>
      </x:c>
      <x:c r="B79" s="2" t="str">
        <x:v>PCB-MAIN</x:v>
      </x:c>
      <x:c r="C79" s="14" t="str">
        <x:v>C20</x:v>
      </x:c>
      <x:c r="D79" s="2" t="str">
        <x:v>Capacitor</x:v>
      </x:c>
      <x:c r="E79" s="17" t="str">
        <x:v>PCB-MAIN 1V8 entry bulk</x:v>
      </x:c>
      <x:c r="F79" s="2" t="str">
        <x:v>Murata</x:v>
      </x:c>
      <x:c r="G79" s="2" t="str">
        <x:v>GRM188R61A106KE69D</x:v>
      </x:c>
      <x:c r="H79" s="2" t="str">
        <x:v>0603</x:v>
      </x:c>
      <x:c r="I79" s="16" t="n">
        <x:v>1</x:v>
      </x:c>
      <x:c r="J79" s="16" t="n">
        <x:v>4</x:v>
      </x:c>
      <x:c r="K79" s="16" t="n">
        <x:v>0</x:v>
      </x:c>
      <x:c r="L79" s="16" t="n">
        <x:v>4</x:v>
      </x:c>
      <x:c r="M79" s="16" t="n">
        <x:v>10</x:v>
      </x:c>
      <x:c r="N79" s="16" t="n">
        <x:v>0</x:v>
      </x:c>
      <x:c r="O79" s="16" t="n">
        <x:v>10</x:v>
      </x:c>
      <x:c r="P79" s="16" t="n">
        <x:v>20</x:v>
      </x:c>
      <x:c r="Q79" s="16" t="n">
        <x:v>0</x:v>
      </x:c>
      <x:c r="R79" s="16" t="n">
        <x:v>20</x:v>
      </x:c>
      <x:c r="S79" s="14" t="str">
        <x:v>NONE</x:v>
      </x:c>
      <x:c r="T79" s="2" t="str">
        <x:v>COMMON</x:v>
      </x:c>
      <x:c r="U79" s="14" t="str">
        <x:v>SELECTED_PENDING_REVIEW_A</x:v>
      </x:c>
      <x:c r="V79" s="17" t="str">
        <x:v>Authorized or traceable tier-1 channel</x:v>
      </x:c>
      <x:c r="W79" s="17" t="str">
        <x:v>Marking MPN package orientation electrical functional sample</x:v>
      </x:c>
      <x:c r="X79" s="17" t="str">
        <x:v>MAIN-AUTH-010 exact capture authority; physical pins: 1=1V8_MIC;2=GND; Verify microphone burst and wake current</x:v>
      </x:c>
      <x:c r="Y79" s="2" t="str">
        <x:v>10 uF 10 V X5R</x:v>
      </x:c>
      <x:c r="Z79" s="2" t="str">
        <x:v>ELECTRICAL_COMPONENT</x:v>
      </x:c>
      <x:c r="AA79" s="2" t="str">
        <x:v>FITTED</x:v>
      </x:c>
      <x:c r="AB79" s="2" t="str">
        <x:v>-55..85</x:v>
      </x:c>
      <x:c r="AC79" s="14" t="str">
        <x:v>CONTROLLED_PENDING_VERIFICATION</x:v>
      </x:c>
    </x:row>
    <x:row r="80">
      <x:c r="A80" s="2" t="str">
        <x:v>MAIN-010-C21</x:v>
      </x:c>
      <x:c r="B80" s="2" t="str">
        <x:v>PCB-MAIN</x:v>
      </x:c>
      <x:c r="C80" s="14" t="str">
        <x:v>C21</x:v>
      </x:c>
      <x:c r="D80" s="2" t="str">
        <x:v>Capacitor</x:v>
      </x:c>
      <x:c r="E80" s="17" t="str">
        <x:v>U2 VCC pin 2 high frequency bypass</x:v>
      </x:c>
      <x:c r="F80" s="2" t="str">
        <x:v>Murata</x:v>
      </x:c>
      <x:c r="G80" s="2" t="str">
        <x:v>GRM155R71E104KE14D</x:v>
      </x:c>
      <x:c r="H80" s="2" t="str">
        <x:v>0402</x:v>
      </x:c>
      <x:c r="I80" s="16" t="n">
        <x:v>1</x:v>
      </x:c>
      <x:c r="J80" s="16" t="n">
        <x:v>4</x:v>
      </x:c>
      <x:c r="K80" s="16" t="n">
        <x:v>0</x:v>
      </x:c>
      <x:c r="L80" s="16" t="n">
        <x:v>4</x:v>
      </x:c>
      <x:c r="M80" s="16" t="n">
        <x:v>10</x:v>
      </x:c>
      <x:c r="N80" s="16" t="n">
        <x:v>0</x:v>
      </x:c>
      <x:c r="O80" s="16" t="n">
        <x:v>10</x:v>
      </x:c>
      <x:c r="P80" s="16" t="n">
        <x:v>20</x:v>
      </x:c>
      <x:c r="Q80" s="16" t="n">
        <x:v>0</x:v>
      </x:c>
      <x:c r="R80" s="16" t="n">
        <x:v>20</x:v>
      </x:c>
      <x:c r="S80" s="14" t="str">
        <x:v>NONE</x:v>
      </x:c>
      <x:c r="T80" s="2" t="str">
        <x:v>COMMON</x:v>
      </x:c>
      <x:c r="U80" s="14" t="str">
        <x:v>SELECTED_PENDING_REVIEW_A</x:v>
      </x:c>
      <x:c r="V80" s="17" t="str">
        <x:v>Authorized or traceable tier-1 channel</x:v>
      </x:c>
      <x:c r="W80" s="17" t="str">
        <x:v>Marking MPN package orientation electrical functional sample</x:v>
      </x:c>
      <x:c r="X80" s="17" t="str">
        <x:v>MAIN-AUTH-010 exact capture authority; physical pins: 1=3V3_DIGITAL;2=GND; Place at U2 pin 2</x:v>
      </x:c>
      <x:c r="Y80" s="2" t="str">
        <x:v>100 nF 25 V X7R</x:v>
      </x:c>
      <x:c r="Z80" s="2" t="str">
        <x:v>ELECTRICAL_COMPONENT</x:v>
      </x:c>
      <x:c r="AA80" s="2" t="str">
        <x:v>FITTED</x:v>
      </x:c>
      <x:c r="AB80" s="2" t="str">
        <x:v>-55..125</x:v>
      </x:c>
      <x:c r="AC80" s="14" t="str">
        <x:v>CONTROLLED_PENDING_VERIFICATION</x:v>
      </x:c>
    </x:row>
    <x:row r="81">
      <x:c r="A81" s="2" t="str">
        <x:v>MAIN-010-C22</x:v>
      </x:c>
      <x:c r="B81" s="2" t="str">
        <x:v>PCB-MAIN</x:v>
      </x:c>
      <x:c r="C81" s="14" t="str">
        <x:v>C22</x:v>
      </x:c>
      <x:c r="D81" s="2" t="str">
        <x:v>Capacitor</x:v>
      </x:c>
      <x:c r="E81" s="17" t="str">
        <x:v>U2 VCC pin 2 local bulk</x:v>
      </x:c>
      <x:c r="F81" s="2" t="str">
        <x:v>Murata</x:v>
      </x:c>
      <x:c r="G81" s="2" t="str">
        <x:v>GRM155R61C105KA12D</x:v>
      </x:c>
      <x:c r="H81" s="2" t="str">
        <x:v>0402</x:v>
      </x:c>
      <x:c r="I81" s="16" t="n">
        <x:v>1</x:v>
      </x:c>
      <x:c r="J81" s="16" t="n">
        <x:v>4</x:v>
      </x:c>
      <x:c r="K81" s="16" t="n">
        <x:v>0</x:v>
      </x:c>
      <x:c r="L81" s="16" t="n">
        <x:v>4</x:v>
      </x:c>
      <x:c r="M81" s="16" t="n">
        <x:v>10</x:v>
      </x:c>
      <x:c r="N81" s="16" t="n">
        <x:v>0</x:v>
      </x:c>
      <x:c r="O81" s="16" t="n">
        <x:v>10</x:v>
      </x:c>
      <x:c r="P81" s="16" t="n">
        <x:v>20</x:v>
      </x:c>
      <x:c r="Q81" s="16" t="n">
        <x:v>0</x:v>
      </x:c>
      <x:c r="R81" s="16" t="n">
        <x:v>20</x:v>
      </x:c>
      <x:c r="S81" s="14" t="str">
        <x:v>NONE</x:v>
      </x:c>
      <x:c r="T81" s="2" t="str">
        <x:v>COMMON</x:v>
      </x:c>
      <x:c r="U81" s="14" t="str">
        <x:v>SELECTED_PENDING_REVIEW_A</x:v>
      </x:c>
      <x:c r="V81" s="17" t="str">
        <x:v>Authorized or traceable tier-1 channel</x:v>
      </x:c>
      <x:c r="W81" s="17" t="str">
        <x:v>Marking MPN package orientation electrical functional sample</x:v>
      </x:c>
      <x:c r="X81" s="17" t="str">
        <x:v>MAIN-AUTH-010 exact capture authority; physical pins: 1=3V3_DIGITAL;2=GND; Place at U2 pin 2</x:v>
      </x:c>
      <x:c r="Y81" s="2" t="str">
        <x:v>1 uF 16 V X5R</x:v>
      </x:c>
      <x:c r="Z81" s="2" t="str">
        <x:v>ELECTRICAL_COMPONENT</x:v>
      </x:c>
      <x:c r="AA81" s="2" t="str">
        <x:v>FITTED</x:v>
      </x:c>
      <x:c r="AB81" s="2" t="str">
        <x:v>-55..85</x:v>
      </x:c>
      <x:c r="AC81" s="14" t="str">
        <x:v>CONTROLLED_PENDING_VERIFICATION</x:v>
      </x:c>
    </x:row>
    <x:row r="82">
      <x:c r="A82" s="2" t="str">
        <x:v>MAIN-010-C23</x:v>
      </x:c>
      <x:c r="B82" s="2" t="str">
        <x:v>PCB-MAIN</x:v>
      </x:c>
      <x:c r="C82" s="14" t="str">
        <x:v>C23</x:v>
      </x:c>
      <x:c r="D82" s="2" t="str">
        <x:v>Capacitor</x:v>
      </x:c>
      <x:c r="E82" s="17" t="str">
        <x:v>U3 VDD pin 9 high frequency bypass</x:v>
      </x:c>
      <x:c r="F82" s="2" t="str">
        <x:v>Murata</x:v>
      </x:c>
      <x:c r="G82" s="2" t="str">
        <x:v>GRM155R71E104KE14D</x:v>
      </x:c>
      <x:c r="H82" s="2" t="str">
        <x:v>0402</x:v>
      </x:c>
      <x:c r="I82" s="16" t="n">
        <x:v>1</x:v>
      </x:c>
      <x:c r="J82" s="16" t="n">
        <x:v>4</x:v>
      </x:c>
      <x:c r="K82" s="16" t="n">
        <x:v>0</x:v>
      </x:c>
      <x:c r="L82" s="16" t="n">
        <x:v>4</x:v>
      </x:c>
      <x:c r="M82" s="16" t="n">
        <x:v>10</x:v>
      </x:c>
      <x:c r="N82" s="16" t="n">
        <x:v>0</x:v>
      </x:c>
      <x:c r="O82" s="16" t="n">
        <x:v>10</x:v>
      </x:c>
      <x:c r="P82" s="16" t="n">
        <x:v>20</x:v>
      </x:c>
      <x:c r="Q82" s="16" t="n">
        <x:v>0</x:v>
      </x:c>
      <x:c r="R82" s="16" t="n">
        <x:v>20</x:v>
      </x:c>
      <x:c r="S82" s="14" t="str">
        <x:v>NONE</x:v>
      </x:c>
      <x:c r="T82" s="2" t="str">
        <x:v>COMMON</x:v>
      </x:c>
      <x:c r="U82" s="14" t="str">
        <x:v>SELECTED_PENDING_REVIEW_A</x:v>
      </x:c>
      <x:c r="V82" s="17" t="str">
        <x:v>Authorized or traceable tier-1 channel</x:v>
      </x:c>
      <x:c r="W82" s="17" t="str">
        <x:v>Marking MPN package orientation electrical functional sample</x:v>
      </x:c>
      <x:c r="X82" s="17" t="str">
        <x:v>MAIN-AUTH-010 exact capture authority; physical pins: 1=3V3_DIGITAL;2=GND; Place at U3 pin 9</x:v>
      </x:c>
      <x:c r="Y82" s="2" t="str">
        <x:v>100 nF 25 V X7R</x:v>
      </x:c>
      <x:c r="Z82" s="2" t="str">
        <x:v>ELECTRICAL_COMPONENT</x:v>
      </x:c>
      <x:c r="AA82" s="2" t="str">
        <x:v>FITTED</x:v>
      </x:c>
      <x:c r="AB82" s="2" t="str">
        <x:v>-55..125</x:v>
      </x:c>
      <x:c r="AC82" s="14" t="str">
        <x:v>CONTROLLED_PENDING_VERIFICATION</x:v>
      </x:c>
    </x:row>
    <x:row r="83">
      <x:c r="A83" s="2" t="str">
        <x:v>MAIN-010-C24</x:v>
      </x:c>
      <x:c r="B83" s="2" t="str">
        <x:v>PCB-MAIN</x:v>
      </x:c>
      <x:c r="C83" s="14" t="str">
        <x:v>C24</x:v>
      </x:c>
      <x:c r="D83" s="2" t="str">
        <x:v>Capacitor</x:v>
      </x:c>
      <x:c r="E83" s="17" t="str">
        <x:v>U3 VDD pin 9 local bulk</x:v>
      </x:c>
      <x:c r="F83" s="2" t="str">
        <x:v>Murata</x:v>
      </x:c>
      <x:c r="G83" s="2" t="str">
        <x:v>GRM188R61A106KE69D</x:v>
      </x:c>
      <x:c r="H83" s="2" t="str">
        <x:v>0603</x:v>
      </x:c>
      <x:c r="I83" s="16" t="n">
        <x:v>1</x:v>
      </x:c>
      <x:c r="J83" s="16" t="n">
        <x:v>4</x:v>
      </x:c>
      <x:c r="K83" s="16" t="n">
        <x:v>0</x:v>
      </x:c>
      <x:c r="L83" s="16" t="n">
        <x:v>4</x:v>
      </x:c>
      <x:c r="M83" s="16" t="n">
        <x:v>10</x:v>
      </x:c>
      <x:c r="N83" s="16" t="n">
        <x:v>0</x:v>
      </x:c>
      <x:c r="O83" s="16" t="n">
        <x:v>10</x:v>
      </x:c>
      <x:c r="P83" s="16" t="n">
        <x:v>20</x:v>
      </x:c>
      <x:c r="Q83" s="16" t="n">
        <x:v>0</x:v>
      </x:c>
      <x:c r="R83" s="16" t="n">
        <x:v>20</x:v>
      </x:c>
      <x:c r="S83" s="14" t="str">
        <x:v>NONE</x:v>
      </x:c>
      <x:c r="T83" s="2" t="str">
        <x:v>COMMON</x:v>
      </x:c>
      <x:c r="U83" s="14" t="str">
        <x:v>SELECTED_PENDING_REVIEW_A</x:v>
      </x:c>
      <x:c r="V83" s="17" t="str">
        <x:v>Authorized or traceable tier-1 channel</x:v>
      </x:c>
      <x:c r="W83" s="17" t="str">
        <x:v>Marking MPN package orientation electrical functional sample</x:v>
      </x:c>
      <x:c r="X83" s="17" t="str">
        <x:v>MAIN-AUTH-010 exact capture authority; physical pins: 1=3V3_DIGITAL;2=GND; Verify motion sensor rail transient</x:v>
      </x:c>
      <x:c r="Y83" s="2" t="str">
        <x:v>10 uF 10 V X5R</x:v>
      </x:c>
      <x:c r="Z83" s="2" t="str">
        <x:v>ELECTRICAL_COMPONENT</x:v>
      </x:c>
      <x:c r="AA83" s="2" t="str">
        <x:v>FITTED</x:v>
      </x:c>
      <x:c r="AB83" s="2" t="str">
        <x:v>-55..85</x:v>
      </x:c>
      <x:c r="AC83" s="14" t="str">
        <x:v>CONTROLLED_PENDING_VERIFICATION</x:v>
      </x:c>
    </x:row>
    <x:row r="84">
      <x:c r="A84" s="2" t="str">
        <x:v>MAIN-010-C25</x:v>
      </x:c>
      <x:c r="B84" s="2" t="str">
        <x:v>PCB-MAIN</x:v>
      </x:c>
      <x:c r="C84" s="14" t="str">
        <x:v>C25</x:v>
      </x:c>
      <x:c r="D84" s="2" t="str">
        <x:v>Capacitor</x:v>
      </x:c>
      <x:c r="E84" s="17" t="str">
        <x:v>U3 VDD_IO pin 10 bypass</x:v>
      </x:c>
      <x:c r="F84" s="2" t="str">
        <x:v>Murata</x:v>
      </x:c>
      <x:c r="G84" s="2" t="str">
        <x:v>GRM155R71E104KE14D</x:v>
      </x:c>
      <x:c r="H84" s="2" t="str">
        <x:v>0402</x:v>
      </x:c>
      <x:c r="I84" s="16" t="n">
        <x:v>1</x:v>
      </x:c>
      <x:c r="J84" s="16" t="n">
        <x:v>4</x:v>
      </x:c>
      <x:c r="K84" s="16" t="n">
        <x:v>0</x:v>
      </x:c>
      <x:c r="L84" s="16" t="n">
        <x:v>4</x:v>
      </x:c>
      <x:c r="M84" s="16" t="n">
        <x:v>10</x:v>
      </x:c>
      <x:c r="N84" s="16" t="n">
        <x:v>0</x:v>
      </x:c>
      <x:c r="O84" s="16" t="n">
        <x:v>10</x:v>
      </x:c>
      <x:c r="P84" s="16" t="n">
        <x:v>20</x:v>
      </x:c>
      <x:c r="Q84" s="16" t="n">
        <x:v>0</x:v>
      </x:c>
      <x:c r="R84" s="16" t="n">
        <x:v>20</x:v>
      </x:c>
      <x:c r="S84" s="14" t="str">
        <x:v>NONE</x:v>
      </x:c>
      <x:c r="T84" s="2" t="str">
        <x:v>COMMON</x:v>
      </x:c>
      <x:c r="U84" s="14" t="str">
        <x:v>SELECTED_PENDING_REVIEW_A</x:v>
      </x:c>
      <x:c r="V84" s="17" t="str">
        <x:v>Authorized or traceable tier-1 channel</x:v>
      </x:c>
      <x:c r="W84" s="17" t="str">
        <x:v>Marking MPN package orientation electrical functional sample</x:v>
      </x:c>
      <x:c r="X84" s="17" t="str">
        <x:v>MAIN-AUTH-010 exact capture authority; physical pins: 1=3V3_DIGITAL;2=GND; Place at U3 pin 10</x:v>
      </x:c>
      <x:c r="Y84" s="2" t="str">
        <x:v>100 nF 25 V X7R</x:v>
      </x:c>
      <x:c r="Z84" s="2" t="str">
        <x:v>ELECTRICAL_COMPONENT</x:v>
      </x:c>
      <x:c r="AA84" s="2" t="str">
        <x:v>FITTED</x:v>
      </x:c>
      <x:c r="AB84" s="2" t="str">
        <x:v>-55..125</x:v>
      </x:c>
      <x:c r="AC84" s="14" t="str">
        <x:v>CONTROLLED_PENDING_VERIFICATION</x:v>
      </x:c>
    </x:row>
    <x:row r="85">
      <x:c r="A85" s="2" t="str">
        <x:v>MAIN-010-C26</x:v>
      </x:c>
      <x:c r="B85" s="2" t="str">
        <x:v>PCB-MAIN</x:v>
      </x:c>
      <x:c r="C85" s="14" t="str">
        <x:v>C26</x:v>
      </x:c>
      <x:c r="D85" s="2" t="str">
        <x:v>Capacitor</x:v>
      </x:c>
      <x:c r="E85" s="17" t="str">
        <x:v>U4 VDD pin 3 bypass</x:v>
      </x:c>
      <x:c r="F85" s="2" t="str">
        <x:v>Murata</x:v>
      </x:c>
      <x:c r="G85" s="2" t="str">
        <x:v>GRM155R71E104KE14D</x:v>
      </x:c>
      <x:c r="H85" s="2" t="str">
        <x:v>0402</x:v>
      </x:c>
      <x:c r="I85" s="16" t="n">
        <x:v>1</x:v>
      </x:c>
      <x:c r="J85" s="16" t="n">
        <x:v>4</x:v>
      </x:c>
      <x:c r="K85" s="16" t="n">
        <x:v>0</x:v>
      </x:c>
      <x:c r="L85" s="16" t="n">
        <x:v>4</x:v>
      </x:c>
      <x:c r="M85" s="16" t="n">
        <x:v>10</x:v>
      </x:c>
      <x:c r="N85" s="16" t="n">
        <x:v>0</x:v>
      </x:c>
      <x:c r="O85" s="16" t="n">
        <x:v>10</x:v>
      </x:c>
      <x:c r="P85" s="16" t="n">
        <x:v>20</x:v>
      </x:c>
      <x:c r="Q85" s="16" t="n">
        <x:v>0</x:v>
      </x:c>
      <x:c r="R85" s="16" t="n">
        <x:v>20</x:v>
      </x:c>
      <x:c r="S85" s="14" t="str">
        <x:v>NONE</x:v>
      </x:c>
      <x:c r="T85" s="2" t="str">
        <x:v>COMMON</x:v>
      </x:c>
      <x:c r="U85" s="14" t="str">
        <x:v>SELECTED_PENDING_REVIEW_A</x:v>
      </x:c>
      <x:c r="V85" s="17" t="str">
        <x:v>Authorized or traceable tier-1 channel</x:v>
      </x:c>
      <x:c r="W85" s="17" t="str">
        <x:v>Marking MPN package orientation electrical functional sample</x:v>
      </x:c>
      <x:c r="X85" s="17" t="str">
        <x:v>MAIN-AUTH-010 exact capture authority; physical pins: 1=3V3_DIGITAL;2=GND; Keep away from thermal gradients</x:v>
      </x:c>
      <x:c r="Y85" s="2" t="str">
        <x:v>100 nF 25 V X7R</x:v>
      </x:c>
      <x:c r="Z85" s="2" t="str">
        <x:v>ELECTRICAL_COMPONENT</x:v>
      </x:c>
      <x:c r="AA85" s="2" t="str">
        <x:v>FITTED</x:v>
      </x:c>
      <x:c r="AB85" s="2" t="str">
        <x:v>-55..125</x:v>
      </x:c>
      <x:c r="AC85" s="14" t="str">
        <x:v>CONTROLLED_PENDING_VERIFICATION</x:v>
      </x:c>
    </x:row>
    <x:row r="86">
      <x:c r="A86" s="2" t="str">
        <x:v>MAIN-010-C27</x:v>
      </x:c>
      <x:c r="B86" s="2" t="str">
        <x:v>PCB-MAIN</x:v>
      </x:c>
      <x:c r="C86" s="14" t="str">
        <x:v>C27</x:v>
      </x:c>
      <x:c r="D86" s="2" t="str">
        <x:v>Capacitor</x:v>
      </x:c>
      <x:c r="E86" s="17" t="str">
        <x:v>U7 VCCA pin 1 bypass</x:v>
      </x:c>
      <x:c r="F86" s="2" t="str">
        <x:v>Murata</x:v>
      </x:c>
      <x:c r="G86" s="2" t="str">
        <x:v>GRM155R71E104KE14D</x:v>
      </x:c>
      <x:c r="H86" s="2" t="str">
        <x:v>0402</x:v>
      </x:c>
      <x:c r="I86" s="16" t="n">
        <x:v>1</x:v>
      </x:c>
      <x:c r="J86" s="16" t="n">
        <x:v>4</x:v>
      </x:c>
      <x:c r="K86" s="16" t="n">
        <x:v>0</x:v>
      </x:c>
      <x:c r="L86" s="16" t="n">
        <x:v>4</x:v>
      </x:c>
      <x:c r="M86" s="16" t="n">
        <x:v>10</x:v>
      </x:c>
      <x:c r="N86" s="16" t="n">
        <x:v>0</x:v>
      </x:c>
      <x:c r="O86" s="16" t="n">
        <x:v>10</x:v>
      </x:c>
      <x:c r="P86" s="16" t="n">
        <x:v>20</x:v>
      </x:c>
      <x:c r="Q86" s="16" t="n">
        <x:v>0</x:v>
      </x:c>
      <x:c r="R86" s="16" t="n">
        <x:v>20</x:v>
      </x:c>
      <x:c r="S86" s="14" t="str">
        <x:v>NONE</x:v>
      </x:c>
      <x:c r="T86" s="2" t="str">
        <x:v>COMMON</x:v>
      </x:c>
      <x:c r="U86" s="14" t="str">
        <x:v>SELECTED_PENDING_REVIEW_A</x:v>
      </x:c>
      <x:c r="V86" s="17" t="str">
        <x:v>Authorized or traceable tier-1 channel</x:v>
      </x:c>
      <x:c r="W86" s="17" t="str">
        <x:v>Marking MPN package orientation electrical functional sample</x:v>
      </x:c>
      <x:c r="X86" s="17" t="str">
        <x:v>MAIN-AUTH-010 exact capture authority; physical pins: 1=1V8_MIC;2=GND; Place at U7 pin 1</x:v>
      </x:c>
      <x:c r="Y86" s="2" t="str">
        <x:v>100 nF 25 V X7R</x:v>
      </x:c>
      <x:c r="Z86" s="2" t="str">
        <x:v>ELECTRICAL_COMPONENT</x:v>
      </x:c>
      <x:c r="AA86" s="2" t="str">
        <x:v>FITTED</x:v>
      </x:c>
      <x:c r="AB86" s="2" t="str">
        <x:v>-55..125</x:v>
      </x:c>
      <x:c r="AC86" s="14" t="str">
        <x:v>CONTROLLED_PENDING_VERIFICATION</x:v>
      </x:c>
    </x:row>
    <x:row r="87">
      <x:c r="A87" s="2" t="str">
        <x:v>MAIN-010-C28</x:v>
      </x:c>
      <x:c r="B87" s="2" t="str">
        <x:v>PCB-MAIN</x:v>
      </x:c>
      <x:c r="C87" s="14" t="str">
        <x:v>C28</x:v>
      </x:c>
      <x:c r="D87" s="2" t="str">
        <x:v>Capacitor</x:v>
      </x:c>
      <x:c r="E87" s="17" t="str">
        <x:v>U7 VCCB pin 23 bypass</x:v>
      </x:c>
      <x:c r="F87" s="2" t="str">
        <x:v>Murata</x:v>
      </x:c>
      <x:c r="G87" s="2" t="str">
        <x:v>GRM155R71E104KE14D</x:v>
      </x:c>
      <x:c r="H87" s="2" t="str">
        <x:v>0402</x:v>
      </x:c>
      <x:c r="I87" s="16" t="n">
        <x:v>1</x:v>
      </x:c>
      <x:c r="J87" s="16" t="n">
        <x:v>4</x:v>
      </x:c>
      <x:c r="K87" s="16" t="n">
        <x:v>0</x:v>
      </x:c>
      <x:c r="L87" s="16" t="n">
        <x:v>4</x:v>
      </x:c>
      <x:c r="M87" s="16" t="n">
        <x:v>10</x:v>
      </x:c>
      <x:c r="N87" s="16" t="n">
        <x:v>0</x:v>
      </x:c>
      <x:c r="O87" s="16" t="n">
        <x:v>10</x:v>
      </x:c>
      <x:c r="P87" s="16" t="n">
        <x:v>20</x:v>
      </x:c>
      <x:c r="Q87" s="16" t="n">
        <x:v>0</x:v>
      </x:c>
      <x:c r="R87" s="16" t="n">
        <x:v>20</x:v>
      </x:c>
      <x:c r="S87" s="14" t="str">
        <x:v>NONE</x:v>
      </x:c>
      <x:c r="T87" s="2" t="str">
        <x:v>COMMON</x:v>
      </x:c>
      <x:c r="U87" s="14" t="str">
        <x:v>SELECTED_PENDING_REVIEW_A</x:v>
      </x:c>
      <x:c r="V87" s="17" t="str">
        <x:v>Authorized or traceable tier-1 channel</x:v>
      </x:c>
      <x:c r="W87" s="17" t="str">
        <x:v>Marking MPN package orientation electrical functional sample</x:v>
      </x:c>
      <x:c r="X87" s="17" t="str">
        <x:v>MAIN-AUTH-010 exact capture authority; physical pins: 1=3V3_DIGITAL;2=GND; Place at U7 pin 23</x:v>
      </x:c>
      <x:c r="Y87" s="2" t="str">
        <x:v>100 nF 25 V X7R</x:v>
      </x:c>
      <x:c r="Z87" s="2" t="str">
        <x:v>ELECTRICAL_COMPONENT</x:v>
      </x:c>
      <x:c r="AA87" s="2" t="str">
        <x:v>FITTED</x:v>
      </x:c>
      <x:c r="AB87" s="2" t="str">
        <x:v>-55..125</x:v>
      </x:c>
      <x:c r="AC87" s="14" t="str">
        <x:v>CONTROLLED_PENDING_VERIFICATION</x:v>
      </x:c>
    </x:row>
    <x:row r="88">
      <x:c r="A88" s="2" t="str">
        <x:v>MAIN-010-C29</x:v>
      </x:c>
      <x:c r="B88" s="2" t="str">
        <x:v>PCB-MAIN</x:v>
      </x:c>
      <x:c r="C88" s="14" t="str">
        <x:v>C29</x:v>
      </x:c>
      <x:c r="D88" s="2" t="str">
        <x:v>Capacitor</x:v>
      </x:c>
      <x:c r="E88" s="17" t="str">
        <x:v>U7 VCCB pin 24 bypass</x:v>
      </x:c>
      <x:c r="F88" s="2" t="str">
        <x:v>Murata</x:v>
      </x:c>
      <x:c r="G88" s="2" t="str">
        <x:v>GRM155R71E104KE14D</x:v>
      </x:c>
      <x:c r="H88" s="2" t="str">
        <x:v>0402</x:v>
      </x:c>
      <x:c r="I88" s="16" t="n">
        <x:v>1</x:v>
      </x:c>
      <x:c r="J88" s="16" t="n">
        <x:v>4</x:v>
      </x:c>
      <x:c r="K88" s="16" t="n">
        <x:v>0</x:v>
      </x:c>
      <x:c r="L88" s="16" t="n">
        <x:v>4</x:v>
      </x:c>
      <x:c r="M88" s="16" t="n">
        <x:v>10</x:v>
      </x:c>
      <x:c r="N88" s="16" t="n">
        <x:v>0</x:v>
      </x:c>
      <x:c r="O88" s="16" t="n">
        <x:v>10</x:v>
      </x:c>
      <x:c r="P88" s="16" t="n">
        <x:v>20</x:v>
      </x:c>
      <x:c r="Q88" s="16" t="n">
        <x:v>0</x:v>
      </x:c>
      <x:c r="R88" s="16" t="n">
        <x:v>20</x:v>
      </x:c>
      <x:c r="S88" s="14" t="str">
        <x:v>NONE</x:v>
      </x:c>
      <x:c r="T88" s="2" t="str">
        <x:v>COMMON</x:v>
      </x:c>
      <x:c r="U88" s="14" t="str">
        <x:v>SELECTED_PENDING_REVIEW_A</x:v>
      </x:c>
      <x:c r="V88" s="17" t="str">
        <x:v>Authorized or traceable tier-1 channel</x:v>
      </x:c>
      <x:c r="W88" s="17" t="str">
        <x:v>Marking MPN package orientation electrical functional sample</x:v>
      </x:c>
      <x:c r="X88" s="17" t="str">
        <x:v>MAIN-AUTH-010 exact capture authority; physical pins: 1=3V3_DIGITAL;2=GND; Place at U7 pin 24</x:v>
      </x:c>
      <x:c r="Y88" s="2" t="str">
        <x:v>100 nF 25 V X7R</x:v>
      </x:c>
      <x:c r="Z88" s="2" t="str">
        <x:v>ELECTRICAL_COMPONENT</x:v>
      </x:c>
      <x:c r="AA88" s="2" t="str">
        <x:v>FITTED</x:v>
      </x:c>
      <x:c r="AB88" s="2" t="str">
        <x:v>-55..125</x:v>
      </x:c>
      <x:c r="AC88" s="14" t="str">
        <x:v>CONTROLLED_PENDING_VERIFICATION</x:v>
      </x:c>
    </x:row>
    <x:row r="89">
      <x:c r="A89" s="2" t="str">
        <x:v>MAIN-010-C30</x:v>
      </x:c>
      <x:c r="B89" s="2" t="str">
        <x:v>PCB-MAIN</x:v>
      </x:c>
      <x:c r="C89" s="14" t="str">
        <x:v>C30</x:v>
      </x:c>
      <x:c r="D89" s="2" t="str">
        <x:v>Capacitor</x:v>
      </x:c>
      <x:c r="E89" s="17" t="str">
        <x:v>U17 VCC pin 14 bypass</x:v>
      </x:c>
      <x:c r="F89" s="2" t="str">
        <x:v>Murata</x:v>
      </x:c>
      <x:c r="G89" s="2" t="str">
        <x:v>GRM155R71E104KE14D</x:v>
      </x:c>
      <x:c r="H89" s="2" t="str">
        <x:v>0402</x:v>
      </x:c>
      <x:c r="I89" s="16" t="n">
        <x:v>1</x:v>
      </x:c>
      <x:c r="J89" s="16" t="n">
        <x:v>4</x:v>
      </x:c>
      <x:c r="K89" s="16" t="n">
        <x:v>0</x:v>
      </x:c>
      <x:c r="L89" s="16" t="n">
        <x:v>4</x:v>
      </x:c>
      <x:c r="M89" s="16" t="n">
        <x:v>10</x:v>
      </x:c>
      <x:c r="N89" s="16" t="n">
        <x:v>0</x:v>
      </x:c>
      <x:c r="O89" s="16" t="n">
        <x:v>10</x:v>
      </x:c>
      <x:c r="P89" s="16" t="n">
        <x:v>20</x:v>
      </x:c>
      <x:c r="Q89" s="16" t="n">
        <x:v>0</x:v>
      </x:c>
      <x:c r="R89" s="16" t="n">
        <x:v>20</x:v>
      </x:c>
      <x:c r="S89" s="14" t="str">
        <x:v>NONE</x:v>
      </x:c>
      <x:c r="T89" s="2" t="str">
        <x:v>COMMON</x:v>
      </x:c>
      <x:c r="U89" s="14" t="str">
        <x:v>SELECTED_PENDING_REVIEW_A</x:v>
      </x:c>
      <x:c r="V89" s="17" t="str">
        <x:v>Authorized or traceable tier-1 channel</x:v>
      </x:c>
      <x:c r="W89" s="17" t="str">
        <x:v>Marking MPN package orientation electrical functional sample</x:v>
      </x:c>
      <x:c r="X89" s="17" t="str">
        <x:v>MAIN-AUTH-010 exact capture authority; physical pins: 1=1V8_MIC;2=GND; Place at U17 pin 14</x:v>
      </x:c>
      <x:c r="Y89" s="2" t="str">
        <x:v>100 nF 25 V X7R</x:v>
      </x:c>
      <x:c r="Z89" s="2" t="str">
        <x:v>ELECTRICAL_COMPONENT</x:v>
      </x:c>
      <x:c r="AA89" s="2" t="str">
        <x:v>FITTED</x:v>
      </x:c>
      <x:c r="AB89" s="2" t="str">
        <x:v>-55..125</x:v>
      </x:c>
      <x:c r="AC89" s="14" t="str">
        <x:v>CONTROLLED_PENDING_VERIFICATION</x:v>
      </x:c>
    </x:row>
    <x:row r="90">
      <x:c r="A90" s="2" t="str">
        <x:v>MAIN-010-C31</x:v>
      </x:c>
      <x:c r="B90" s="2" t="str">
        <x:v>PCB-MAIN</x:v>
      </x:c>
      <x:c r="C90" s="14" t="str">
        <x:v>C31</x:v>
      </x:c>
      <x:c r="D90" s="2" t="str">
        <x:v>Capacitor</x:v>
      </x:c>
      <x:c r="E90" s="17" t="str">
        <x:v>U18 VCCA pin 1 bypass</x:v>
      </x:c>
      <x:c r="F90" s="2" t="str">
        <x:v>Murata</x:v>
      </x:c>
      <x:c r="G90" s="2" t="str">
        <x:v>GRM155R71E104KE14D</x:v>
      </x:c>
      <x:c r="H90" s="2" t="str">
        <x:v>0402</x:v>
      </x:c>
      <x:c r="I90" s="16" t="n">
        <x:v>1</x:v>
      </x:c>
      <x:c r="J90" s="16" t="n">
        <x:v>4</x:v>
      </x:c>
      <x:c r="K90" s="16" t="n">
        <x:v>0</x:v>
      </x:c>
      <x:c r="L90" s="16" t="n">
        <x:v>4</x:v>
      </x:c>
      <x:c r="M90" s="16" t="n">
        <x:v>10</x:v>
      </x:c>
      <x:c r="N90" s="16" t="n">
        <x:v>0</x:v>
      </x:c>
      <x:c r="O90" s="16" t="n">
        <x:v>10</x:v>
      </x:c>
      <x:c r="P90" s="16" t="n">
        <x:v>20</x:v>
      </x:c>
      <x:c r="Q90" s="16" t="n">
        <x:v>0</x:v>
      </x:c>
      <x:c r="R90" s="16" t="n">
        <x:v>20</x:v>
      </x:c>
      <x:c r="S90" s="14" t="str">
        <x:v>NONE</x:v>
      </x:c>
      <x:c r="T90" s="2" t="str">
        <x:v>COMMON</x:v>
      </x:c>
      <x:c r="U90" s="14" t="str">
        <x:v>SELECTED_PENDING_REVIEW_A</x:v>
      </x:c>
      <x:c r="V90" s="17" t="str">
        <x:v>Authorized or traceable tier-1 channel</x:v>
      </x:c>
      <x:c r="W90" s="17" t="str">
        <x:v>Marking MPN package orientation electrical functional sample</x:v>
      </x:c>
      <x:c r="X90" s="17" t="str">
        <x:v>MAIN-AUTH-010 exact capture authority; physical pins: 1=1V8_MIC;2=GND; Place at U18 pin 1</x:v>
      </x:c>
      <x:c r="Y90" s="2" t="str">
        <x:v>100 nF 25 V X7R</x:v>
      </x:c>
      <x:c r="Z90" s="2" t="str">
        <x:v>ELECTRICAL_COMPONENT</x:v>
      </x:c>
      <x:c r="AA90" s="2" t="str">
        <x:v>FITTED</x:v>
      </x:c>
      <x:c r="AB90" s="2" t="str">
        <x:v>-55..125</x:v>
      </x:c>
      <x:c r="AC90" s="14" t="str">
        <x:v>CONTROLLED_PENDING_VERIFICATION</x:v>
      </x:c>
    </x:row>
    <x:row r="91">
      <x:c r="A91" s="2" t="str">
        <x:v>MAIN-010-C32</x:v>
      </x:c>
      <x:c r="B91" s="2" t="str">
        <x:v>PCB-MAIN</x:v>
      </x:c>
      <x:c r="C91" s="14" t="str">
        <x:v>C32</x:v>
      </x:c>
      <x:c r="D91" s="2" t="str">
        <x:v>Capacitor</x:v>
      </x:c>
      <x:c r="E91" s="17" t="str">
        <x:v>U18 VCCB pin 6 bypass</x:v>
      </x:c>
      <x:c r="F91" s="2" t="str">
        <x:v>Murata</x:v>
      </x:c>
      <x:c r="G91" s="2" t="str">
        <x:v>GRM155R71E104KE14D</x:v>
      </x:c>
      <x:c r="H91" s="2" t="str">
        <x:v>0402</x:v>
      </x:c>
      <x:c r="I91" s="16" t="n">
        <x:v>1</x:v>
      </x:c>
      <x:c r="J91" s="16" t="n">
        <x:v>4</x:v>
      </x:c>
      <x:c r="K91" s="16" t="n">
        <x:v>0</x:v>
      </x:c>
      <x:c r="L91" s="16" t="n">
        <x:v>4</x:v>
      </x:c>
      <x:c r="M91" s="16" t="n">
        <x:v>10</x:v>
      </x:c>
      <x:c r="N91" s="16" t="n">
        <x:v>0</x:v>
      </x:c>
      <x:c r="O91" s="16" t="n">
        <x:v>10</x:v>
      </x:c>
      <x:c r="P91" s="16" t="n">
        <x:v>20</x:v>
      </x:c>
      <x:c r="Q91" s="16" t="n">
        <x:v>0</x:v>
      </x:c>
      <x:c r="R91" s="16" t="n">
        <x:v>20</x:v>
      </x:c>
      <x:c r="S91" s="14" t="str">
        <x:v>NONE</x:v>
      </x:c>
      <x:c r="T91" s="2" t="str">
        <x:v>COMMON</x:v>
      </x:c>
      <x:c r="U91" s="14" t="str">
        <x:v>SELECTED_PENDING_REVIEW_A</x:v>
      </x:c>
      <x:c r="V91" s="17" t="str">
        <x:v>Authorized or traceable tier-1 channel</x:v>
      </x:c>
      <x:c r="W91" s="17" t="str">
        <x:v>Marking MPN package orientation electrical functional sample</x:v>
      </x:c>
      <x:c r="X91" s="17" t="str">
        <x:v>MAIN-AUTH-010 exact capture authority; physical pins: 1=3V3_DIGITAL;2=GND; Place at U18 pin 6</x:v>
      </x:c>
      <x:c r="Y91" s="2" t="str">
        <x:v>100 nF 25 V X7R</x:v>
      </x:c>
      <x:c r="Z91" s="2" t="str">
        <x:v>ELECTRICAL_COMPONENT</x:v>
      </x:c>
      <x:c r="AA91" s="2" t="str">
        <x:v>FITTED</x:v>
      </x:c>
      <x:c r="AB91" s="2" t="str">
        <x:v>-55..125</x:v>
      </x:c>
      <x:c r="AC91" s="14" t="str">
        <x:v>CONTROLLED_PENDING_VERIFICATION</x:v>
      </x:c>
    </x:row>
    <x:row r="92">
      <x:c r="A92" s="2" t="str">
        <x:v>MAIN-010-C33</x:v>
      </x:c>
      <x:c r="B92" s="2" t="str">
        <x:v>PCB-MAIN</x:v>
      </x:c>
      <x:c r="C92" s="14" t="str">
        <x:v>C33</x:v>
      </x:c>
      <x:c r="D92" s="2" t="str">
        <x:v>Capacitor</x:v>
      </x:c>
      <x:c r="E92" s="17" t="str">
        <x:v>U16 VCCA pin 1 bypass</x:v>
      </x:c>
      <x:c r="F92" s="2" t="str">
        <x:v>Murata</x:v>
      </x:c>
      <x:c r="G92" s="2" t="str">
        <x:v>GRM155R71E104KE14D</x:v>
      </x:c>
      <x:c r="H92" s="2" t="str">
        <x:v>0402</x:v>
      </x:c>
      <x:c r="I92" s="16" t="n">
        <x:v>1</x:v>
      </x:c>
      <x:c r="J92" s="16" t="n">
        <x:v>4</x:v>
      </x:c>
      <x:c r="K92" s="16" t="n">
        <x:v>0</x:v>
      </x:c>
      <x:c r="L92" s="16" t="n">
        <x:v>4</x:v>
      </x:c>
      <x:c r="M92" s="16" t="n">
        <x:v>10</x:v>
      </x:c>
      <x:c r="N92" s="16" t="n">
        <x:v>0</x:v>
      </x:c>
      <x:c r="O92" s="16" t="n">
        <x:v>10</x:v>
      </x:c>
      <x:c r="P92" s="16" t="n">
        <x:v>20</x:v>
      </x:c>
      <x:c r="Q92" s="16" t="n">
        <x:v>0</x:v>
      </x:c>
      <x:c r="R92" s="16" t="n">
        <x:v>20</x:v>
      </x:c>
      <x:c r="S92" s="14" t="str">
        <x:v>NONE</x:v>
      </x:c>
      <x:c r="T92" s="2" t="str">
        <x:v>COMMON</x:v>
      </x:c>
      <x:c r="U92" s="14" t="str">
        <x:v>SELECTED_PENDING_REVIEW_A</x:v>
      </x:c>
      <x:c r="V92" s="17" t="str">
        <x:v>Authorized or traceable tier-1 channel</x:v>
      </x:c>
      <x:c r="W92" s="17" t="str">
        <x:v>Marking MPN package orientation electrical functional sample</x:v>
      </x:c>
      <x:c r="X92" s="17" t="str">
        <x:v>MAIN-AUTH-010 exact capture authority; physical pins: 1=U8_VDD_EXT_1V8;2=GND_MODEM; Place at U16 pin 1</x:v>
      </x:c>
      <x:c r="Y92" s="2" t="str">
        <x:v>100 nF 25 V X7R</x:v>
      </x:c>
      <x:c r="Z92" s="2" t="str">
        <x:v>ELECTRICAL_COMPONENT</x:v>
      </x:c>
      <x:c r="AA92" s="2" t="str">
        <x:v>FITTED</x:v>
      </x:c>
      <x:c r="AB92" s="2" t="str">
        <x:v>-55..125</x:v>
      </x:c>
      <x:c r="AC92" s="14" t="str">
        <x:v>CONTROLLED_PENDING_VERIFICATION</x:v>
      </x:c>
    </x:row>
    <x:row r="93">
      <x:c r="A93" s="2" t="str">
        <x:v>MAIN-010-C34</x:v>
      </x:c>
      <x:c r="B93" s="2" t="str">
        <x:v>PCB-MAIN</x:v>
      </x:c>
      <x:c r="C93" s="14" t="str">
        <x:v>C34</x:v>
      </x:c>
      <x:c r="D93" s="2" t="str">
        <x:v>Capacitor</x:v>
      </x:c>
      <x:c r="E93" s="17" t="str">
        <x:v>U16 VCCB pin 23 bypass</x:v>
      </x:c>
      <x:c r="F93" s="2" t="str">
        <x:v>Murata</x:v>
      </x:c>
      <x:c r="G93" s="2" t="str">
        <x:v>GRM155R71E104KE14D</x:v>
      </x:c>
      <x:c r="H93" s="2" t="str">
        <x:v>0402</x:v>
      </x:c>
      <x:c r="I93" s="16" t="n">
        <x:v>1</x:v>
      </x:c>
      <x:c r="J93" s="16" t="n">
        <x:v>4</x:v>
      </x:c>
      <x:c r="K93" s="16" t="n">
        <x:v>0</x:v>
      </x:c>
      <x:c r="L93" s="16" t="n">
        <x:v>4</x:v>
      </x:c>
      <x:c r="M93" s="16" t="n">
        <x:v>10</x:v>
      </x:c>
      <x:c r="N93" s="16" t="n">
        <x:v>0</x:v>
      </x:c>
      <x:c r="O93" s="16" t="n">
        <x:v>10</x:v>
      </x:c>
      <x:c r="P93" s="16" t="n">
        <x:v>20</x:v>
      </x:c>
      <x:c r="Q93" s="16" t="n">
        <x:v>0</x:v>
      </x:c>
      <x:c r="R93" s="16" t="n">
        <x:v>20</x:v>
      </x:c>
      <x:c r="S93" s="14" t="str">
        <x:v>NONE</x:v>
      </x:c>
      <x:c r="T93" s="2" t="str">
        <x:v>COMMON</x:v>
      </x:c>
      <x:c r="U93" s="14" t="str">
        <x:v>SELECTED_PENDING_REVIEW_A</x:v>
      </x:c>
      <x:c r="V93" s="17" t="str">
        <x:v>Authorized or traceable tier-1 channel</x:v>
      </x:c>
      <x:c r="W93" s="17" t="str">
        <x:v>Marking MPN package orientation electrical functional sample</x:v>
      </x:c>
      <x:c r="X93" s="17" t="str">
        <x:v>MAIN-AUTH-010 exact capture authority; physical pins: 1=3V3_DIGITAL;2=GND_MODEM; Place at U16 pin 23</x:v>
      </x:c>
      <x:c r="Y93" s="2" t="str">
        <x:v>100 nF 25 V X7R</x:v>
      </x:c>
      <x:c r="Z93" s="2" t="str">
        <x:v>ELECTRICAL_COMPONENT</x:v>
      </x:c>
      <x:c r="AA93" s="2" t="str">
        <x:v>FITTED</x:v>
      </x:c>
      <x:c r="AB93" s="2" t="str">
        <x:v>-55..125</x:v>
      </x:c>
      <x:c r="AC93" s="14" t="str">
        <x:v>CONTROLLED_PENDING_VERIFICATION</x:v>
      </x:c>
    </x:row>
    <x:row r="94">
      <x:c r="A94" s="2" t="str">
        <x:v>MAIN-010-C35</x:v>
      </x:c>
      <x:c r="B94" s="2" t="str">
        <x:v>PCB-MAIN</x:v>
      </x:c>
      <x:c r="C94" s="14" t="str">
        <x:v>C35</x:v>
      </x:c>
      <x:c r="D94" s="2" t="str">
        <x:v>Capacitor</x:v>
      </x:c>
      <x:c r="E94" s="17" t="str">
        <x:v>U16 VCCB pin 24 bypass</x:v>
      </x:c>
      <x:c r="F94" s="2" t="str">
        <x:v>Murata</x:v>
      </x:c>
      <x:c r="G94" s="2" t="str">
        <x:v>GRM155R71E104KE14D</x:v>
      </x:c>
      <x:c r="H94" s="2" t="str">
        <x:v>0402</x:v>
      </x:c>
      <x:c r="I94" s="16" t="n">
        <x:v>1</x:v>
      </x:c>
      <x:c r="J94" s="16" t="n">
        <x:v>4</x:v>
      </x:c>
      <x:c r="K94" s="16" t="n">
        <x:v>0</x:v>
      </x:c>
      <x:c r="L94" s="16" t="n">
        <x:v>4</x:v>
      </x:c>
      <x:c r="M94" s="16" t="n">
        <x:v>10</x:v>
      </x:c>
      <x:c r="N94" s="16" t="n">
        <x:v>0</x:v>
      </x:c>
      <x:c r="O94" s="16" t="n">
        <x:v>10</x:v>
      </x:c>
      <x:c r="P94" s="16" t="n">
        <x:v>20</x:v>
      </x:c>
      <x:c r="Q94" s="16" t="n">
        <x:v>0</x:v>
      </x:c>
      <x:c r="R94" s="16" t="n">
        <x:v>20</x:v>
      </x:c>
      <x:c r="S94" s="14" t="str">
        <x:v>NONE</x:v>
      </x:c>
      <x:c r="T94" s="2" t="str">
        <x:v>COMMON</x:v>
      </x:c>
      <x:c r="U94" s="14" t="str">
        <x:v>SELECTED_PENDING_REVIEW_A</x:v>
      </x:c>
      <x:c r="V94" s="17" t="str">
        <x:v>Authorized or traceable tier-1 channel</x:v>
      </x:c>
      <x:c r="W94" s="17" t="str">
        <x:v>Marking MPN package orientation electrical functional sample</x:v>
      </x:c>
      <x:c r="X94" s="17" t="str">
        <x:v>MAIN-AUTH-010 exact capture authority; physical pins: 1=3V3_DIGITAL;2=GND_MODEM; Place at U16 pin 24</x:v>
      </x:c>
      <x:c r="Y94" s="2" t="str">
        <x:v>100 nF 25 V X7R</x:v>
      </x:c>
      <x:c r="Z94" s="2" t="str">
        <x:v>ELECTRICAL_COMPONENT</x:v>
      </x:c>
      <x:c r="AA94" s="2" t="str">
        <x:v>FITTED</x:v>
      </x:c>
      <x:c r="AB94" s="2" t="str">
        <x:v>-55..125</x:v>
      </x:c>
      <x:c r="AC94" s="14" t="str">
        <x:v>CONTROLLED_PENDING_VERIFICATION</x:v>
      </x:c>
    </x:row>
    <x:row r="95">
      <x:c r="A95" s="2" t="str">
        <x:v>MAIN-010-C36</x:v>
      </x:c>
      <x:c r="B95" s="2" t="str">
        <x:v>PCB-MAIN</x:v>
      </x:c>
      <x:c r="C95" s="14" t="str">
        <x:v>C36</x:v>
      </x:c>
      <x:c r="D95" s="2" t="str">
        <x:v>Capacitor</x:v>
      </x:c>
      <x:c r="E95" s="17" t="str">
        <x:v>U8 VBAT_BB local burst bulk</x:v>
      </x:c>
      <x:c r="F95" s="2" t="str">
        <x:v>KEMET</x:v>
      </x:c>
      <x:c r="G95" s="2" t="str">
        <x:v>T520D107M006ATE015</x:v>
      </x:c>
      <x:c r="H95" s="2" t="str">
        <x:v>7343-31</x:v>
      </x:c>
      <x:c r="I95" s="16" t="n">
        <x:v>1</x:v>
      </x:c>
      <x:c r="J95" s="16" t="n">
        <x:v>4</x:v>
      </x:c>
      <x:c r="K95" s="16" t="n">
        <x:v>0</x:v>
      </x:c>
      <x:c r="L95" s="16" t="n">
        <x:v>4</x:v>
      </x:c>
      <x:c r="M95" s="16" t="n">
        <x:v>10</x:v>
      </x:c>
      <x:c r="N95" s="16" t="n">
        <x:v>0</x:v>
      </x:c>
      <x:c r="O95" s="16" t="n">
        <x:v>10</x:v>
      </x:c>
      <x:c r="P95" s="16" t="n">
        <x:v>20</x:v>
      </x:c>
      <x:c r="Q95" s="16" t="n">
        <x:v>0</x:v>
      </x:c>
      <x:c r="R95" s="16" t="n">
        <x:v>20</x:v>
      </x:c>
      <x:c r="S95" s="14" t="str">
        <x:v>NONE</x:v>
      </x:c>
      <x:c r="T95" s="2" t="str">
        <x:v>COMMON</x:v>
      </x:c>
      <x:c r="U95" s="14" t="str">
        <x:v>SELECTED_PENDING_REVIEW_A</x:v>
      </x:c>
      <x:c r="V95" s="17" t="str">
        <x:v>Authorized or traceable tier-1 channel</x:v>
      </x:c>
      <x:c r="W95" s="17" t="str">
        <x:v>Marking MPN package orientation electrical functional sample</x:v>
      </x:c>
      <x:c r="X95" s="17" t="str">
        <x:v>MAIN-AUTH-010 exact capture authority; physical pins: 1=3V8_MODEM_BB;2=GND_MODEM; Verify voltage droop and ripple current</x:v>
      </x:c>
      <x:c r="Y95" s="2" t="str">
        <x:v>100 uF 6.3 V 15 mOhm polymer</x:v>
      </x:c>
      <x:c r="Z95" s="2" t="str">
        <x:v>ELECTRICAL_COMPONENT</x:v>
      </x:c>
      <x:c r="AA95" s="2" t="str">
        <x:v>FITTED</x:v>
      </x:c>
      <x:c r="AB95" s="2" t="str">
        <x:v>-55..105</x:v>
      </x:c>
      <x:c r="AC95" s="14" t="str">
        <x:v>CONTROLLED_PENDING_VERIFICATION</x:v>
      </x:c>
    </x:row>
    <x:row r="96">
      <x:c r="A96" s="2" t="str">
        <x:v>MAIN-010-C37</x:v>
      </x:c>
      <x:c r="B96" s="2" t="str">
        <x:v>PCB-MAIN</x:v>
      </x:c>
      <x:c r="C96" s="14" t="str">
        <x:v>C37</x:v>
      </x:c>
      <x:c r="D96" s="2" t="str">
        <x:v>Capacitor</x:v>
      </x:c>
      <x:c r="E96" s="17" t="str">
        <x:v>U8 VBAT_BB broadband bypass</x:v>
      </x:c>
      <x:c r="F96" s="2" t="str">
        <x:v>Murata</x:v>
      </x:c>
      <x:c r="G96" s="2" t="str">
        <x:v>GRM155R71E224KE14D</x:v>
      </x:c>
      <x:c r="H96" s="2" t="str">
        <x:v>0402</x:v>
      </x:c>
      <x:c r="I96" s="16" t="n">
        <x:v>1</x:v>
      </x:c>
      <x:c r="J96" s="16" t="n">
        <x:v>4</x:v>
      </x:c>
      <x:c r="K96" s="16" t="n">
        <x:v>0</x:v>
      </x:c>
      <x:c r="L96" s="16" t="n">
        <x:v>4</x:v>
      </x:c>
      <x:c r="M96" s="16" t="n">
        <x:v>10</x:v>
      </x:c>
      <x:c r="N96" s="16" t="n">
        <x:v>0</x:v>
      </x:c>
      <x:c r="O96" s="16" t="n">
        <x:v>10</x:v>
      </x:c>
      <x:c r="P96" s="16" t="n">
        <x:v>20</x:v>
      </x:c>
      <x:c r="Q96" s="16" t="n">
        <x:v>0</x:v>
      </x:c>
      <x:c r="R96" s="16" t="n">
        <x:v>20</x:v>
      </x:c>
      <x:c r="S96" s="14" t="str">
        <x:v>NONE</x:v>
      </x:c>
      <x:c r="T96" s="2" t="str">
        <x:v>COMMON</x:v>
      </x:c>
      <x:c r="U96" s="14" t="str">
        <x:v>SELECTED_PENDING_REVIEW_A</x:v>
      </x:c>
      <x:c r="V96" s="17" t="str">
        <x:v>Authorized or traceable tier-1 channel</x:v>
      </x:c>
      <x:c r="W96" s="17" t="str">
        <x:v>Marking MPN package orientation electrical functional sample</x:v>
      </x:c>
      <x:c r="X96" s="17" t="str">
        <x:v>MAIN-AUTH-010 exact capture authority; physical pins: 1=3V8_MODEM_BB;2=GND_MODEM; Place in Quectel value sequence</x:v>
      </x:c>
      <x:c r="Y96" s="2" t="str">
        <x:v>220 nF 25 V X7R</x:v>
      </x:c>
      <x:c r="Z96" s="2" t="str">
        <x:v>ELECTRICAL_COMPONENT</x:v>
      </x:c>
      <x:c r="AA96" s="2" t="str">
        <x:v>FITTED</x:v>
      </x:c>
      <x:c r="AB96" s="2" t="str">
        <x:v>-55..125</x:v>
      </x:c>
      <x:c r="AC96" s="14" t="str">
        <x:v>CONTROLLED_PENDING_VERIFICATION</x:v>
      </x:c>
    </x:row>
    <x:row r="97">
      <x:c r="A97" s="2" t="str">
        <x:v>MAIN-010-C38</x:v>
      </x:c>
      <x:c r="B97" s="2" t="str">
        <x:v>PCB-MAIN</x:v>
      </x:c>
      <x:c r="C97" s="14" t="str">
        <x:v>C38</x:v>
      </x:c>
      <x:c r="D97" s="2" t="str">
        <x:v>Capacitor</x:v>
      </x:c>
      <x:c r="E97" s="17" t="str">
        <x:v>U8 VBAT_BB broadband bypass</x:v>
      </x:c>
      <x:c r="F97" s="2" t="str">
        <x:v>Murata</x:v>
      </x:c>
      <x:c r="G97" s="2" t="str">
        <x:v>GRM155R71E473KA01D</x:v>
      </x:c>
      <x:c r="H97" s="2" t="str">
        <x:v>0402</x:v>
      </x:c>
      <x:c r="I97" s="16" t="n">
        <x:v>1</x:v>
      </x:c>
      <x:c r="J97" s="16" t="n">
        <x:v>4</x:v>
      </x:c>
      <x:c r="K97" s="16" t="n">
        <x:v>0</x:v>
      </x:c>
      <x:c r="L97" s="16" t="n">
        <x:v>4</x:v>
      </x:c>
      <x:c r="M97" s="16" t="n">
        <x:v>10</x:v>
      </x:c>
      <x:c r="N97" s="16" t="n">
        <x:v>0</x:v>
      </x:c>
      <x:c r="O97" s="16" t="n">
        <x:v>10</x:v>
      </x:c>
      <x:c r="P97" s="16" t="n">
        <x:v>20</x:v>
      </x:c>
      <x:c r="Q97" s="16" t="n">
        <x:v>0</x:v>
      </x:c>
      <x:c r="R97" s="16" t="n">
        <x:v>20</x:v>
      </x:c>
      <x:c r="S97" s="14" t="str">
        <x:v>NONE</x:v>
      </x:c>
      <x:c r="T97" s="2" t="str">
        <x:v>COMMON</x:v>
      </x:c>
      <x:c r="U97" s="14" t="str">
        <x:v>SELECTED_PENDING_REVIEW_A</x:v>
      </x:c>
      <x:c r="V97" s="17" t="str">
        <x:v>Authorized or traceable tier-1 channel</x:v>
      </x:c>
      <x:c r="W97" s="17" t="str">
        <x:v>Marking MPN package orientation electrical functional sample</x:v>
      </x:c>
      <x:c r="X97" s="17" t="str">
        <x:v>MAIN-AUTH-010 exact capture authority; physical pins: 1=3V8_MODEM_BB;2=GND_MODEM; Place in Quectel value sequence</x:v>
      </x:c>
      <x:c r="Y97" s="2" t="str">
        <x:v>47 nF 25 V X7R</x:v>
      </x:c>
      <x:c r="Z97" s="2" t="str">
        <x:v>ELECTRICAL_COMPONENT</x:v>
      </x:c>
      <x:c r="AA97" s="2" t="str">
        <x:v>FITTED</x:v>
      </x:c>
      <x:c r="AB97" s="2" t="str">
        <x:v>-55..125</x:v>
      </x:c>
      <x:c r="AC97" s="14" t="str">
        <x:v>CONTROLLED_PENDING_VERIFICATION</x:v>
      </x:c>
    </x:row>
    <x:row r="98">
      <x:c r="A98" s="2" t="str">
        <x:v>MAIN-010-C39</x:v>
      </x:c>
      <x:c r="B98" s="2" t="str">
        <x:v>PCB-MAIN</x:v>
      </x:c>
      <x:c r="C98" s="14" t="str">
        <x:v>C39</x:v>
      </x:c>
      <x:c r="D98" s="2" t="str">
        <x:v>Capacitor</x:v>
      </x:c>
      <x:c r="E98" s="17" t="str">
        <x:v>U8 VBAT_BB RF bypass</x:v>
      </x:c>
      <x:c r="F98" s="2" t="str">
        <x:v>Murata</x:v>
      </x:c>
      <x:c r="G98" s="2" t="str">
        <x:v>GRM1555C1H151JA01D</x:v>
      </x:c>
      <x:c r="H98" s="2" t="str">
        <x:v>0402</x:v>
      </x:c>
      <x:c r="I98" s="16" t="n">
        <x:v>1</x:v>
      </x:c>
      <x:c r="J98" s="16" t="n">
        <x:v>4</x:v>
      </x:c>
      <x:c r="K98" s="16" t="n">
        <x:v>0</x:v>
      </x:c>
      <x:c r="L98" s="16" t="n">
        <x:v>4</x:v>
      </x:c>
      <x:c r="M98" s="16" t="n">
        <x:v>10</x:v>
      </x:c>
      <x:c r="N98" s="16" t="n">
        <x:v>0</x:v>
      </x:c>
      <x:c r="O98" s="16" t="n">
        <x:v>10</x:v>
      </x:c>
      <x:c r="P98" s="16" t="n">
        <x:v>20</x:v>
      </x:c>
      <x:c r="Q98" s="16" t="n">
        <x:v>0</x:v>
      </x:c>
      <x:c r="R98" s="16" t="n">
        <x:v>20</x:v>
      </x:c>
      <x:c r="S98" s="14" t="str">
        <x:v>NONE</x:v>
      </x:c>
      <x:c r="T98" s="2" t="str">
        <x:v>COMMON</x:v>
      </x:c>
      <x:c r="U98" s="14" t="str">
        <x:v>SELECTED_PENDING_REVIEW_A</x:v>
      </x:c>
      <x:c r="V98" s="17" t="str">
        <x:v>Authorized or traceable tier-1 channel</x:v>
      </x:c>
      <x:c r="W98" s="17" t="str">
        <x:v>Marking MPN package orientation electrical functional sample</x:v>
      </x:c>
      <x:c r="X98" s="17" t="str">
        <x:v>MAIN-AUTH-010 exact capture authority; physical pins: 1=3V8_MODEM_BB;2=GND_MODEM; Place in Quectel value sequence</x:v>
      </x:c>
      <x:c r="Y98" s="2" t="str">
        <x:v>150 pF 50 V C0G</x:v>
      </x:c>
      <x:c r="Z98" s="2" t="str">
        <x:v>ELECTRICAL_COMPONENT</x:v>
      </x:c>
      <x:c r="AA98" s="2" t="str">
        <x:v>FITTED</x:v>
      </x:c>
      <x:c r="AB98" s="2" t="str">
        <x:v>-55..125</x:v>
      </x:c>
      <x:c r="AC98" s="14" t="str">
        <x:v>CONTROLLED_PENDING_VERIFICATION</x:v>
      </x:c>
    </x:row>
    <x:row r="99">
      <x:c r="A99" s="2" t="str">
        <x:v>MAIN-010-C40</x:v>
      </x:c>
      <x:c r="B99" s="2" t="str">
        <x:v>PCB-MAIN</x:v>
      </x:c>
      <x:c r="C99" s="14" t="str">
        <x:v>C40</x:v>
      </x:c>
      <x:c r="D99" s="2" t="str">
        <x:v>Capacitor</x:v>
      </x:c>
      <x:c r="E99" s="17" t="str">
        <x:v>U8 VBAT_BB RF bypass</x:v>
      </x:c>
      <x:c r="F99" s="2" t="str">
        <x:v>Murata</x:v>
      </x:c>
      <x:c r="G99" s="2" t="str">
        <x:v>GRM1555C1H101JA01D</x:v>
      </x:c>
      <x:c r="H99" s="2" t="str">
        <x:v>0402</x:v>
      </x:c>
      <x:c r="I99" s="16" t="n">
        <x:v>1</x:v>
      </x:c>
      <x:c r="J99" s="16" t="n">
        <x:v>4</x:v>
      </x:c>
      <x:c r="K99" s="16" t="n">
        <x:v>0</x:v>
      </x:c>
      <x:c r="L99" s="16" t="n">
        <x:v>4</x:v>
      </x:c>
      <x:c r="M99" s="16" t="n">
        <x:v>10</x:v>
      </x:c>
      <x:c r="N99" s="16" t="n">
        <x:v>0</x:v>
      </x:c>
      <x:c r="O99" s="16" t="n">
        <x:v>10</x:v>
      </x:c>
      <x:c r="P99" s="16" t="n">
        <x:v>20</x:v>
      </x:c>
      <x:c r="Q99" s="16" t="n">
        <x:v>0</x:v>
      </x:c>
      <x:c r="R99" s="16" t="n">
        <x:v>20</x:v>
      </x:c>
      <x:c r="S99" s="14" t="str">
        <x:v>NONE</x:v>
      </x:c>
      <x:c r="T99" s="2" t="str">
        <x:v>COMMON</x:v>
      </x:c>
      <x:c r="U99" s="14" t="str">
        <x:v>SELECTED_PENDING_REVIEW_A</x:v>
      </x:c>
      <x:c r="V99" s="17" t="str">
        <x:v>Authorized or traceable tier-1 channel</x:v>
      </x:c>
      <x:c r="W99" s="17" t="str">
        <x:v>Marking MPN package orientation electrical functional sample</x:v>
      </x:c>
      <x:c r="X99" s="17" t="str">
        <x:v>MAIN-AUTH-010 exact capture authority; physical pins: 1=3V8_MODEM_BB;2=GND_MODEM; Place in Quectel value sequence</x:v>
      </x:c>
      <x:c r="Y99" s="2" t="str">
        <x:v>100 pF 50 V C0G</x:v>
      </x:c>
      <x:c r="Z99" s="2" t="str">
        <x:v>ELECTRICAL_COMPONENT</x:v>
      </x:c>
      <x:c r="AA99" s="2" t="str">
        <x:v>FITTED</x:v>
      </x:c>
      <x:c r="AB99" s="2" t="str">
        <x:v>-55..125</x:v>
      </x:c>
      <x:c r="AC99" s="14" t="str">
        <x:v>CONTROLLED_PENDING_VERIFICATION</x:v>
      </x:c>
    </x:row>
    <x:row r="100">
      <x:c r="A100" s="2" t="str">
        <x:v>MAIN-010-C41</x:v>
      </x:c>
      <x:c r="B100" s="2" t="str">
        <x:v>PCB-MAIN</x:v>
      </x:c>
      <x:c r="C100" s="14" t="str">
        <x:v>C41</x:v>
      </x:c>
      <x:c r="D100" s="2" t="str">
        <x:v>Capacitor</x:v>
      </x:c>
      <x:c r="E100" s="17" t="str">
        <x:v>U8 VBAT_BB RF bypass</x:v>
      </x:c>
      <x:c r="F100" s="2" t="str">
        <x:v>Murata</x:v>
      </x:c>
      <x:c r="G100" s="2" t="str">
        <x:v>GRM1555C1H680JA01D</x:v>
      </x:c>
      <x:c r="H100" s="2" t="str">
        <x:v>0402</x:v>
      </x:c>
      <x:c r="I100" s="16" t="n">
        <x:v>1</x:v>
      </x:c>
      <x:c r="J100" s="16" t="n">
        <x:v>4</x:v>
      </x:c>
      <x:c r="K100" s="16" t="n">
        <x:v>0</x:v>
      </x:c>
      <x:c r="L100" s="16" t="n">
        <x:v>4</x:v>
      </x:c>
      <x:c r="M100" s="16" t="n">
        <x:v>10</x:v>
      </x:c>
      <x:c r="N100" s="16" t="n">
        <x:v>0</x:v>
      </x:c>
      <x:c r="O100" s="16" t="n">
        <x:v>10</x:v>
      </x:c>
      <x:c r="P100" s="16" t="n">
        <x:v>20</x:v>
      </x:c>
      <x:c r="Q100" s="16" t="n">
        <x:v>0</x:v>
      </x:c>
      <x:c r="R100" s="16" t="n">
        <x:v>20</x:v>
      </x:c>
      <x:c r="S100" s="14" t="str">
        <x:v>NONE</x:v>
      </x:c>
      <x:c r="T100" s="2" t="str">
        <x:v>COMMON</x:v>
      </x:c>
      <x:c r="U100" s="14" t="str">
        <x:v>SELECTED_PENDING_REVIEW_A</x:v>
      </x:c>
      <x:c r="V100" s="17" t="str">
        <x:v>Authorized or traceable tier-1 channel</x:v>
      </x:c>
      <x:c r="W100" s="17" t="str">
        <x:v>Marking MPN package orientation electrical functional sample</x:v>
      </x:c>
      <x:c r="X100" s="17" t="str">
        <x:v>MAIN-AUTH-010 exact capture authority; physical pins: 1=3V8_MODEM_BB;2=GND_MODEM; Place in Quectel value sequence</x:v>
      </x:c>
      <x:c r="Y100" s="2" t="str">
        <x:v>68 pF 50 V C0G</x:v>
      </x:c>
      <x:c r="Z100" s="2" t="str">
        <x:v>ELECTRICAL_COMPONENT</x:v>
      </x:c>
      <x:c r="AA100" s="2" t="str">
        <x:v>FITTED</x:v>
      </x:c>
      <x:c r="AB100" s="2" t="str">
        <x:v>-55..125</x:v>
      </x:c>
      <x:c r="AC100" s="14" t="str">
        <x:v>CONTROLLED_PENDING_VERIFICATION</x:v>
      </x:c>
    </x:row>
    <x:row r="101">
      <x:c r="A101" s="2" t="str">
        <x:v>MAIN-010-C42</x:v>
      </x:c>
      <x:c r="B101" s="2" t="str">
        <x:v>PCB-MAIN</x:v>
      </x:c>
      <x:c r="C101" s="14" t="str">
        <x:v>C42</x:v>
      </x:c>
      <x:c r="D101" s="2" t="str">
        <x:v>Capacitor</x:v>
      </x:c>
      <x:c r="E101" s="17" t="str">
        <x:v>U8 VBAT_BB RF bypass</x:v>
      </x:c>
      <x:c r="F101" s="2" t="str">
        <x:v>Murata</x:v>
      </x:c>
      <x:c r="G101" s="2" t="str">
        <x:v>GRM1555C1H330JA01D</x:v>
      </x:c>
      <x:c r="H101" s="2" t="str">
        <x:v>0402</x:v>
      </x:c>
      <x:c r="I101" s="16" t="n">
        <x:v>1</x:v>
      </x:c>
      <x:c r="J101" s="16" t="n">
        <x:v>4</x:v>
      </x:c>
      <x:c r="K101" s="16" t="n">
        <x:v>0</x:v>
      </x:c>
      <x:c r="L101" s="16" t="n">
        <x:v>4</x:v>
      </x:c>
      <x:c r="M101" s="16" t="n">
        <x:v>10</x:v>
      </x:c>
      <x:c r="N101" s="16" t="n">
        <x:v>0</x:v>
      </x:c>
      <x:c r="O101" s="16" t="n">
        <x:v>10</x:v>
      </x:c>
      <x:c r="P101" s="16" t="n">
        <x:v>20</x:v>
      </x:c>
      <x:c r="Q101" s="16" t="n">
        <x:v>0</x:v>
      </x:c>
      <x:c r="R101" s="16" t="n">
        <x:v>20</x:v>
      </x:c>
      <x:c r="S101" s="14" t="str">
        <x:v>NONE</x:v>
      </x:c>
      <x:c r="T101" s="2" t="str">
        <x:v>COMMON</x:v>
      </x:c>
      <x:c r="U101" s="14" t="str">
        <x:v>SELECTED_PENDING_REVIEW_A</x:v>
      </x:c>
      <x:c r="V101" s="17" t="str">
        <x:v>Authorized or traceable tier-1 channel</x:v>
      </x:c>
      <x:c r="W101" s="17" t="str">
        <x:v>Marking MPN package orientation electrical functional sample</x:v>
      </x:c>
      <x:c r="X101" s="17" t="str">
        <x:v>MAIN-AUTH-010 exact capture authority; physical pins: 1=3V8_MODEM_BB;2=GND_MODEM; Place in Quectel value sequence</x:v>
      </x:c>
      <x:c r="Y101" s="2" t="str">
        <x:v>33 pF 50 V C0G</x:v>
      </x:c>
      <x:c r="Z101" s="2" t="str">
        <x:v>ELECTRICAL_COMPONENT</x:v>
      </x:c>
      <x:c r="AA101" s="2" t="str">
        <x:v>FITTED</x:v>
      </x:c>
      <x:c r="AB101" s="2" t="str">
        <x:v>-55..125</x:v>
      </x:c>
      <x:c r="AC101" s="14" t="str">
        <x:v>CONTROLLED_PENDING_VERIFICATION</x:v>
      </x:c>
    </x:row>
    <x:row r="102">
      <x:c r="A102" s="2" t="str">
        <x:v>MAIN-010-C43</x:v>
      </x:c>
      <x:c r="B102" s="2" t="str">
        <x:v>PCB-MAIN</x:v>
      </x:c>
      <x:c r="C102" s="14" t="str">
        <x:v>C43</x:v>
      </x:c>
      <x:c r="D102" s="2" t="str">
        <x:v>Capacitor</x:v>
      </x:c>
      <x:c r="E102" s="17" t="str">
        <x:v>U8 VBAT_BB RF bypass</x:v>
      </x:c>
      <x:c r="F102" s="2" t="str">
        <x:v>Murata</x:v>
      </x:c>
      <x:c r="G102" s="2" t="str">
        <x:v>GRM1555C1H100JA01D</x:v>
      </x:c>
      <x:c r="H102" s="2" t="str">
        <x:v>0402</x:v>
      </x:c>
      <x:c r="I102" s="16" t="n">
        <x:v>1</x:v>
      </x:c>
      <x:c r="J102" s="16" t="n">
        <x:v>4</x:v>
      </x:c>
      <x:c r="K102" s="16" t="n">
        <x:v>0</x:v>
      </x:c>
      <x:c r="L102" s="16" t="n">
        <x:v>4</x:v>
      </x:c>
      <x:c r="M102" s="16" t="n">
        <x:v>10</x:v>
      </x:c>
      <x:c r="N102" s="16" t="n">
        <x:v>0</x:v>
      </x:c>
      <x:c r="O102" s="16" t="n">
        <x:v>10</x:v>
      </x:c>
      <x:c r="P102" s="16" t="n">
        <x:v>20</x:v>
      </x:c>
      <x:c r="Q102" s="16" t="n">
        <x:v>0</x:v>
      </x:c>
      <x:c r="R102" s="16" t="n">
        <x:v>20</x:v>
      </x:c>
      <x:c r="S102" s="14" t="str">
        <x:v>NONE</x:v>
      </x:c>
      <x:c r="T102" s="2" t="str">
        <x:v>COMMON</x:v>
      </x:c>
      <x:c r="U102" s="14" t="str">
        <x:v>SELECTED_PENDING_REVIEW_A</x:v>
      </x:c>
      <x:c r="V102" s="17" t="str">
        <x:v>Authorized or traceable tier-1 channel</x:v>
      </x:c>
      <x:c r="W102" s="17" t="str">
        <x:v>Marking MPN package orientation electrical functional sample</x:v>
      </x:c>
      <x:c r="X102" s="17" t="str">
        <x:v>MAIN-AUTH-010 exact capture authority; physical pins: 1=3V8_MODEM_BB;2=GND_MODEM; Place in Quectel value sequence</x:v>
      </x:c>
      <x:c r="Y102" s="2" t="str">
        <x:v>10 pF 50 V C0G</x:v>
      </x:c>
      <x:c r="Z102" s="2" t="str">
        <x:v>ELECTRICAL_COMPONENT</x:v>
      </x:c>
      <x:c r="AA102" s="2" t="str">
        <x:v>FITTED</x:v>
      </x:c>
      <x:c r="AB102" s="2" t="str">
        <x:v>-55..125</x:v>
      </x:c>
      <x:c r="AC102" s="14" t="str">
        <x:v>CONTROLLED_PENDING_VERIFICATION</x:v>
      </x:c>
    </x:row>
    <x:row r="103">
      <x:c r="A103" s="2" t="str">
        <x:v>MAIN-010-C44</x:v>
      </x:c>
      <x:c r="B103" s="2" t="str">
        <x:v>PCB-MAIN</x:v>
      </x:c>
      <x:c r="C103" s="14" t="str">
        <x:v>C44</x:v>
      </x:c>
      <x:c r="D103" s="2" t="str">
        <x:v>Capacitor</x:v>
      </x:c>
      <x:c r="E103" s="17" t="str">
        <x:v>U8 VBAT_RF local burst bulk</x:v>
      </x:c>
      <x:c r="F103" s="2" t="str">
        <x:v>KEMET</x:v>
      </x:c>
      <x:c r="G103" s="2" t="str">
        <x:v>T520D107M006ATE015</x:v>
      </x:c>
      <x:c r="H103" s="2" t="str">
        <x:v>7343-31</x:v>
      </x:c>
      <x:c r="I103" s="16" t="n">
        <x:v>1</x:v>
      </x:c>
      <x:c r="J103" s="16" t="n">
        <x:v>4</x:v>
      </x:c>
      <x:c r="K103" s="16" t="n">
        <x:v>0</x:v>
      </x:c>
      <x:c r="L103" s="16" t="n">
        <x:v>4</x:v>
      </x:c>
      <x:c r="M103" s="16" t="n">
        <x:v>10</x:v>
      </x:c>
      <x:c r="N103" s="16" t="n">
        <x:v>0</x:v>
      </x:c>
      <x:c r="O103" s="16" t="n">
        <x:v>10</x:v>
      </x:c>
      <x:c r="P103" s="16" t="n">
        <x:v>20</x:v>
      </x:c>
      <x:c r="Q103" s="16" t="n">
        <x:v>0</x:v>
      </x:c>
      <x:c r="R103" s="16" t="n">
        <x:v>20</x:v>
      </x:c>
      <x:c r="S103" s="14" t="str">
        <x:v>NONE</x:v>
      </x:c>
      <x:c r="T103" s="2" t="str">
        <x:v>COMMON</x:v>
      </x:c>
      <x:c r="U103" s="14" t="str">
        <x:v>SELECTED_PENDING_REVIEW_A</x:v>
      </x:c>
      <x:c r="V103" s="17" t="str">
        <x:v>Authorized or traceable tier-1 channel</x:v>
      </x:c>
      <x:c r="W103" s="17" t="str">
        <x:v>Marking MPN package orientation electrical functional sample</x:v>
      </x:c>
      <x:c r="X103" s="17" t="str">
        <x:v>MAIN-AUTH-010 exact capture authority; physical pins: 1=3V8_MODEM_RF;2=GND_MODEM; Verify voltage droop and ripple current</x:v>
      </x:c>
      <x:c r="Y103" s="2" t="str">
        <x:v>100 uF 6.3 V 15 mOhm polymer</x:v>
      </x:c>
      <x:c r="Z103" s="2" t="str">
        <x:v>ELECTRICAL_COMPONENT</x:v>
      </x:c>
      <x:c r="AA103" s="2" t="str">
        <x:v>FITTED</x:v>
      </x:c>
      <x:c r="AB103" s="2" t="str">
        <x:v>-55..105</x:v>
      </x:c>
      <x:c r="AC103" s="14" t="str">
        <x:v>CONTROLLED_PENDING_VERIFICATION</x:v>
      </x:c>
    </x:row>
    <x:row r="104">
      <x:c r="A104" s="2" t="str">
        <x:v>MAIN-010-C45</x:v>
      </x:c>
      <x:c r="B104" s="2" t="str">
        <x:v>PCB-MAIN</x:v>
      </x:c>
      <x:c r="C104" s="14" t="str">
        <x:v>C45</x:v>
      </x:c>
      <x:c r="D104" s="2" t="str">
        <x:v>Capacitor</x:v>
      </x:c>
      <x:c r="E104" s="17" t="str">
        <x:v>U8 VBAT_RF broadband bypass</x:v>
      </x:c>
      <x:c r="F104" s="2" t="str">
        <x:v>Murata</x:v>
      </x:c>
      <x:c r="G104" s="2" t="str">
        <x:v>GRM155R71E104KE14D</x:v>
      </x:c>
      <x:c r="H104" s="2" t="str">
        <x:v>0402</x:v>
      </x:c>
      <x:c r="I104" s="16" t="n">
        <x:v>1</x:v>
      </x:c>
      <x:c r="J104" s="16" t="n">
        <x:v>4</x:v>
      </x:c>
      <x:c r="K104" s="16" t="n">
        <x:v>0</x:v>
      </x:c>
      <x:c r="L104" s="16" t="n">
        <x:v>4</x:v>
      </x:c>
      <x:c r="M104" s="16" t="n">
        <x:v>10</x:v>
      </x:c>
      <x:c r="N104" s="16" t="n">
        <x:v>0</x:v>
      </x:c>
      <x:c r="O104" s="16" t="n">
        <x:v>10</x:v>
      </x:c>
      <x:c r="P104" s="16" t="n">
        <x:v>20</x:v>
      </x:c>
      <x:c r="Q104" s="16" t="n">
        <x:v>0</x:v>
      </x:c>
      <x:c r="R104" s="16" t="n">
        <x:v>20</x:v>
      </x:c>
      <x:c r="S104" s="14" t="str">
        <x:v>NONE</x:v>
      </x:c>
      <x:c r="T104" s="2" t="str">
        <x:v>COMMON</x:v>
      </x:c>
      <x:c r="U104" s="14" t="str">
        <x:v>SELECTED_PENDING_REVIEW_A</x:v>
      </x:c>
      <x:c r="V104" s="17" t="str">
        <x:v>Authorized or traceable tier-1 channel</x:v>
      </x:c>
      <x:c r="W104" s="17" t="str">
        <x:v>Marking MPN package orientation electrical functional sample</x:v>
      </x:c>
      <x:c r="X104" s="17" t="str">
        <x:v>MAIN-AUTH-010 exact capture authority; physical pins: 1=3V8_MODEM_RF;2=GND_MODEM; Place at RF VBAT pads</x:v>
      </x:c>
      <x:c r="Y104" s="2" t="str">
        <x:v>100 nF 25 V X7R</x:v>
      </x:c>
      <x:c r="Z104" s="2" t="str">
        <x:v>ELECTRICAL_COMPONENT</x:v>
      </x:c>
      <x:c r="AA104" s="2" t="str">
        <x:v>FITTED</x:v>
      </x:c>
      <x:c r="AB104" s="2" t="str">
        <x:v>-55..125</x:v>
      </x:c>
      <x:c r="AC104" s="14" t="str">
        <x:v>CONTROLLED_PENDING_VERIFICATION</x:v>
      </x:c>
    </x:row>
    <x:row r="105">
      <x:c r="A105" s="2" t="str">
        <x:v>MAIN-010-C46</x:v>
      </x:c>
      <x:c r="B105" s="2" t="str">
        <x:v>PCB-MAIN</x:v>
      </x:c>
      <x:c r="C105" s="14" t="str">
        <x:v>C46</x:v>
      </x:c>
      <x:c r="D105" s="2" t="str">
        <x:v>Capacitor</x:v>
      </x:c>
      <x:c r="E105" s="17" t="str">
        <x:v>U8 VBAT_RF RF bypass</x:v>
      </x:c>
      <x:c r="F105" s="2" t="str">
        <x:v>Murata</x:v>
      </x:c>
      <x:c r="G105" s="2" t="str">
        <x:v>GRM1555C1H330JA01D</x:v>
      </x:c>
      <x:c r="H105" s="2" t="str">
        <x:v>0402</x:v>
      </x:c>
      <x:c r="I105" s="16" t="n">
        <x:v>1</x:v>
      </x:c>
      <x:c r="J105" s="16" t="n">
        <x:v>4</x:v>
      </x:c>
      <x:c r="K105" s="16" t="n">
        <x:v>0</x:v>
      </x:c>
      <x:c r="L105" s="16" t="n">
        <x:v>4</x:v>
      </x:c>
      <x:c r="M105" s="16" t="n">
        <x:v>10</x:v>
      </x:c>
      <x:c r="N105" s="16" t="n">
        <x:v>0</x:v>
      </x:c>
      <x:c r="O105" s="16" t="n">
        <x:v>10</x:v>
      </x:c>
      <x:c r="P105" s="16" t="n">
        <x:v>20</x:v>
      </x:c>
      <x:c r="Q105" s="16" t="n">
        <x:v>0</x:v>
      </x:c>
      <x:c r="R105" s="16" t="n">
        <x:v>20</x:v>
      </x:c>
      <x:c r="S105" s="14" t="str">
        <x:v>NONE</x:v>
      </x:c>
      <x:c r="T105" s="2" t="str">
        <x:v>COMMON</x:v>
      </x:c>
      <x:c r="U105" s="14" t="str">
        <x:v>SELECTED_PENDING_REVIEW_A</x:v>
      </x:c>
      <x:c r="V105" s="17" t="str">
        <x:v>Authorized or traceable tier-1 channel</x:v>
      </x:c>
      <x:c r="W105" s="17" t="str">
        <x:v>Marking MPN package orientation electrical functional sample</x:v>
      </x:c>
      <x:c r="X105" s="17" t="str">
        <x:v>MAIN-AUTH-010 exact capture authority; physical pins: 1=3V8_MODEM_RF;2=GND_MODEM; Place at RF VBAT pads</x:v>
      </x:c>
      <x:c r="Y105" s="2" t="str">
        <x:v>33 pF 50 V C0G</x:v>
      </x:c>
      <x:c r="Z105" s="2" t="str">
        <x:v>ELECTRICAL_COMPONENT</x:v>
      </x:c>
      <x:c r="AA105" s="2" t="str">
        <x:v>FITTED</x:v>
      </x:c>
      <x:c r="AB105" s="2" t="str">
        <x:v>-55..125</x:v>
      </x:c>
      <x:c r="AC105" s="14" t="str">
        <x:v>CONTROLLED_PENDING_VERIFICATION</x:v>
      </x:c>
    </x:row>
    <x:row r="106">
      <x:c r="A106" s="2" t="str">
        <x:v>MAIN-010-C47</x:v>
      </x:c>
      <x:c r="B106" s="2" t="str">
        <x:v>PCB-MAIN</x:v>
      </x:c>
      <x:c r="C106" s="14" t="str">
        <x:v>C47</x:v>
      </x:c>
      <x:c r="D106" s="2" t="str">
        <x:v>Capacitor</x:v>
      </x:c>
      <x:c r="E106" s="17" t="str">
        <x:v>U8 VBAT_RF RF bypass</x:v>
      </x:c>
      <x:c r="F106" s="2" t="str">
        <x:v>Murata</x:v>
      </x:c>
      <x:c r="G106" s="2" t="str">
        <x:v>GRM1555C1H100JA01D</x:v>
      </x:c>
      <x:c r="H106" s="2" t="str">
        <x:v>0402</x:v>
      </x:c>
      <x:c r="I106" s="16" t="n">
        <x:v>1</x:v>
      </x:c>
      <x:c r="J106" s="16" t="n">
        <x:v>4</x:v>
      </x:c>
      <x:c r="K106" s="16" t="n">
        <x:v>0</x:v>
      </x:c>
      <x:c r="L106" s="16" t="n">
        <x:v>4</x:v>
      </x:c>
      <x:c r="M106" s="16" t="n">
        <x:v>10</x:v>
      </x:c>
      <x:c r="N106" s="16" t="n">
        <x:v>0</x:v>
      </x:c>
      <x:c r="O106" s="16" t="n">
        <x:v>10</x:v>
      </x:c>
      <x:c r="P106" s="16" t="n">
        <x:v>20</x:v>
      </x:c>
      <x:c r="Q106" s="16" t="n">
        <x:v>0</x:v>
      </x:c>
      <x:c r="R106" s="16" t="n">
        <x:v>20</x:v>
      </x:c>
      <x:c r="S106" s="14" t="str">
        <x:v>NONE</x:v>
      </x:c>
      <x:c r="T106" s="2" t="str">
        <x:v>COMMON</x:v>
      </x:c>
      <x:c r="U106" s="14" t="str">
        <x:v>SELECTED_PENDING_REVIEW_A</x:v>
      </x:c>
      <x:c r="V106" s="17" t="str">
        <x:v>Authorized or traceable tier-1 channel</x:v>
      </x:c>
      <x:c r="W106" s="17" t="str">
        <x:v>Marking MPN package orientation electrical functional sample</x:v>
      </x:c>
      <x:c r="X106" s="17" t="str">
        <x:v>MAIN-AUTH-010 exact capture authority; physical pins: 1=3V8_MODEM_RF;2=GND_MODEM; Place at RF VBAT pads</x:v>
      </x:c>
      <x:c r="Y106" s="2" t="str">
        <x:v>10 pF 50 V C0G</x:v>
      </x:c>
      <x:c r="Z106" s="2" t="str">
        <x:v>ELECTRICAL_COMPONENT</x:v>
      </x:c>
      <x:c r="AA106" s="2" t="str">
        <x:v>FITTED</x:v>
      </x:c>
      <x:c r="AB106" s="2" t="str">
        <x:v>-55..125</x:v>
      </x:c>
      <x:c r="AC106" s="14" t="str">
        <x:v>CONTROLLED_PENDING_VERIFICATION</x:v>
      </x:c>
    </x:row>
    <x:row r="107">
      <x:c r="A107" s="2" t="str">
        <x:v>MAIN-010-C48</x:v>
      </x:c>
      <x:c r="B107" s="2" t="str">
        <x:v>PCB-MAIN</x:v>
      </x:c>
      <x:c r="C107" s="14" t="str">
        <x:v>C48</x:v>
      </x:c>
      <x:c r="D107" s="2" t="str">
        <x:v>Capacitor</x:v>
      </x:c>
      <x:c r="E107" s="17" t="str">
        <x:v>Q1 collector and U8 PWRKEY pulse filter</x:v>
      </x:c>
      <x:c r="F107" s="2" t="str">
        <x:v>Murata</x:v>
      </x:c>
      <x:c r="G107" s="2" t="str">
        <x:v>GRM155R71E103KA01D</x:v>
      </x:c>
      <x:c r="H107" s="2" t="str">
        <x:v>0402</x:v>
      </x:c>
      <x:c r="I107" s="16" t="n">
        <x:v>1</x:v>
      </x:c>
      <x:c r="J107" s="16" t="n">
        <x:v>4</x:v>
      </x:c>
      <x:c r="K107" s="16" t="n">
        <x:v>0</x:v>
      </x:c>
      <x:c r="L107" s="16" t="n">
        <x:v>4</x:v>
      </x:c>
      <x:c r="M107" s="16" t="n">
        <x:v>10</x:v>
      </x:c>
      <x:c r="N107" s="16" t="n">
        <x:v>0</x:v>
      </x:c>
      <x:c r="O107" s="16" t="n">
        <x:v>10</x:v>
      </x:c>
      <x:c r="P107" s="16" t="n">
        <x:v>20</x:v>
      </x:c>
      <x:c r="Q107" s="16" t="n">
        <x:v>0</x:v>
      </x:c>
      <x:c r="R107" s="16" t="n">
        <x:v>20</x:v>
      </x:c>
      <x:c r="S107" s="14" t="str">
        <x:v>NONE</x:v>
      </x:c>
      <x:c r="T107" s="2" t="str">
        <x:v>COMMON</x:v>
      </x:c>
      <x:c r="U107" s="14" t="str">
        <x:v>SELECTED_PENDING_REVIEW_A</x:v>
      </x:c>
      <x:c r="V107" s="17" t="str">
        <x:v>Authorized or traceable tier-1 channel</x:v>
      </x:c>
      <x:c r="W107" s="17" t="str">
        <x:v>Marking MPN package orientation electrical functional sample</x:v>
      </x:c>
      <x:c r="X107" s="17" t="str">
        <x:v>MAIN-AUTH-010 exact capture authority; physical pins: 1=U8_PWRKEY_N;2=GND_MODEM; No corresponding large capacitor on RESET_N</x:v>
      </x:c>
      <x:c r="Y107" s="2" t="str">
        <x:v>10 nF 25 V X7R</x:v>
      </x:c>
      <x:c r="Z107" s="2" t="str">
        <x:v>ELECTRICAL_COMPONENT</x:v>
      </x:c>
      <x:c r="AA107" s="2" t="str">
        <x:v>FITTED</x:v>
      </x:c>
      <x:c r="AB107" s="2" t="str">
        <x:v>-55..125</x:v>
      </x:c>
      <x:c r="AC107" s="14" t="str">
        <x:v>CONTROLLED_PENDING_VERIFICATION</x:v>
      </x:c>
    </x:row>
    <x:row r="108">
      <x:c r="A108" s="2" t="str">
        <x:v>MAIN-010-C49</x:v>
      </x:c>
      <x:c r="B108" s="2" t="str">
        <x:v>PCB-MAIN</x:v>
      </x:c>
      <x:c r="C108" s="14" t="str">
        <x:v>C49</x:v>
      </x:c>
      <x:c r="D108" s="2" t="str">
        <x:v>Capacitor</x:v>
      </x:c>
      <x:c r="E108" s="17" t="str">
        <x:v>U13 VCC pin 8 bypass</x:v>
      </x:c>
      <x:c r="F108" s="2" t="str">
        <x:v>Murata</x:v>
      </x:c>
      <x:c r="G108" s="2" t="str">
        <x:v>GRM155R71E104KE14D</x:v>
      </x:c>
      <x:c r="H108" s="2" t="str">
        <x:v>0402</x:v>
      </x:c>
      <x:c r="I108" s="16" t="n">
        <x:v>1</x:v>
      </x:c>
      <x:c r="J108" s="16" t="n">
        <x:v>4</x:v>
      </x:c>
      <x:c r="K108" s="16" t="n">
        <x:v>0</x:v>
      </x:c>
      <x:c r="L108" s="16" t="n">
        <x:v>4</x:v>
      </x:c>
      <x:c r="M108" s="16" t="n">
        <x:v>10</x:v>
      </x:c>
      <x:c r="N108" s="16" t="n">
        <x:v>0</x:v>
      </x:c>
      <x:c r="O108" s="16" t="n">
        <x:v>10</x:v>
      </x:c>
      <x:c r="P108" s="16" t="n">
        <x:v>20</x:v>
      </x:c>
      <x:c r="Q108" s="16" t="n">
        <x:v>0</x:v>
      </x:c>
      <x:c r="R108" s="16" t="n">
        <x:v>20</x:v>
      </x:c>
      <x:c r="S108" s="14" t="str">
        <x:v>NONE</x:v>
      </x:c>
      <x:c r="T108" s="2" t="str">
        <x:v>COMMON</x:v>
      </x:c>
      <x:c r="U108" s="14" t="str">
        <x:v>SELECTED_PENDING_REVIEW_A</x:v>
      </x:c>
      <x:c r="V108" s="17" t="str">
        <x:v>Authorized or traceable tier-1 channel</x:v>
      </x:c>
      <x:c r="W108" s="17" t="str">
        <x:v>Marking MPN package orientation electrical functional sample</x:v>
      </x:c>
      <x:c r="X108" s="17" t="str">
        <x:v>MAIN-AUTH-010 exact capture authority; physical pins: 1=3V3_DIGITAL;2=GND_MODEM; Place at U13 pin 8</x:v>
      </x:c>
      <x:c r="Y108" s="2" t="str">
        <x:v>100 nF 25 V X7R</x:v>
      </x:c>
      <x:c r="Z108" s="2" t="str">
        <x:v>ELECTRICAL_COMPONENT</x:v>
      </x:c>
      <x:c r="AA108" s="2" t="str">
        <x:v>FITTED</x:v>
      </x:c>
      <x:c r="AB108" s="2" t="str">
        <x:v>-55..125</x:v>
      </x:c>
      <x:c r="AC108" s="14" t="str">
        <x:v>CONTROLLED_PENDING_VERIFICATION</x:v>
      </x:c>
    </x:row>
    <x:row r="109">
      <x:c r="A109" s="2" t="str">
        <x:v>MAIN-010-C50</x:v>
      </x:c>
      <x:c r="B109" s="2" t="str">
        <x:v>PCB-MAIN</x:v>
      </x:c>
      <x:c r="C109" s="14" t="str">
        <x:v>C50</x:v>
      </x:c>
      <x:c r="D109" s="2" t="str">
        <x:v>Capacitor</x:v>
      </x:c>
      <x:c r="E109" s="17" t="str">
        <x:v>J6 local selected SIM supply bypass</x:v>
      </x:c>
      <x:c r="F109" s="2" t="str">
        <x:v>Murata</x:v>
      </x:c>
      <x:c r="G109" s="2" t="str">
        <x:v>GRM155R71E104KE14D</x:v>
      </x:c>
      <x:c r="H109" s="2" t="str">
        <x:v>0402</x:v>
      </x:c>
      <x:c r="I109" s="16" t="n">
        <x:v>1</x:v>
      </x:c>
      <x:c r="J109" s="16" t="n">
        <x:v>4</x:v>
      </x:c>
      <x:c r="K109" s="16" t="n">
        <x:v>0</x:v>
      </x:c>
      <x:c r="L109" s="16" t="n">
        <x:v>4</x:v>
      </x:c>
      <x:c r="M109" s="16" t="n">
        <x:v>10</x:v>
      </x:c>
      <x:c r="N109" s="16" t="n">
        <x:v>0</x:v>
      </x:c>
      <x:c r="O109" s="16" t="n">
        <x:v>10</x:v>
      </x:c>
      <x:c r="P109" s="16" t="n">
        <x:v>20</x:v>
      </x:c>
      <x:c r="Q109" s="16" t="n">
        <x:v>0</x:v>
      </x:c>
      <x:c r="R109" s="16" t="n">
        <x:v>20</x:v>
      </x:c>
      <x:c r="S109" s="14" t="str">
        <x:v>NONE</x:v>
      </x:c>
      <x:c r="T109" s="2" t="str">
        <x:v>COMMON</x:v>
      </x:c>
      <x:c r="U109" s="14" t="str">
        <x:v>SELECTED_PENDING_REVIEW_A</x:v>
      </x:c>
      <x:c r="V109" s="17" t="str">
        <x:v>Authorized or traceable tier-1 channel</x:v>
      </x:c>
      <x:c r="W109" s="17" t="str">
        <x:v>Marking MPN package orientation electrical functional sample</x:v>
      </x:c>
      <x:c r="X109" s="17" t="str">
        <x:v>MAIN-AUTH-010 exact capture authority; physical pins: 1=SIM1_VDD_CONN;2=GND_MODEM; Place connector side of series path</x:v>
      </x:c>
      <x:c r="Y109" s="2" t="str">
        <x:v>100 nF 25 V X7R</x:v>
      </x:c>
      <x:c r="Z109" s="2" t="str">
        <x:v>ELECTRICAL_COMPONENT</x:v>
      </x:c>
      <x:c r="AA109" s="2" t="str">
        <x:v>FITTED</x:v>
      </x:c>
      <x:c r="AB109" s="2" t="str">
        <x:v>-55..125</x:v>
      </x:c>
      <x:c r="AC109" s="14" t="str">
        <x:v>CONTROLLED_PENDING_VERIFICATION</x:v>
      </x:c>
    </x:row>
    <x:row r="110">
      <x:c r="A110" s="2" t="str">
        <x:v>MAIN-010-C51</x:v>
      </x:c>
      <x:c r="B110" s="2" t="str">
        <x:v>PCB-MAIN</x:v>
      </x:c>
      <x:c r="C110" s="14" t="str">
        <x:v>C51</x:v>
      </x:c>
      <x:c r="D110" s="2" t="str">
        <x:v>Capacitor</x:v>
      </x:c>
      <x:c r="E110" s="17" t="str">
        <x:v>J7 local selected SIM supply bypass</x:v>
      </x:c>
      <x:c r="F110" s="2" t="str">
        <x:v>Murata</x:v>
      </x:c>
      <x:c r="G110" s="2" t="str">
        <x:v>GRM155R71E104KE14D</x:v>
      </x:c>
      <x:c r="H110" s="2" t="str">
        <x:v>0402</x:v>
      </x:c>
      <x:c r="I110" s="16" t="n">
        <x:v>1</x:v>
      </x:c>
      <x:c r="J110" s="16" t="n">
        <x:v>4</x:v>
      </x:c>
      <x:c r="K110" s="16" t="n">
        <x:v>0</x:v>
      </x:c>
      <x:c r="L110" s="16" t="n">
        <x:v>4</x:v>
      </x:c>
      <x:c r="M110" s="16" t="n">
        <x:v>10</x:v>
      </x:c>
      <x:c r="N110" s="16" t="n">
        <x:v>0</x:v>
      </x:c>
      <x:c r="O110" s="16" t="n">
        <x:v>10</x:v>
      </x:c>
      <x:c r="P110" s="16" t="n">
        <x:v>20</x:v>
      </x:c>
      <x:c r="Q110" s="16" t="n">
        <x:v>0</x:v>
      </x:c>
      <x:c r="R110" s="16" t="n">
        <x:v>20</x:v>
      </x:c>
      <x:c r="S110" s="14" t="str">
        <x:v>NONE</x:v>
      </x:c>
      <x:c r="T110" s="2" t="str">
        <x:v>COMMON</x:v>
      </x:c>
      <x:c r="U110" s="14" t="str">
        <x:v>SELECTED_PENDING_REVIEW_A</x:v>
      </x:c>
      <x:c r="V110" s="17" t="str">
        <x:v>Authorized or traceable tier-1 channel</x:v>
      </x:c>
      <x:c r="W110" s="17" t="str">
        <x:v>Marking MPN package orientation electrical functional sample</x:v>
      </x:c>
      <x:c r="X110" s="17" t="str">
        <x:v>MAIN-AUTH-010 exact capture authority; physical pins: 1=SIM2_VDD_CONN;2=GND_MODEM; Place connector side of series path</x:v>
      </x:c>
      <x:c r="Y110" s="2" t="str">
        <x:v>100 nF 25 V X7R</x:v>
      </x:c>
      <x:c r="Z110" s="2" t="str">
        <x:v>ELECTRICAL_COMPONENT</x:v>
      </x:c>
      <x:c r="AA110" s="2" t="str">
        <x:v>FITTED</x:v>
      </x:c>
      <x:c r="AB110" s="2" t="str">
        <x:v>-55..125</x:v>
      </x:c>
      <x:c r="AC110" s="14" t="str">
        <x:v>CONTROLLED_PENDING_VERIFICATION</x:v>
      </x:c>
    </x:row>
    <x:row r="111">
      <x:c r="A111" s="2" t="str">
        <x:v>MAIN-010-C52</x:v>
      </x:c>
      <x:c r="B111" s="2" t="str">
        <x:v>PCB-MAIN</x:v>
      </x:c>
      <x:c r="C111" s="14" t="str">
        <x:v>C52</x:v>
      </x:c>
      <x:c r="D111" s="2" t="str">
        <x:v>Capacitor</x:v>
      </x:c>
      <x:c r="E111" s="17" t="str">
        <x:v>J6 card detect hardware debounce</x:v>
      </x:c>
      <x:c r="F111" s="2" t="str">
        <x:v>Murata</x:v>
      </x:c>
      <x:c r="G111" s="2" t="str">
        <x:v>GRM155R71E103KA01D</x:v>
      </x:c>
      <x:c r="H111" s="2" t="str">
        <x:v>0402</x:v>
      </x:c>
      <x:c r="I111" s="16" t="n">
        <x:v>1</x:v>
      </x:c>
      <x:c r="J111" s="16" t="n">
        <x:v>4</x:v>
      </x:c>
      <x:c r="K111" s="16" t="n">
        <x:v>0</x:v>
      </x:c>
      <x:c r="L111" s="16" t="n">
        <x:v>4</x:v>
      </x:c>
      <x:c r="M111" s="16" t="n">
        <x:v>10</x:v>
      </x:c>
      <x:c r="N111" s="16" t="n">
        <x:v>0</x:v>
      </x:c>
      <x:c r="O111" s="16" t="n">
        <x:v>10</x:v>
      </x:c>
      <x:c r="P111" s="16" t="n">
        <x:v>20</x:v>
      </x:c>
      <x:c r="Q111" s="16" t="n">
        <x:v>0</x:v>
      </x:c>
      <x:c r="R111" s="16" t="n">
        <x:v>20</x:v>
      </x:c>
      <x:c r="S111" s="14" t="str">
        <x:v>NONE</x:v>
      </x:c>
      <x:c r="T111" s="2" t="str">
        <x:v>COMMON</x:v>
      </x:c>
      <x:c r="U111" s="14" t="str">
        <x:v>SELECTED_PENDING_REVIEW_A</x:v>
      </x:c>
      <x:c r="V111" s="17" t="str">
        <x:v>Authorized or traceable tier-1 channel</x:v>
      </x:c>
      <x:c r="W111" s="17" t="str">
        <x:v>Marking MPN package orientation electrical functional sample</x:v>
      </x:c>
      <x:c r="X111" s="17" t="str">
        <x:v>MAIN-AUTH-010 exact capture authority; physical pins: 1=SIM1_DET;2=GND_MODEM; Firmware debounce remains at least 20 ms</x:v>
      </x:c>
      <x:c r="Y111" s="2" t="str">
        <x:v>10 nF 25 V X7R</x:v>
      </x:c>
      <x:c r="Z111" s="2" t="str">
        <x:v>ELECTRICAL_COMPONENT</x:v>
      </x:c>
      <x:c r="AA111" s="2" t="str">
        <x:v>FITTED</x:v>
      </x:c>
      <x:c r="AB111" s="2" t="str">
        <x:v>-55..125</x:v>
      </x:c>
      <x:c r="AC111" s="14" t="str">
        <x:v>CONTROLLED_PENDING_VERIFICATION</x:v>
      </x:c>
    </x:row>
    <x:row r="112">
      <x:c r="A112" s="2" t="str">
        <x:v>MAIN-010-C53</x:v>
      </x:c>
      <x:c r="B112" s="2" t="str">
        <x:v>PCB-MAIN</x:v>
      </x:c>
      <x:c r="C112" s="14" t="str">
        <x:v>C53</x:v>
      </x:c>
      <x:c r="D112" s="2" t="str">
        <x:v>Capacitor</x:v>
      </x:c>
      <x:c r="E112" s="17" t="str">
        <x:v>J7 card detect hardware debounce</x:v>
      </x:c>
      <x:c r="F112" s="2" t="str">
        <x:v>Murata</x:v>
      </x:c>
      <x:c r="G112" s="2" t="str">
        <x:v>GRM155R71E103KA01D</x:v>
      </x:c>
      <x:c r="H112" s="2" t="str">
        <x:v>0402</x:v>
      </x:c>
      <x:c r="I112" s="16" t="n">
        <x:v>1</x:v>
      </x:c>
      <x:c r="J112" s="16" t="n">
        <x:v>4</x:v>
      </x:c>
      <x:c r="K112" s="16" t="n">
        <x:v>0</x:v>
      </x:c>
      <x:c r="L112" s="16" t="n">
        <x:v>4</x:v>
      </x:c>
      <x:c r="M112" s="16" t="n">
        <x:v>10</x:v>
      </x:c>
      <x:c r="N112" s="16" t="n">
        <x:v>0</x:v>
      </x:c>
      <x:c r="O112" s="16" t="n">
        <x:v>10</x:v>
      </x:c>
      <x:c r="P112" s="16" t="n">
        <x:v>20</x:v>
      </x:c>
      <x:c r="Q112" s="16" t="n">
        <x:v>0</x:v>
      </x:c>
      <x:c r="R112" s="16" t="n">
        <x:v>20</x:v>
      </x:c>
      <x:c r="S112" s="14" t="str">
        <x:v>NONE</x:v>
      </x:c>
      <x:c r="T112" s="2" t="str">
        <x:v>COMMON</x:v>
      </x:c>
      <x:c r="U112" s="14" t="str">
        <x:v>SELECTED_PENDING_REVIEW_A</x:v>
      </x:c>
      <x:c r="V112" s="17" t="str">
        <x:v>Authorized or traceable tier-1 channel</x:v>
      </x:c>
      <x:c r="W112" s="17" t="str">
        <x:v>Marking MPN package orientation electrical functional sample</x:v>
      </x:c>
      <x:c r="X112" s="17" t="str">
        <x:v>MAIN-AUTH-010 exact capture authority; physical pins: 1=SIM2_DET;2=GND_MODEM; Firmware debounce remains at least 20 ms</x:v>
      </x:c>
      <x:c r="Y112" s="2" t="str">
        <x:v>10 nF 25 V X7R</x:v>
      </x:c>
      <x:c r="Z112" s="2" t="str">
        <x:v>ELECTRICAL_COMPONENT</x:v>
      </x:c>
      <x:c r="AA112" s="2" t="str">
        <x:v>FITTED</x:v>
      </x:c>
      <x:c r="AB112" s="2" t="str">
        <x:v>-55..125</x:v>
      </x:c>
      <x:c r="AC112" s="14" t="str">
        <x:v>CONTROLLED_PENDING_VERIFICATION</x:v>
      </x:c>
    </x:row>
    <x:row r="113">
      <x:c r="A113" s="2" t="str">
        <x:v>MAIN-010-C54</x:v>
      </x:c>
      <x:c r="B113" s="2" t="str">
        <x:v>PCB-MAIN</x:v>
      </x:c>
      <x:c r="C113" s="14" t="str">
        <x:v>C54</x:v>
      </x:c>
      <x:c r="D113" s="2" t="str">
        <x:v>Capacitor</x:v>
      </x:c>
      <x:c r="E113" s="17" t="str">
        <x:v>J6 reset shunt tuning position</x:v>
      </x:c>
      <x:c r="F113" s="2" t="str">
        <x:v>Murata</x:v>
      </x:c>
      <x:c r="G113" s="2" t="str">
        <x:v>GRM1555C1H330JA01D</x:v>
      </x:c>
      <x:c r="H113" s="2" t="str">
        <x:v>0402</x:v>
      </x:c>
      <x:c r="I113" s="16" t="n">
        <x:v>0</x:v>
      </x:c>
      <x:c r="J113" s="16" t="n">
        <x:v>0</x:v>
      </x:c>
      <x:c r="K113" s="16" t="n">
        <x:v>0</x:v>
      </x:c>
      <x:c r="L113" s="16" t="n">
        <x:v>0</x:v>
      </x:c>
      <x:c r="M113" s="16" t="n">
        <x:v>0</x:v>
      </x:c>
      <x:c r="N113" s="16" t="n">
        <x:v>0</x:v>
      </x:c>
      <x:c r="O113" s="16" t="n">
        <x:v>0</x:v>
      </x:c>
      <x:c r="P113" s="16" t="n">
        <x:v>0</x:v>
      </x:c>
      <x:c r="Q113" s="16" t="n">
        <x:v>0</x:v>
      </x:c>
      <x:c r="R113" s="16" t="n">
        <x:v>0</x:v>
      </x:c>
      <x:c r="S113" s="14" t="str">
        <x:v>NONE</x:v>
      </x:c>
      <x:c r="T113" s="2" t="str">
        <x:v>COMMON</x:v>
      </x:c>
      <x:c r="U113" s="14" t="str">
        <x:v>CONTROLLED_DNP</x:v>
      </x:c>
      <x:c r="V113" s="17" t="str">
        <x:v>Authorized or traceable tier-1 channel</x:v>
      </x:c>
      <x:c r="W113" s="17" t="str">
        <x:v>Marking MPN package orientation electrical functional sample</x:v>
      </x:c>
      <x:c r="X113" s="17" t="str">
        <x:v>MAIN-AUTH-010 exact capture authority; physical pins: 1=SIM1_RST_CONN;2=GND_MODEM; Populate only from signed SIM edge evidence</x:v>
      </x:c>
      <x:c r="Y113" s="2" t="str">
        <x:v>33 pF 50 V C0G</x:v>
      </x:c>
      <x:c r="Z113" s="2" t="str">
        <x:v>ELECTRICAL_COMPONENT</x:v>
      </x:c>
      <x:c r="AA113" s="2" t="str">
        <x:v>DNP</x:v>
      </x:c>
      <x:c r="AB113" s="2" t="str">
        <x:v>-55..125</x:v>
      </x:c>
      <x:c r="AC113" s="14" t="str">
        <x:v>CONTROLLED_DNP</x:v>
      </x:c>
    </x:row>
    <x:row r="114">
      <x:c r="A114" s="2" t="str">
        <x:v>MAIN-010-C55</x:v>
      </x:c>
      <x:c r="B114" s="2" t="str">
        <x:v>PCB-MAIN</x:v>
      </x:c>
      <x:c r="C114" s="14" t="str">
        <x:v>C55</x:v>
      </x:c>
      <x:c r="D114" s="2" t="str">
        <x:v>Capacitor</x:v>
      </x:c>
      <x:c r="E114" s="17" t="str">
        <x:v>J6 clock shunt tuning position</x:v>
      </x:c>
      <x:c r="F114" s="2" t="str">
        <x:v>Murata</x:v>
      </x:c>
      <x:c r="G114" s="2" t="str">
        <x:v>GRM1555C1H330JA01D</x:v>
      </x:c>
      <x:c r="H114" s="2" t="str">
        <x:v>0402</x:v>
      </x:c>
      <x:c r="I114" s="16" t="n">
        <x:v>0</x:v>
      </x:c>
      <x:c r="J114" s="16" t="n">
        <x:v>0</x:v>
      </x:c>
      <x:c r="K114" s="16" t="n">
        <x:v>0</x:v>
      </x:c>
      <x:c r="L114" s="16" t="n">
        <x:v>0</x:v>
      </x:c>
      <x:c r="M114" s="16" t="n">
        <x:v>0</x:v>
      </x:c>
      <x:c r="N114" s="16" t="n">
        <x:v>0</x:v>
      </x:c>
      <x:c r="O114" s="16" t="n">
        <x:v>0</x:v>
      </x:c>
      <x:c r="P114" s="16" t="n">
        <x:v>0</x:v>
      </x:c>
      <x:c r="Q114" s="16" t="n">
        <x:v>0</x:v>
      </x:c>
      <x:c r="R114" s="16" t="n">
        <x:v>0</x:v>
      </x:c>
      <x:c r="S114" s="14" t="str">
        <x:v>NONE</x:v>
      </x:c>
      <x:c r="T114" s="2" t="str">
        <x:v>COMMON</x:v>
      </x:c>
      <x:c r="U114" s="14" t="str">
        <x:v>CONTROLLED_DNP</x:v>
      </x:c>
      <x:c r="V114" s="17" t="str">
        <x:v>Authorized or traceable tier-1 channel</x:v>
      </x:c>
      <x:c r="W114" s="17" t="str">
        <x:v>Marking MPN package orientation electrical functional sample</x:v>
      </x:c>
      <x:c r="X114" s="17" t="str">
        <x:v>MAIN-AUTH-010 exact capture authority; physical pins: 1=SIM1_CLK_CONN;2=GND_MODEM; Populate only from signed SIM edge evidence</x:v>
      </x:c>
      <x:c r="Y114" s="2" t="str">
        <x:v>33 pF 50 V C0G</x:v>
      </x:c>
      <x:c r="Z114" s="2" t="str">
        <x:v>ELECTRICAL_COMPONENT</x:v>
      </x:c>
      <x:c r="AA114" s="2" t="str">
        <x:v>DNP</x:v>
      </x:c>
      <x:c r="AB114" s="2" t="str">
        <x:v>-55..125</x:v>
      </x:c>
      <x:c r="AC114" s="14" t="str">
        <x:v>CONTROLLED_DNP</x:v>
      </x:c>
    </x:row>
    <x:row r="115">
      <x:c r="A115" s="2" t="str">
        <x:v>MAIN-010-C56</x:v>
      </x:c>
      <x:c r="B115" s="2" t="str">
        <x:v>PCB-MAIN</x:v>
      </x:c>
      <x:c r="C115" s="14" t="str">
        <x:v>C56</x:v>
      </x:c>
      <x:c r="D115" s="2" t="str">
        <x:v>Capacitor</x:v>
      </x:c>
      <x:c r="E115" s="17" t="str">
        <x:v>J6 data shunt tuning position</x:v>
      </x:c>
      <x:c r="F115" s="2" t="str">
        <x:v>Murata</x:v>
      </x:c>
      <x:c r="G115" s="2" t="str">
        <x:v>GRM1555C1H330JA01D</x:v>
      </x:c>
      <x:c r="H115" s="2" t="str">
        <x:v>0402</x:v>
      </x:c>
      <x:c r="I115" s="16" t="n">
        <x:v>0</x:v>
      </x:c>
      <x:c r="J115" s="16" t="n">
        <x:v>0</x:v>
      </x:c>
      <x:c r="K115" s="16" t="n">
        <x:v>0</x:v>
      </x:c>
      <x:c r="L115" s="16" t="n">
        <x:v>0</x:v>
      </x:c>
      <x:c r="M115" s="16" t="n">
        <x:v>0</x:v>
      </x:c>
      <x:c r="N115" s="16" t="n">
        <x:v>0</x:v>
      </x:c>
      <x:c r="O115" s="16" t="n">
        <x:v>0</x:v>
      </x:c>
      <x:c r="P115" s="16" t="n">
        <x:v>0</x:v>
      </x:c>
      <x:c r="Q115" s="16" t="n">
        <x:v>0</x:v>
      </x:c>
      <x:c r="R115" s="16" t="n">
        <x:v>0</x:v>
      </x:c>
      <x:c r="S115" s="14" t="str">
        <x:v>NONE</x:v>
      </x:c>
      <x:c r="T115" s="2" t="str">
        <x:v>COMMON</x:v>
      </x:c>
      <x:c r="U115" s="14" t="str">
        <x:v>CONTROLLED_DNP</x:v>
      </x:c>
      <x:c r="V115" s="17" t="str">
        <x:v>Authorized or traceable tier-1 channel</x:v>
      </x:c>
      <x:c r="W115" s="17" t="str">
        <x:v>Marking MPN package orientation electrical functional sample</x:v>
      </x:c>
      <x:c r="X115" s="17" t="str">
        <x:v>MAIN-AUTH-010 exact capture authority; physical pins: 1=SIM1_DATA_CONN;2=GND_MODEM; Populate only from signed SIM edge evidence</x:v>
      </x:c>
      <x:c r="Y115" s="2" t="str">
        <x:v>33 pF 50 V C0G</x:v>
      </x:c>
      <x:c r="Z115" s="2" t="str">
        <x:v>ELECTRICAL_COMPONENT</x:v>
      </x:c>
      <x:c r="AA115" s="2" t="str">
        <x:v>DNP</x:v>
      </x:c>
      <x:c r="AB115" s="2" t="str">
        <x:v>-55..125</x:v>
      </x:c>
      <x:c r="AC115" s="14" t="str">
        <x:v>CONTROLLED_DNP</x:v>
      </x:c>
    </x:row>
    <x:row r="116">
      <x:c r="A116" s="2" t="str">
        <x:v>MAIN-010-C57</x:v>
      </x:c>
      <x:c r="B116" s="2" t="str">
        <x:v>PCB-MAIN</x:v>
      </x:c>
      <x:c r="C116" s="14" t="str">
        <x:v>C57</x:v>
      </x:c>
      <x:c r="D116" s="2" t="str">
        <x:v>Capacitor</x:v>
      </x:c>
      <x:c r="E116" s="17" t="str">
        <x:v>J7 reset shunt tuning position</x:v>
      </x:c>
      <x:c r="F116" s="2" t="str">
        <x:v>Murata</x:v>
      </x:c>
      <x:c r="G116" s="2" t="str">
        <x:v>GRM1555C1H330JA01D</x:v>
      </x:c>
      <x:c r="H116" s="2" t="str">
        <x:v>0402</x:v>
      </x:c>
      <x:c r="I116" s="16" t="n">
        <x:v>0</x:v>
      </x:c>
      <x:c r="J116" s="16" t="n">
        <x:v>0</x:v>
      </x:c>
      <x:c r="K116" s="16" t="n">
        <x:v>0</x:v>
      </x:c>
      <x:c r="L116" s="16" t="n">
        <x:v>0</x:v>
      </x:c>
      <x:c r="M116" s="16" t="n">
        <x:v>0</x:v>
      </x:c>
      <x:c r="N116" s="16" t="n">
        <x:v>0</x:v>
      </x:c>
      <x:c r="O116" s="16" t="n">
        <x:v>0</x:v>
      </x:c>
      <x:c r="P116" s="16" t="n">
        <x:v>0</x:v>
      </x:c>
      <x:c r="Q116" s="16" t="n">
        <x:v>0</x:v>
      </x:c>
      <x:c r="R116" s="16" t="n">
        <x:v>0</x:v>
      </x:c>
      <x:c r="S116" s="14" t="str">
        <x:v>NONE</x:v>
      </x:c>
      <x:c r="T116" s="2" t="str">
        <x:v>COMMON</x:v>
      </x:c>
      <x:c r="U116" s="14" t="str">
        <x:v>CONTROLLED_DNP</x:v>
      </x:c>
      <x:c r="V116" s="17" t="str">
        <x:v>Authorized or traceable tier-1 channel</x:v>
      </x:c>
      <x:c r="W116" s="17" t="str">
        <x:v>Marking MPN package orientation electrical functional sample</x:v>
      </x:c>
      <x:c r="X116" s="17" t="str">
        <x:v>MAIN-AUTH-010 exact capture authority; physical pins: 1=SIM2_RST_CONN;2=GND_MODEM; Populate only from signed SIM edge evidence</x:v>
      </x:c>
      <x:c r="Y116" s="2" t="str">
        <x:v>33 pF 50 V C0G</x:v>
      </x:c>
      <x:c r="Z116" s="2" t="str">
        <x:v>ELECTRICAL_COMPONENT</x:v>
      </x:c>
      <x:c r="AA116" s="2" t="str">
        <x:v>DNP</x:v>
      </x:c>
      <x:c r="AB116" s="2" t="str">
        <x:v>-55..125</x:v>
      </x:c>
      <x:c r="AC116" s="14" t="str">
        <x:v>CONTROLLED_DNP</x:v>
      </x:c>
    </x:row>
    <x:row r="117">
      <x:c r="A117" s="2" t="str">
        <x:v>MAIN-010-C58</x:v>
      </x:c>
      <x:c r="B117" s="2" t="str">
        <x:v>PCB-MAIN</x:v>
      </x:c>
      <x:c r="C117" s="14" t="str">
        <x:v>C58</x:v>
      </x:c>
      <x:c r="D117" s="2" t="str">
        <x:v>Capacitor</x:v>
      </x:c>
      <x:c r="E117" s="17" t="str">
        <x:v>J7 clock shunt tuning position</x:v>
      </x:c>
      <x:c r="F117" s="2" t="str">
        <x:v>Murata</x:v>
      </x:c>
      <x:c r="G117" s="2" t="str">
        <x:v>GRM1555C1H330JA01D</x:v>
      </x:c>
      <x:c r="H117" s="2" t="str">
        <x:v>0402</x:v>
      </x:c>
      <x:c r="I117" s="16" t="n">
        <x:v>0</x:v>
      </x:c>
      <x:c r="J117" s="16" t="n">
        <x:v>0</x:v>
      </x:c>
      <x:c r="K117" s="16" t="n">
        <x:v>0</x:v>
      </x:c>
      <x:c r="L117" s="16" t="n">
        <x:v>0</x:v>
      </x:c>
      <x:c r="M117" s="16" t="n">
        <x:v>0</x:v>
      </x:c>
      <x:c r="N117" s="16" t="n">
        <x:v>0</x:v>
      </x:c>
      <x:c r="O117" s="16" t="n">
        <x:v>0</x:v>
      </x:c>
      <x:c r="P117" s="16" t="n">
        <x:v>0</x:v>
      </x:c>
      <x:c r="Q117" s="16" t="n">
        <x:v>0</x:v>
      </x:c>
      <x:c r="R117" s="16" t="n">
        <x:v>0</x:v>
      </x:c>
      <x:c r="S117" s="14" t="str">
        <x:v>NONE</x:v>
      </x:c>
      <x:c r="T117" s="2" t="str">
        <x:v>COMMON</x:v>
      </x:c>
      <x:c r="U117" s="14" t="str">
        <x:v>CONTROLLED_DNP</x:v>
      </x:c>
      <x:c r="V117" s="17" t="str">
        <x:v>Authorized or traceable tier-1 channel</x:v>
      </x:c>
      <x:c r="W117" s="17" t="str">
        <x:v>Marking MPN package orientation electrical functional sample</x:v>
      </x:c>
      <x:c r="X117" s="17" t="str">
        <x:v>MAIN-AUTH-010 exact capture authority; physical pins: 1=SIM2_CLK_CONN;2=GND_MODEM; Populate only from signed SIM edge evidence</x:v>
      </x:c>
      <x:c r="Y117" s="2" t="str">
        <x:v>33 pF 50 V C0G</x:v>
      </x:c>
      <x:c r="Z117" s="2" t="str">
        <x:v>ELECTRICAL_COMPONENT</x:v>
      </x:c>
      <x:c r="AA117" s="2" t="str">
        <x:v>DNP</x:v>
      </x:c>
      <x:c r="AB117" s="2" t="str">
        <x:v>-55..125</x:v>
      </x:c>
      <x:c r="AC117" s="14" t="str">
        <x:v>CONTROLLED_DNP</x:v>
      </x:c>
    </x:row>
    <x:row r="118">
      <x:c r="A118" s="2" t="str">
        <x:v>MAIN-010-C59</x:v>
      </x:c>
      <x:c r="B118" s="2" t="str">
        <x:v>PCB-MAIN</x:v>
      </x:c>
      <x:c r="C118" s="14" t="str">
        <x:v>C59</x:v>
      </x:c>
      <x:c r="D118" s="2" t="str">
        <x:v>Capacitor</x:v>
      </x:c>
      <x:c r="E118" s="17" t="str">
        <x:v>J7 data shunt tuning position</x:v>
      </x:c>
      <x:c r="F118" s="2" t="str">
        <x:v>Murata</x:v>
      </x:c>
      <x:c r="G118" s="2" t="str">
        <x:v>GRM1555C1H330JA01D</x:v>
      </x:c>
      <x:c r="H118" s="2" t="str">
        <x:v>0402</x:v>
      </x:c>
      <x:c r="I118" s="16" t="n">
        <x:v>0</x:v>
      </x:c>
      <x:c r="J118" s="16" t="n">
        <x:v>0</x:v>
      </x:c>
      <x:c r="K118" s="16" t="n">
        <x:v>0</x:v>
      </x:c>
      <x:c r="L118" s="16" t="n">
        <x:v>0</x:v>
      </x:c>
      <x:c r="M118" s="16" t="n">
        <x:v>0</x:v>
      </x:c>
      <x:c r="N118" s="16" t="n">
        <x:v>0</x:v>
      </x:c>
      <x:c r="O118" s="16" t="n">
        <x:v>0</x:v>
      </x:c>
      <x:c r="P118" s="16" t="n">
        <x:v>0</x:v>
      </x:c>
      <x:c r="Q118" s="16" t="n">
        <x:v>0</x:v>
      </x:c>
      <x:c r="R118" s="16" t="n">
        <x:v>0</x:v>
      </x:c>
      <x:c r="S118" s="14" t="str">
        <x:v>NONE</x:v>
      </x:c>
      <x:c r="T118" s="2" t="str">
        <x:v>COMMON</x:v>
      </x:c>
      <x:c r="U118" s="14" t="str">
        <x:v>CONTROLLED_DNP</x:v>
      </x:c>
      <x:c r="V118" s="17" t="str">
        <x:v>Authorized or traceable tier-1 channel</x:v>
      </x:c>
      <x:c r="W118" s="17" t="str">
        <x:v>Marking MPN package orientation electrical functional sample</x:v>
      </x:c>
      <x:c r="X118" s="17" t="str">
        <x:v>MAIN-AUTH-010 exact capture authority; physical pins: 1=SIM2_DATA_CONN;2=GND_MODEM; Populate only from signed SIM edge evidence</x:v>
      </x:c>
      <x:c r="Y118" s="2" t="str">
        <x:v>33 pF 50 V C0G</x:v>
      </x:c>
      <x:c r="Z118" s="2" t="str">
        <x:v>ELECTRICAL_COMPONENT</x:v>
      </x:c>
      <x:c r="AA118" s="2" t="str">
        <x:v>DNP</x:v>
      </x:c>
      <x:c r="AB118" s="2" t="str">
        <x:v>-55..125</x:v>
      </x:c>
      <x:c r="AC118" s="14" t="str">
        <x:v>CONTROLLED_DNP</x:v>
      </x:c>
    </x:row>
    <x:row r="119">
      <x:c r="A119" s="2" t="str">
        <x:v>MAIN-010-C60</x:v>
      </x:c>
      <x:c r="B119" s="2" t="str">
        <x:v>PCB-MAIN</x:v>
      </x:c>
      <x:c r="C119" s="14" t="str">
        <x:v>C60</x:v>
      </x:c>
      <x:c r="D119" s="2" t="str">
        <x:v>Capacitor</x:v>
      </x:c>
      <x:c r="E119" s="17" t="str">
        <x:v>U9 VCC pin 8 bypass</x:v>
      </x:c>
      <x:c r="F119" s="2" t="str">
        <x:v>Murata</x:v>
      </x:c>
      <x:c r="G119" s="2" t="str">
        <x:v>GRM155R71E104KE14D</x:v>
      </x:c>
      <x:c r="H119" s="2" t="str">
        <x:v>0402</x:v>
      </x:c>
      <x:c r="I119" s="16" t="n">
        <x:v>1</x:v>
      </x:c>
      <x:c r="J119" s="16" t="n">
        <x:v>4</x:v>
      </x:c>
      <x:c r="K119" s="16" t="n">
        <x:v>0</x:v>
      </x:c>
      <x:c r="L119" s="16" t="n">
        <x:v>4</x:v>
      </x:c>
      <x:c r="M119" s="16" t="n">
        <x:v>10</x:v>
      </x:c>
      <x:c r="N119" s="16" t="n">
        <x:v>0</x:v>
      </x:c>
      <x:c r="O119" s="16" t="n">
        <x:v>10</x:v>
      </x:c>
      <x:c r="P119" s="16" t="n">
        <x:v>20</x:v>
      </x:c>
      <x:c r="Q119" s="16" t="n">
        <x:v>0</x:v>
      </x:c>
      <x:c r="R119" s="16" t="n">
        <x:v>20</x:v>
      </x:c>
      <x:c r="S119" s="14" t="str">
        <x:v>NONE</x:v>
      </x:c>
      <x:c r="T119" s="2" t="str">
        <x:v>COMMON</x:v>
      </x:c>
      <x:c r="U119" s="14" t="str">
        <x:v>SELECTED_PENDING_REVIEW_A</x:v>
      </x:c>
      <x:c r="V119" s="17" t="str">
        <x:v>Authorized or traceable tier-1 channel</x:v>
      </x:c>
      <x:c r="W119" s="17" t="str">
        <x:v>Marking MPN package orientation electrical functional sample</x:v>
      </x:c>
      <x:c r="X119" s="17" t="str">
        <x:v>MAIN-AUTH-010 exact capture authority; physical pins: 1=3V3_DIGITAL;2=GND; Place at U9 pin 8</x:v>
      </x:c>
      <x:c r="Y119" s="2" t="str">
        <x:v>100 nF 25 V X7R</x:v>
      </x:c>
      <x:c r="Z119" s="2" t="str">
        <x:v>ELECTRICAL_COMPONENT</x:v>
      </x:c>
      <x:c r="AA119" s="2" t="str">
        <x:v>FITTED</x:v>
      </x:c>
      <x:c r="AB119" s="2" t="str">
        <x:v>-55..125</x:v>
      </x:c>
      <x:c r="AC119" s="14" t="str">
        <x:v>CONTROLLED_PENDING_VERIFICATION</x:v>
      </x:c>
    </x:row>
    <x:row r="120">
      <x:c r="A120" s="2" t="str">
        <x:v>MAIN-010-C61</x:v>
      </x:c>
      <x:c r="B120" s="2" t="str">
        <x:v>PCB-MAIN</x:v>
      </x:c>
      <x:c r="C120" s="14" t="str">
        <x:v>C61</x:v>
      </x:c>
      <x:c r="D120" s="2" t="str">
        <x:v>Capacitor</x:v>
      </x:c>
      <x:c r="E120" s="17" t="str">
        <x:v>U9 VCC pin 8 local bulk</x:v>
      </x:c>
      <x:c r="F120" s="2" t="str">
        <x:v>Murata</x:v>
      </x:c>
      <x:c r="G120" s="2" t="str">
        <x:v>GRM188R61A106KE69D</x:v>
      </x:c>
      <x:c r="H120" s="2" t="str">
        <x:v>0603</x:v>
      </x:c>
      <x:c r="I120" s="16" t="n">
        <x:v>1</x:v>
      </x:c>
      <x:c r="J120" s="16" t="n">
        <x:v>4</x:v>
      </x:c>
      <x:c r="K120" s="16" t="n">
        <x:v>0</x:v>
      </x:c>
      <x:c r="L120" s="16" t="n">
        <x:v>4</x:v>
      </x:c>
      <x:c r="M120" s="16" t="n">
        <x:v>10</x:v>
      </x:c>
      <x:c r="N120" s="16" t="n">
        <x:v>0</x:v>
      </x:c>
      <x:c r="O120" s="16" t="n">
        <x:v>10</x:v>
      </x:c>
      <x:c r="P120" s="16" t="n">
        <x:v>20</x:v>
      </x:c>
      <x:c r="Q120" s="16" t="n">
        <x:v>0</x:v>
      </x:c>
      <x:c r="R120" s="16" t="n">
        <x:v>20</x:v>
      </x:c>
      <x:c r="S120" s="14" t="str">
        <x:v>NONE</x:v>
      </x:c>
      <x:c r="T120" s="2" t="str">
        <x:v>COMMON</x:v>
      </x:c>
      <x:c r="U120" s="14" t="str">
        <x:v>SELECTED_PENDING_REVIEW_A</x:v>
      </x:c>
      <x:c r="V120" s="17" t="str">
        <x:v>Authorized or traceable tier-1 channel</x:v>
      </x:c>
      <x:c r="W120" s="17" t="str">
        <x:v>Marking MPN package orientation electrical functional sample</x:v>
      </x:c>
      <x:c r="X120" s="17" t="str">
        <x:v>MAIN-AUTH-010 exact capture authority; physical pins: 1=3V3_DIGITAL;2=GND; Total feed resistance must remain at most 0.2 Ohm</x:v>
      </x:c>
      <x:c r="Y120" s="2" t="str">
        <x:v>10 uF 10 V X5R</x:v>
      </x:c>
      <x:c r="Z120" s="2" t="str">
        <x:v>ELECTRICAL_COMPONENT</x:v>
      </x:c>
      <x:c r="AA120" s="2" t="str">
        <x:v>FITTED</x:v>
      </x:c>
      <x:c r="AB120" s="2" t="str">
        <x:v>-55..85</x:v>
      </x:c>
      <x:c r="AC120" s="14" t="str">
        <x:v>CONTROLLED_PENDING_VERIFICATION</x:v>
      </x:c>
    </x:row>
    <x:row r="121">
      <x:c r="A121" s="2" t="str">
        <x:v>MAIN-010-C62</x:v>
      </x:c>
      <x:c r="B121" s="2" t="str">
        <x:v>PCB-MAIN</x:v>
      </x:c>
      <x:c r="C121" s="14" t="str">
        <x:v>C62</x:v>
      </x:c>
      <x:c r="D121" s="2" t="str">
        <x:v>Capacitor</x:v>
      </x:c>
      <x:c r="E121" s="17" t="str">
        <x:v>U9 V_IO pin 7 bypass</x:v>
      </x:c>
      <x:c r="F121" s="2" t="str">
        <x:v>Murata</x:v>
      </x:c>
      <x:c r="G121" s="2" t="str">
        <x:v>GRM155R71E104KE14D</x:v>
      </x:c>
      <x:c r="H121" s="2" t="str">
        <x:v>0402</x:v>
      </x:c>
      <x:c r="I121" s="16" t="n">
        <x:v>1</x:v>
      </x:c>
      <x:c r="J121" s="16" t="n">
        <x:v>4</x:v>
      </x:c>
      <x:c r="K121" s="16" t="n">
        <x:v>0</x:v>
      </x:c>
      <x:c r="L121" s="16" t="n">
        <x:v>4</x:v>
      </x:c>
      <x:c r="M121" s="16" t="n">
        <x:v>10</x:v>
      </x:c>
      <x:c r="N121" s="16" t="n">
        <x:v>0</x:v>
      </x:c>
      <x:c r="O121" s="16" t="n">
        <x:v>10</x:v>
      </x:c>
      <x:c r="P121" s="16" t="n">
        <x:v>20</x:v>
      </x:c>
      <x:c r="Q121" s="16" t="n">
        <x:v>0</x:v>
      </x:c>
      <x:c r="R121" s="16" t="n">
        <x:v>20</x:v>
      </x:c>
      <x:c r="S121" s="14" t="str">
        <x:v>NONE</x:v>
      </x:c>
      <x:c r="T121" s="2" t="str">
        <x:v>COMMON</x:v>
      </x:c>
      <x:c r="U121" s="14" t="str">
        <x:v>SELECTED_PENDING_REVIEW_A</x:v>
      </x:c>
      <x:c r="V121" s="17" t="str">
        <x:v>Authorized or traceable tier-1 channel</x:v>
      </x:c>
      <x:c r="W121" s="17" t="str">
        <x:v>Marking MPN package orientation electrical functional sample</x:v>
      </x:c>
      <x:c r="X121" s="17" t="str">
        <x:v>MAIN-AUTH-010 exact capture authority; physical pins: 1=3V3_DIGITAL;2=GND; Place at U9 pin 7</x:v>
      </x:c>
      <x:c r="Y121" s="2" t="str">
        <x:v>100 nF 25 V X7R</x:v>
      </x:c>
      <x:c r="Z121" s="2" t="str">
        <x:v>ELECTRICAL_COMPONENT</x:v>
      </x:c>
      <x:c r="AA121" s="2" t="str">
        <x:v>FITTED</x:v>
      </x:c>
      <x:c r="AB121" s="2" t="str">
        <x:v>-55..125</x:v>
      </x:c>
      <x:c r="AC121" s="14" t="str">
        <x:v>CONTROLLED_PENDING_VERIFICATION</x:v>
      </x:c>
    </x:row>
    <x:row r="122">
      <x:c r="A122" s="2" t="str">
        <x:v>MAIN-010-C63</x:v>
      </x:c>
      <x:c r="B122" s="2" t="str">
        <x:v>PCB-MAIN</x:v>
      </x:c>
      <x:c r="C122" s="14" t="str">
        <x:v>C63</x:v>
      </x:c>
      <x:c r="D122" s="2" t="str">
        <x:v>Capacitor</x:v>
      </x:c>
      <x:c r="E122" s="17" t="str">
        <x:v>Figure 38 antenna current sense filter C14</x:v>
      </x:c>
      <x:c r="F122" s="2" t="str">
        <x:v>Murata</x:v>
      </x:c>
      <x:c r="G122" s="2" t="str">
        <x:v>GRM155R71C103KA01D</x:v>
      </x:c>
      <x:c r="H122" s="2" t="str">
        <x:v>0402</x:v>
      </x:c>
      <x:c r="I122" s="16" t="n">
        <x:v>1</x:v>
      </x:c>
      <x:c r="J122" s="16" t="n">
        <x:v>4</x:v>
      </x:c>
      <x:c r="K122" s="16" t="n">
        <x:v>0</x:v>
      </x:c>
      <x:c r="L122" s="16" t="n">
        <x:v>4</x:v>
      </x:c>
      <x:c r="M122" s="16" t="n">
        <x:v>10</x:v>
      </x:c>
      <x:c r="N122" s="16" t="n">
        <x:v>0</x:v>
      </x:c>
      <x:c r="O122" s="16" t="n">
        <x:v>10</x:v>
      </x:c>
      <x:c r="P122" s="16" t="n">
        <x:v>20</x:v>
      </x:c>
      <x:c r="Q122" s="16" t="n">
        <x:v>0</x:v>
      </x:c>
      <x:c r="R122" s="16" t="n">
        <x:v>20</x:v>
      </x:c>
      <x:c r="S122" s="14" t="str">
        <x:v>NONE</x:v>
      </x:c>
      <x:c r="T122" s="2" t="str">
        <x:v>COMMON</x:v>
      </x:c>
      <x:c r="U122" s="14" t="str">
        <x:v>SELECTED_PENDING_REVIEW_A</x:v>
      </x:c>
      <x:c r="V122" s="17" t="str">
        <x:v>Authorized or traceable tier-1 channel</x:v>
      </x:c>
      <x:c r="W122" s="17" t="str">
        <x:v>Marking MPN package orientation electrical functional sample</x:v>
      </x:c>
      <x:c r="X122" s="17" t="str">
        <x:v>MAIN-AUTH-010 exact capture authority; physical pins: 1=GNSS_ANT_SHORT_N;2=GND; Keep at R62 and L2 junction</x:v>
      </x:c>
      <x:c r="Y122" s="2" t="str">
        <x:v>10 nF 16 V X7R</x:v>
      </x:c>
      <x:c r="Z122" s="2" t="str">
        <x:v>ELECTRICAL_COMPONENT</x:v>
      </x:c>
      <x:c r="AA122" s="2" t="str">
        <x:v>FITTED</x:v>
      </x:c>
      <x:c r="AB122" s="2" t="str">
        <x:v>-55..125</x:v>
      </x:c>
      <x:c r="AC122" s="14" t="str">
        <x:v>CONTROLLED_PENDING_VERIFICATION</x:v>
      </x:c>
    </x:row>
    <x:row r="123">
      <x:c r="A123" s="2" t="str">
        <x:v>MAIN-010-C64</x:v>
      </x:c>
      <x:c r="B123" s="2" t="str">
        <x:v>PCB-MAIN</x:v>
      </x:c>
      <x:c r="C123" s="14" t="str">
        <x:v>C64</x:v>
      </x:c>
      <x:c r="D123" s="2" t="str">
        <x:v>Capacitor</x:v>
      </x:c>
      <x:c r="E123" s="17" t="str">
        <x:v>Figure 38 external RF DC block C18</x:v>
      </x:c>
      <x:c r="F123" s="2" t="str">
        <x:v>Murata</x:v>
      </x:c>
      <x:c r="G123" s="2" t="str">
        <x:v>GRM1555C1E470JA01D</x:v>
      </x:c>
      <x:c r="H123" s="2" t="str">
        <x:v>0402</x:v>
      </x:c>
      <x:c r="I123" s="16" t="n">
        <x:v>1</x:v>
      </x:c>
      <x:c r="J123" s="16" t="n">
        <x:v>4</x:v>
      </x:c>
      <x:c r="K123" s="16" t="n">
        <x:v>0</x:v>
      </x:c>
      <x:c r="L123" s="16" t="n">
        <x:v>4</x:v>
      </x:c>
      <x:c r="M123" s="16" t="n">
        <x:v>10</x:v>
      </x:c>
      <x:c r="N123" s="16" t="n">
        <x:v>0</x:v>
      </x:c>
      <x:c r="O123" s="16" t="n">
        <x:v>10</x:v>
      </x:c>
      <x:c r="P123" s="16" t="n">
        <x:v>20</x:v>
      </x:c>
      <x:c r="Q123" s="16" t="n">
        <x:v>0</x:v>
      </x:c>
      <x:c r="R123" s="16" t="n">
        <x:v>20</x:v>
      </x:c>
      <x:c r="S123" s="14" t="str">
        <x:v>NONE</x:v>
      </x:c>
      <x:c r="T123" s="2" t="str">
        <x:v>COMMON</x:v>
      </x:c>
      <x:c r="U123" s="14" t="str">
        <x:v>SELECTED_PENDING_REVIEW_A</x:v>
      </x:c>
      <x:c r="V123" s="17" t="str">
        <x:v>Authorized or traceable tier-1 channel</x:v>
      </x:c>
      <x:c r="W123" s="17" t="str">
        <x:v>Marking MPN package orientation electrical functional sample</x:v>
      </x:c>
      <x:c r="X123" s="17" t="str">
        <x:v>MAIN-AUTH-010 exact capture authority; physical pins: 1=GNSS_RF_ANT_BIASED;2=GNSS_RF_DC_BLOCK; Series before FL1 input C</x:v>
      </x:c>
      <x:c r="Y123" s="2" t="str">
        <x:v>47 pF 25 V C0G</x:v>
      </x:c>
      <x:c r="Z123" s="2" t="str">
        <x:v>ELECTRICAL_COMPONENT</x:v>
      </x:c>
      <x:c r="AA123" s="2" t="str">
        <x:v>FITTED</x:v>
      </x:c>
      <x:c r="AB123" s="2" t="str">
        <x:v>-55..125</x:v>
      </x:c>
      <x:c r="AC123" s="14" t="str">
        <x:v>CONTROLLED_PENDING_VERIFICATION</x:v>
      </x:c>
    </x:row>
    <x:row r="124">
      <x:c r="A124" s="2" t="str">
        <x:v>MAIN-010-C65</x:v>
      </x:c>
      <x:c r="B124" s="2" t="str">
        <x:v>PCB-MAIN</x:v>
      </x:c>
      <x:c r="C124" s="14" t="str">
        <x:v>C65</x:v>
      </x:c>
      <x:c r="D124" s="2" t="str">
        <x:v>Capacitor</x:v>
      </x:c>
      <x:c r="E124" s="17" t="str">
        <x:v>U5 local supply bypass</x:v>
      </x:c>
      <x:c r="F124" s="2" t="str">
        <x:v>Murata</x:v>
      </x:c>
      <x:c r="G124" s="2" t="str">
        <x:v>GRM155R71E104KE14D</x:v>
      </x:c>
      <x:c r="H124" s="2" t="str">
        <x:v>0402</x:v>
      </x:c>
      <x:c r="I124" s="16" t="n">
        <x:v>1</x:v>
      </x:c>
      <x:c r="J124" s="16" t="n">
        <x:v>4</x:v>
      </x:c>
      <x:c r="K124" s="16" t="n">
        <x:v>0</x:v>
      </x:c>
      <x:c r="L124" s="16" t="n">
        <x:v>4</x:v>
      </x:c>
      <x:c r="M124" s="16" t="n">
        <x:v>10</x:v>
      </x:c>
      <x:c r="N124" s="16" t="n">
        <x:v>0</x:v>
      </x:c>
      <x:c r="O124" s="16" t="n">
        <x:v>10</x:v>
      </x:c>
      <x:c r="P124" s="16" t="n">
        <x:v>20</x:v>
      </x:c>
      <x:c r="Q124" s="16" t="n">
        <x:v>0</x:v>
      </x:c>
      <x:c r="R124" s="16" t="n">
        <x:v>20</x:v>
      </x:c>
      <x:c r="S124" s="14" t="str">
        <x:v>NONE</x:v>
      </x:c>
      <x:c r="T124" s="2" t="str">
        <x:v>COMMON</x:v>
      </x:c>
      <x:c r="U124" s="14" t="str">
        <x:v>SELECTED_PENDING_REVIEW_A</x:v>
      </x:c>
      <x:c r="V124" s="17" t="str">
        <x:v>Authorized or traceable tier-1 channel</x:v>
      </x:c>
      <x:c r="W124" s="17" t="str">
        <x:v>Marking MPN package orientation electrical functional sample</x:v>
      </x:c>
      <x:c r="X124" s="17" t="str">
        <x:v>MAIN-AUTH-010 exact capture authority; physical pins: 1=GNSS_ANT_BIAS_RAW;2=GND; Place at U5 pin 4</x:v>
      </x:c>
      <x:c r="Y124" s="2" t="str">
        <x:v>100 nF 25 V X7R</x:v>
      </x:c>
      <x:c r="Z124" s="2" t="str">
        <x:v>ELECTRICAL_COMPONENT</x:v>
      </x:c>
      <x:c r="AA124" s="2" t="str">
        <x:v>FITTED</x:v>
      </x:c>
      <x:c r="AB124" s="2" t="str">
        <x:v>-55..125</x:v>
      </x:c>
      <x:c r="AC124" s="14" t="str">
        <x:v>CONTROLLED_PENDING_VERIFICATION</x:v>
      </x:c>
    </x:row>
    <x:row r="125">
      <x:c r="A125" s="2" t="str">
        <x:v>MAIN-010-C66</x:v>
      </x:c>
      <x:c r="B125" s="2" t="str">
        <x:v>PCB-MAIN</x:v>
      </x:c>
      <x:c r="C125" s="14" t="str">
        <x:v>C66</x:v>
      </x:c>
      <x:c r="D125" s="2" t="str">
        <x:v>Capacitor</x:v>
      </x:c>
      <x:c r="E125" s="17" t="str">
        <x:v>U10 VCC pin 9 bypass</x:v>
      </x:c>
      <x:c r="F125" s="2" t="str">
        <x:v>Murata</x:v>
      </x:c>
      <x:c r="G125" s="2" t="str">
        <x:v>GRM155R71E104KE14D</x:v>
      </x:c>
      <x:c r="H125" s="2" t="str">
        <x:v>0402</x:v>
      </x:c>
      <x:c r="I125" s="16" t="n">
        <x:v>1</x:v>
      </x:c>
      <x:c r="J125" s="16" t="n">
        <x:v>4</x:v>
      </x:c>
      <x:c r="K125" s="16" t="n">
        <x:v>0</x:v>
      </x:c>
      <x:c r="L125" s="16" t="n">
        <x:v>4</x:v>
      </x:c>
      <x:c r="M125" s="16" t="n">
        <x:v>10</x:v>
      </x:c>
      <x:c r="N125" s="16" t="n">
        <x:v>0</x:v>
      </x:c>
      <x:c r="O125" s="16" t="n">
        <x:v>10</x:v>
      </x:c>
      <x:c r="P125" s="16" t="n">
        <x:v>20</x:v>
      </x:c>
      <x:c r="Q125" s="16" t="n">
        <x:v>0</x:v>
      </x:c>
      <x:c r="R125" s="16" t="n">
        <x:v>20</x:v>
      </x:c>
      <x:c r="S125" s="14" t="str">
        <x:v>NONE</x:v>
      </x:c>
      <x:c r="T125" s="2" t="str">
        <x:v>COMMON</x:v>
      </x:c>
      <x:c r="U125" s="14" t="str">
        <x:v>SELECTED_PENDING_REVIEW_A</x:v>
      </x:c>
      <x:c r="V125" s="17" t="str">
        <x:v>Authorized or traceable tier-1 channel</x:v>
      </x:c>
      <x:c r="W125" s="17" t="str">
        <x:v>Marking MPN package orientation electrical functional sample</x:v>
      </x:c>
      <x:c r="X125" s="17" t="str">
        <x:v>MAIN-AUTH-010 exact capture authority; physical pins: 1=3V3_DIGITAL;2=GND; Place at U10 pin 9</x:v>
      </x:c>
      <x:c r="Y125" s="2" t="str">
        <x:v>100 nF 25 V X7R</x:v>
      </x:c>
      <x:c r="Z125" s="2" t="str">
        <x:v>ELECTRICAL_COMPONENT</x:v>
      </x:c>
      <x:c r="AA125" s="2" t="str">
        <x:v>FITTED</x:v>
      </x:c>
      <x:c r="AB125" s="2" t="str">
        <x:v>-55..125</x:v>
      </x:c>
      <x:c r="AC125" s="14" t="str">
        <x:v>CONTROLLED_PENDING_VERIFICATION</x:v>
      </x:c>
    </x:row>
    <x:row r="126">
      <x:c r="A126" s="2" t="str">
        <x:v>MAIN-010-C67</x:v>
      </x:c>
      <x:c r="B126" s="2" t="str">
        <x:v>PCB-MAIN</x:v>
      </x:c>
      <x:c r="C126" s="14" t="str">
        <x:v>C67</x:v>
      </x:c>
      <x:c r="D126" s="2" t="str">
        <x:v>Capacitor</x:v>
      </x:c>
      <x:c r="E126" s="17" t="str">
        <x:v>U10 VCC pin 9 local bulk</x:v>
      </x:c>
      <x:c r="F126" s="2" t="str">
        <x:v>Murata</x:v>
      </x:c>
      <x:c r="G126" s="2" t="str">
        <x:v>GRM188R61A106KE69D</x:v>
      </x:c>
      <x:c r="H126" s="2" t="str">
        <x:v>0603</x:v>
      </x:c>
      <x:c r="I126" s="16" t="n">
        <x:v>1</x:v>
      </x:c>
      <x:c r="J126" s="16" t="n">
        <x:v>4</x:v>
      </x:c>
      <x:c r="K126" s="16" t="n">
        <x:v>0</x:v>
      </x:c>
      <x:c r="L126" s="16" t="n">
        <x:v>4</x:v>
      </x:c>
      <x:c r="M126" s="16" t="n">
        <x:v>10</x:v>
      </x:c>
      <x:c r="N126" s="16" t="n">
        <x:v>0</x:v>
      </x:c>
      <x:c r="O126" s="16" t="n">
        <x:v>10</x:v>
      </x:c>
      <x:c r="P126" s="16" t="n">
        <x:v>20</x:v>
      </x:c>
      <x:c r="Q126" s="16" t="n">
        <x:v>0</x:v>
      </x:c>
      <x:c r="R126" s="16" t="n">
        <x:v>20</x:v>
      </x:c>
      <x:c r="S126" s="14" t="str">
        <x:v>NONE</x:v>
      </x:c>
      <x:c r="T126" s="2" t="str">
        <x:v>COMMON</x:v>
      </x:c>
      <x:c r="U126" s="14" t="str">
        <x:v>SELECTED_PENDING_REVIEW_A</x:v>
      </x:c>
      <x:c r="V126" s="17" t="str">
        <x:v>Authorized or traceable tier-1 channel</x:v>
      </x:c>
      <x:c r="W126" s="17" t="str">
        <x:v>Marking MPN package orientation electrical functional sample</x:v>
      </x:c>
      <x:c r="X126" s="17" t="str">
        <x:v>MAIN-AUTH-010 exact capture authority; physical pins: 1=3V3_DIGITAL;2=GND; Verify transmit burst droop</x:v>
      </x:c>
      <x:c r="Y126" s="2" t="str">
        <x:v>10 uF 10 V X5R</x:v>
      </x:c>
      <x:c r="Z126" s="2" t="str">
        <x:v>ELECTRICAL_COMPONENT</x:v>
      </x:c>
      <x:c r="AA126" s="2" t="str">
        <x:v>FITTED</x:v>
      </x:c>
      <x:c r="AB126" s="2" t="str">
        <x:v>-55..85</x:v>
      </x:c>
      <x:c r="AC126" s="14" t="str">
        <x:v>CONTROLLED_PENDING_VERIFICATION</x:v>
      </x:c>
    </x:row>
    <x:row r="127">
      <x:c r="A127" s="2" t="str">
        <x:v>MAIN-010-C68</x:v>
      </x:c>
      <x:c r="B127" s="2" t="str">
        <x:v>PCB-MAIN</x:v>
      </x:c>
      <x:c r="C127" s="14" t="str">
        <x:v>C68</x:v>
      </x:c>
      <x:c r="D127" s="2" t="str">
        <x:v>Capacitor</x:v>
      </x:c>
      <x:c r="E127" s="17" t="str">
        <x:v>U10 reset RC capacitor</x:v>
      </x:c>
      <x:c r="F127" s="2" t="str">
        <x:v>Murata</x:v>
      </x:c>
      <x:c r="G127" s="2" t="str">
        <x:v>GRM155R71E104KE14D</x:v>
      </x:c>
      <x:c r="H127" s="2" t="str">
        <x:v>0402</x:v>
      </x:c>
      <x:c r="I127" s="16" t="n">
        <x:v>1</x:v>
      </x:c>
      <x:c r="J127" s="16" t="n">
        <x:v>4</x:v>
      </x:c>
      <x:c r="K127" s="16" t="n">
        <x:v>0</x:v>
      </x:c>
      <x:c r="L127" s="16" t="n">
        <x:v>4</x:v>
      </x:c>
      <x:c r="M127" s="16" t="n">
        <x:v>10</x:v>
      </x:c>
      <x:c r="N127" s="16" t="n">
        <x:v>0</x:v>
      </x:c>
      <x:c r="O127" s="16" t="n">
        <x:v>10</x:v>
      </x:c>
      <x:c r="P127" s="16" t="n">
        <x:v>20</x:v>
      </x:c>
      <x:c r="Q127" s="16" t="n">
        <x:v>0</x:v>
      </x:c>
      <x:c r="R127" s="16" t="n">
        <x:v>20</x:v>
      </x:c>
      <x:c r="S127" s="14" t="str">
        <x:v>NONE</x:v>
      </x:c>
      <x:c r="T127" s="2" t="str">
        <x:v>COMMON</x:v>
      </x:c>
      <x:c r="U127" s="14" t="str">
        <x:v>SELECTED_PENDING_REVIEW_A</x:v>
      </x:c>
      <x:c r="V127" s="17" t="str">
        <x:v>Authorized or traceable tier-1 channel</x:v>
      </x:c>
      <x:c r="W127" s="17" t="str">
        <x:v>Marking MPN package orientation electrical functional sample</x:v>
      </x:c>
      <x:c r="X127" s="17" t="str">
        <x:v>MAIN-AUTH-010 exact capture authority; physical pins: 1=LORA_RESET_N;2=GND; Place at U10 pin 15</x:v>
      </x:c>
      <x:c r="Y127" s="2" t="str">
        <x:v>100 nF 25 V X7R</x:v>
      </x:c>
      <x:c r="Z127" s="2" t="str">
        <x:v>ELECTRICAL_COMPONENT</x:v>
      </x:c>
      <x:c r="AA127" s="2" t="str">
        <x:v>FITTED</x:v>
      </x:c>
      <x:c r="AB127" s="2" t="str">
        <x:v>-55..125</x:v>
      </x:c>
      <x:c r="AC127" s="14" t="str">
        <x:v>CONTROLLED_PENDING_VERIFICATION</x:v>
      </x:c>
    </x:row>
    <x:row r="128">
      <x:c r="A128" s="2" t="str">
        <x:v>MAIN-010-C69</x:v>
      </x:c>
      <x:c r="B128" s="2" t="str">
        <x:v>PCB-MAIN</x:v>
      </x:c>
      <x:c r="C128" s="14" t="str">
        <x:v>C69</x:v>
      </x:c>
      <x:c r="D128" s="2" t="str">
        <x:v>Capacitor</x:v>
      </x:c>
      <x:c r="E128" s="17" t="str">
        <x:v>LoRa pi network module-side shunt</x:v>
      </x:c>
      <x:c r="F128" s="2" t="str">
        <x:v>Murata</x:v>
      </x:c>
      <x:c r="G128" s="2" t="str">
        <x:v>GRM1555C1H100JA01D</x:v>
      </x:c>
      <x:c r="H128" s="2" t="str">
        <x:v>0402</x:v>
      </x:c>
      <x:c r="I128" s="16" t="n">
        <x:v>0</x:v>
      </x:c>
      <x:c r="J128" s="16" t="n">
        <x:v>0</x:v>
      </x:c>
      <x:c r="K128" s="16" t="n">
        <x:v>0</x:v>
      </x:c>
      <x:c r="L128" s="16" t="n">
        <x:v>0</x:v>
      </x:c>
      <x:c r="M128" s="16" t="n">
        <x:v>0</x:v>
      </x:c>
      <x:c r="N128" s="16" t="n">
        <x:v>0</x:v>
      </x:c>
      <x:c r="O128" s="16" t="n">
        <x:v>0</x:v>
      </x:c>
      <x:c r="P128" s="16" t="n">
        <x:v>0</x:v>
      </x:c>
      <x:c r="Q128" s="16" t="n">
        <x:v>0</x:v>
      </x:c>
      <x:c r="R128" s="16" t="n">
        <x:v>0</x:v>
      </x:c>
      <x:c r="S128" s="14" t="str">
        <x:v>NONE</x:v>
      </x:c>
      <x:c r="T128" s="2" t="str">
        <x:v>COMMON</x:v>
      </x:c>
      <x:c r="U128" s="14" t="str">
        <x:v>CONTROLLED_DNP</x:v>
      </x:c>
      <x:c r="V128" s="17" t="str">
        <x:v>Authorized or traceable tier-1 channel</x:v>
      </x:c>
      <x:c r="W128" s="17" t="str">
        <x:v>Marking MPN package orientation electrical functional sample</x:v>
      </x:c>
      <x:c r="X128" s="17" t="str">
        <x:v>MAIN-AUTH-010 exact capture authority; physical pins: 1=LORA_RF_MODULE;2=GND; Populate only from signed VNA evidence</x:v>
      </x:c>
      <x:c r="Y128" s="2" t="str">
        <x:v>10 pF 50 V C0G</x:v>
      </x:c>
      <x:c r="Z128" s="2" t="str">
        <x:v>ELECTRICAL_COMPONENT</x:v>
      </x:c>
      <x:c r="AA128" s="2" t="str">
        <x:v>DNP</x:v>
      </x:c>
      <x:c r="AB128" s="2" t="str">
        <x:v>-55..125</x:v>
      </x:c>
      <x:c r="AC128" s="14" t="str">
        <x:v>CONTROLLED_DNP</x:v>
      </x:c>
    </x:row>
    <x:row r="129">
      <x:c r="A129" s="2" t="str">
        <x:v>MAIN-010-C70</x:v>
      </x:c>
      <x:c r="B129" s="2" t="str">
        <x:v>PCB-MAIN</x:v>
      </x:c>
      <x:c r="C129" s="14" t="str">
        <x:v>C70</x:v>
      </x:c>
      <x:c r="D129" s="2" t="str">
        <x:v>Capacitor</x:v>
      </x:c>
      <x:c r="E129" s="17" t="str">
        <x:v>LoRa pi network connector-side shunt</x:v>
      </x:c>
      <x:c r="F129" s="2" t="str">
        <x:v>Murata</x:v>
      </x:c>
      <x:c r="G129" s="2" t="str">
        <x:v>GRM1555C1H100JA01D</x:v>
      </x:c>
      <x:c r="H129" s="2" t="str">
        <x:v>0402</x:v>
      </x:c>
      <x:c r="I129" s="16" t="n">
        <x:v>0</x:v>
      </x:c>
      <x:c r="J129" s="16" t="n">
        <x:v>0</x:v>
      </x:c>
      <x:c r="K129" s="16" t="n">
        <x:v>0</x:v>
      </x:c>
      <x:c r="L129" s="16" t="n">
        <x:v>0</x:v>
      </x:c>
      <x:c r="M129" s="16" t="n">
        <x:v>0</x:v>
      </x:c>
      <x:c r="N129" s="16" t="n">
        <x:v>0</x:v>
      </x:c>
      <x:c r="O129" s="16" t="n">
        <x:v>0</x:v>
      </x:c>
      <x:c r="P129" s="16" t="n">
        <x:v>0</x:v>
      </x:c>
      <x:c r="Q129" s="16" t="n">
        <x:v>0</x:v>
      </x:c>
      <x:c r="R129" s="16" t="n">
        <x:v>0</x:v>
      </x:c>
      <x:c r="S129" s="14" t="str">
        <x:v>NONE</x:v>
      </x:c>
      <x:c r="T129" s="2" t="str">
        <x:v>COMMON</x:v>
      </x:c>
      <x:c r="U129" s="14" t="str">
        <x:v>CONTROLLED_DNP</x:v>
      </x:c>
      <x:c r="V129" s="17" t="str">
        <x:v>Authorized or traceable tier-1 channel</x:v>
      </x:c>
      <x:c r="W129" s="17" t="str">
        <x:v>Marking MPN package orientation electrical functional sample</x:v>
      </x:c>
      <x:c r="X129" s="17" t="str">
        <x:v>MAIN-AUTH-010 exact capture authority; physical pins: 1=LORA_RF_ANT;2=GND; Populate only from signed VNA evidence</x:v>
      </x:c>
      <x:c r="Y129" s="2" t="str">
        <x:v>10 pF 50 V C0G</x:v>
      </x:c>
      <x:c r="Z129" s="2" t="str">
        <x:v>ELECTRICAL_COMPONENT</x:v>
      </x:c>
      <x:c r="AA129" s="2" t="str">
        <x:v>DNP</x:v>
      </x:c>
      <x:c r="AB129" s="2" t="str">
        <x:v>-55..125</x:v>
      </x:c>
      <x:c r="AC129" s="14" t="str">
        <x:v>CONTROLLED_DNP</x:v>
      </x:c>
    </x:row>
    <x:row r="130">
      <x:c r="A130" s="2" t="str">
        <x:v>MAIN-010-C71</x:v>
      </x:c>
      <x:c r="B130" s="2" t="str">
        <x:v>PCB-MAIN</x:v>
      </x:c>
      <x:c r="C130" s="14" t="str">
        <x:v>C71</x:v>
      </x:c>
      <x:c r="D130" s="2" t="str">
        <x:v>Capacitor</x:v>
      </x:c>
      <x:c r="E130" s="17" t="str">
        <x:v>U11 VDD pin 28 bypass</x:v>
      </x:c>
      <x:c r="F130" s="2" t="str">
        <x:v>Murata</x:v>
      </x:c>
      <x:c r="G130" s="2" t="str">
        <x:v>GRM155R71E104KE14D</x:v>
      </x:c>
      <x:c r="H130" s="2" t="str">
        <x:v>0402</x:v>
      </x:c>
      <x:c r="I130" s="16" t="n">
        <x:v>1</x:v>
      </x:c>
      <x:c r="J130" s="16" t="n">
        <x:v>4</x:v>
      </x:c>
      <x:c r="K130" s="16" t="n">
        <x:v>0</x:v>
      </x:c>
      <x:c r="L130" s="16" t="n">
        <x:v>4</x:v>
      </x:c>
      <x:c r="M130" s="16" t="n">
        <x:v>10</x:v>
      </x:c>
      <x:c r="N130" s="16" t="n">
        <x:v>0</x:v>
      </x:c>
      <x:c r="O130" s="16" t="n">
        <x:v>10</x:v>
      </x:c>
      <x:c r="P130" s="16" t="n">
        <x:v>20</x:v>
      </x:c>
      <x:c r="Q130" s="16" t="n">
        <x:v>0</x:v>
      </x:c>
      <x:c r="R130" s="16" t="n">
        <x:v>20</x:v>
      </x:c>
      <x:c r="S130" s="14" t="str">
        <x:v>NONE</x:v>
      </x:c>
      <x:c r="T130" s="2" t="str">
        <x:v>COMMON</x:v>
      </x:c>
      <x:c r="U130" s="14" t="str">
        <x:v>SELECTED_PENDING_REVIEW_A</x:v>
      </x:c>
      <x:c r="V130" s="17" t="str">
        <x:v>Authorized or traceable tier-1 channel</x:v>
      </x:c>
      <x:c r="W130" s="17" t="str">
        <x:v>Marking MPN package orientation electrical functional sample</x:v>
      </x:c>
      <x:c r="X130" s="17" t="str">
        <x:v>MAIN-AUTH-010 exact capture authority; physical pins: 1=3V3_DIGITAL;2=GND; Place at U11 pin 28</x:v>
      </x:c>
      <x:c r="Y130" s="2" t="str">
        <x:v>100 nF 25 V X7R</x:v>
      </x:c>
      <x:c r="Z130" s="2" t="str">
        <x:v>ELECTRICAL_COMPONENT</x:v>
      </x:c>
      <x:c r="AA130" s="2" t="str">
        <x:v>FITTED</x:v>
      </x:c>
      <x:c r="AB130" s="2" t="str">
        <x:v>-55..125</x:v>
      </x:c>
      <x:c r="AC130" s="14" t="str">
        <x:v>CONTROLLED_PENDING_VERIFICATION</x:v>
      </x:c>
    </x:row>
    <x:row r="131">
      <x:c r="A131" s="2" t="str">
        <x:v>MAIN-010-C72</x:v>
      </x:c>
      <x:c r="B131" s="2" t="str">
        <x:v>PCB-MAIN</x:v>
      </x:c>
      <x:c r="C131" s="14" t="str">
        <x:v>C72</x:v>
      </x:c>
      <x:c r="D131" s="2" t="str">
        <x:v>Capacitor</x:v>
      </x:c>
      <x:c r="E131" s="17" t="str">
        <x:v>U11 VDD and VDDH local bulk</x:v>
      </x:c>
      <x:c r="F131" s="2" t="str">
        <x:v>Murata</x:v>
      </x:c>
      <x:c r="G131" s="2" t="str">
        <x:v>GRM188R61A106KE69D</x:v>
      </x:c>
      <x:c r="H131" s="2" t="str">
        <x:v>0603</x:v>
      </x:c>
      <x:c r="I131" s="16" t="n">
        <x:v>1</x:v>
      </x:c>
      <x:c r="J131" s="16" t="n">
        <x:v>4</x:v>
      </x:c>
      <x:c r="K131" s="16" t="n">
        <x:v>0</x:v>
      </x:c>
      <x:c r="L131" s="16" t="n">
        <x:v>4</x:v>
      </x:c>
      <x:c r="M131" s="16" t="n">
        <x:v>10</x:v>
      </x:c>
      <x:c r="N131" s="16" t="n">
        <x:v>0</x:v>
      </x:c>
      <x:c r="O131" s="16" t="n">
        <x:v>10</x:v>
      </x:c>
      <x:c r="P131" s="16" t="n">
        <x:v>20</x:v>
      </x:c>
      <x:c r="Q131" s="16" t="n">
        <x:v>0</x:v>
      </x:c>
      <x:c r="R131" s="16" t="n">
        <x:v>20</x:v>
      </x:c>
      <x:c r="S131" s="14" t="str">
        <x:v>NONE</x:v>
      </x:c>
      <x:c r="T131" s="2" t="str">
        <x:v>COMMON</x:v>
      </x:c>
      <x:c r="U131" s="14" t="str">
        <x:v>SELECTED_PENDING_REVIEW_A</x:v>
      </x:c>
      <x:c r="V131" s="17" t="str">
        <x:v>Authorized or traceable tier-1 channel</x:v>
      </x:c>
      <x:c r="W131" s="17" t="str">
        <x:v>Marking MPN package orientation electrical functional sample</x:v>
      </x:c>
      <x:c r="X131" s="17" t="str">
        <x:v>MAIN-AUTH-010 exact capture authority; physical pins: 1=3V3_DIGITAL;2=GND; Normal-voltage mode with VDD and VDDH joined</x:v>
      </x:c>
      <x:c r="Y131" s="2" t="str">
        <x:v>10 uF 10 V X5R</x:v>
      </x:c>
      <x:c r="Z131" s="2" t="str">
        <x:v>ELECTRICAL_COMPONENT</x:v>
      </x:c>
      <x:c r="AA131" s="2" t="str">
        <x:v>FITTED</x:v>
      </x:c>
      <x:c r="AB131" s="2" t="str">
        <x:v>-55..85</x:v>
      </x:c>
      <x:c r="AC131" s="14" t="str">
        <x:v>CONTROLLED_PENDING_VERIFICATION</x:v>
      </x:c>
    </x:row>
    <x:row r="132">
      <x:c r="A132" s="2" t="str">
        <x:v>MAIN-010-C73</x:v>
      </x:c>
      <x:c r="B132" s="2" t="str">
        <x:v>PCB-MAIN</x:v>
      </x:c>
      <x:c r="C132" s="14" t="str">
        <x:v>C73</x:v>
      </x:c>
      <x:c r="D132" s="2" t="str">
        <x:v>Capacitor</x:v>
      </x:c>
      <x:c r="E132" s="17" t="str">
        <x:v>U6 local supply bypass</x:v>
      </x:c>
      <x:c r="F132" s="2" t="str">
        <x:v>Murata</x:v>
      </x:c>
      <x:c r="G132" s="2" t="str">
        <x:v>GRM155R71E104KE14D</x:v>
      </x:c>
      <x:c r="H132" s="2" t="str">
        <x:v>0402</x:v>
      </x:c>
      <x:c r="I132" s="16" t="n">
        <x:v>1</x:v>
      </x:c>
      <x:c r="J132" s="16" t="n">
        <x:v>4</x:v>
      </x:c>
      <x:c r="K132" s="16" t="n">
        <x:v>0</x:v>
      </x:c>
      <x:c r="L132" s="16" t="n">
        <x:v>4</x:v>
      </x:c>
      <x:c r="M132" s="16" t="n">
        <x:v>10</x:v>
      </x:c>
      <x:c r="N132" s="16" t="n">
        <x:v>0</x:v>
      </x:c>
      <x:c r="O132" s="16" t="n">
        <x:v>10</x:v>
      </x:c>
      <x:c r="P132" s="16" t="n">
        <x:v>20</x:v>
      </x:c>
      <x:c r="Q132" s="16" t="n">
        <x:v>0</x:v>
      </x:c>
      <x:c r="R132" s="16" t="n">
        <x:v>20</x:v>
      </x:c>
      <x:c r="S132" s="14" t="str">
        <x:v>NONE</x:v>
      </x:c>
      <x:c r="T132" s="2" t="str">
        <x:v>COMMON</x:v>
      </x:c>
      <x:c r="U132" s="14" t="str">
        <x:v>SELECTED_PENDING_REVIEW_A</x:v>
      </x:c>
      <x:c r="V132" s="17" t="str">
        <x:v>Authorized or traceable tier-1 channel</x:v>
      </x:c>
      <x:c r="W132" s="17" t="str">
        <x:v>Marking MPN package orientation electrical functional sample</x:v>
      </x:c>
      <x:c r="X132" s="17" t="str">
        <x:v>MAIN-AUTH-010 exact capture authority; physical pins: 1=3V3_DIGITAL;2=GND; Place at U6 pin 5</x:v>
      </x:c>
      <x:c r="Y132" s="2" t="str">
        <x:v>100 nF 25 V X7R</x:v>
      </x:c>
      <x:c r="Z132" s="2" t="str">
        <x:v>ELECTRICAL_COMPONENT</x:v>
      </x:c>
      <x:c r="AA132" s="2" t="str">
        <x:v>FITTED</x:v>
      </x:c>
      <x:c r="AB132" s="2" t="str">
        <x:v>-55..125</x:v>
      </x:c>
      <x:c r="AC132" s="14" t="str">
        <x:v>CONTROLLED_PENDING_VERIFICATION</x:v>
      </x:c>
    </x:row>
    <x:row r="133">
      <x:c r="A133" s="2" t="str">
        <x:v>MAIN-010-C74</x:v>
      </x:c>
      <x:c r="B133" s="2" t="str">
        <x:v>PCB-MAIN</x:v>
      </x:c>
      <x:c r="C133" s="14" t="str">
        <x:v>C74</x:v>
      </x:c>
      <x:c r="D133" s="2" t="str">
        <x:v>Capacitor</x:v>
      </x:c>
      <x:c r="E133" s="17" t="str">
        <x:v>J12 microSD local bypass</x:v>
      </x:c>
      <x:c r="F133" s="2" t="str">
        <x:v>Murata</x:v>
      </x:c>
      <x:c r="G133" s="2" t="str">
        <x:v>GRM155R71E104KE14D</x:v>
      </x:c>
      <x:c r="H133" s="2" t="str">
        <x:v>0402</x:v>
      </x:c>
      <x:c r="I133" s="16" t="n">
        <x:v>1</x:v>
      </x:c>
      <x:c r="J133" s="16" t="n">
        <x:v>4</x:v>
      </x:c>
      <x:c r="K133" s="16" t="n">
        <x:v>0</x:v>
      </x:c>
      <x:c r="L133" s="16" t="n">
        <x:v>4</x:v>
      </x:c>
      <x:c r="M133" s="16" t="n">
        <x:v>10</x:v>
      </x:c>
      <x:c r="N133" s="16" t="n">
        <x:v>0</x:v>
      </x:c>
      <x:c r="O133" s="16" t="n">
        <x:v>10</x:v>
      </x:c>
      <x:c r="P133" s="16" t="n">
        <x:v>20</x:v>
      </x:c>
      <x:c r="Q133" s="16" t="n">
        <x:v>0</x:v>
      </x:c>
      <x:c r="R133" s="16" t="n">
        <x:v>20</x:v>
      </x:c>
      <x:c r="S133" s="14" t="str">
        <x:v>NONE</x:v>
      </x:c>
      <x:c r="T133" s="2" t="str">
        <x:v>COMMON</x:v>
      </x:c>
      <x:c r="U133" s="14" t="str">
        <x:v>SELECTED_PENDING_REVIEW_A</x:v>
      </x:c>
      <x:c r="V133" s="17" t="str">
        <x:v>Authorized or traceable tier-1 channel</x:v>
      </x:c>
      <x:c r="W133" s="17" t="str">
        <x:v>Marking MPN package orientation electrical functional sample</x:v>
      </x:c>
      <x:c r="X133" s="17" t="str">
        <x:v>MAIN-AUTH-010 exact capture authority; physical pins: 1=3V3_DIGITAL;2=GND; J12 VDD connector-side</x:v>
      </x:c>
      <x:c r="Y133" s="2" t="str">
        <x:v>100 nF 25 V X7R</x:v>
      </x:c>
      <x:c r="Z133" s="2" t="str">
        <x:v>ELECTRICAL_COMPONENT</x:v>
      </x:c>
      <x:c r="AA133" s="2" t="str">
        <x:v>FITTED</x:v>
      </x:c>
      <x:c r="AB133" s="2" t="str">
        <x:v>-55..125</x:v>
      </x:c>
      <x:c r="AC133" s="14" t="str">
        <x:v>CONTROLLED_PENDING_VERIFICATION</x:v>
      </x:c>
    </x:row>
    <x:row r="134">
      <x:c r="A134" s="2" t="str">
        <x:v>MAIN-010-C75</x:v>
      </x:c>
      <x:c r="B134" s="2" t="str">
        <x:v>PCB-MAIN</x:v>
      </x:c>
      <x:c r="C134" s="14" t="str">
        <x:v>C75</x:v>
      </x:c>
      <x:c r="D134" s="2" t="str">
        <x:v>Capacitor</x:v>
      </x:c>
      <x:c r="E134" s="17" t="str">
        <x:v>J12 microSD local bulk</x:v>
      </x:c>
      <x:c r="F134" s="2" t="str">
        <x:v>Murata</x:v>
      </x:c>
      <x:c r="G134" s="2" t="str">
        <x:v>GRM188R61A106KE69D</x:v>
      </x:c>
      <x:c r="H134" s="2" t="str">
        <x:v>0603</x:v>
      </x:c>
      <x:c r="I134" s="16" t="n">
        <x:v>1</x:v>
      </x:c>
      <x:c r="J134" s="16" t="n">
        <x:v>4</x:v>
      </x:c>
      <x:c r="K134" s="16" t="n">
        <x:v>0</x:v>
      </x:c>
      <x:c r="L134" s="16" t="n">
        <x:v>4</x:v>
      </x:c>
      <x:c r="M134" s="16" t="n">
        <x:v>10</x:v>
      </x:c>
      <x:c r="N134" s="16" t="n">
        <x:v>0</x:v>
      </x:c>
      <x:c r="O134" s="16" t="n">
        <x:v>10</x:v>
      </x:c>
      <x:c r="P134" s="16" t="n">
        <x:v>20</x:v>
      </x:c>
      <x:c r="Q134" s="16" t="n">
        <x:v>0</x:v>
      </x:c>
      <x:c r="R134" s="16" t="n">
        <x:v>20</x:v>
      </x:c>
      <x:c r="S134" s="14" t="str">
        <x:v>NONE</x:v>
      </x:c>
      <x:c r="T134" s="2" t="str">
        <x:v>COMMON</x:v>
      </x:c>
      <x:c r="U134" s="14" t="str">
        <x:v>SELECTED_PENDING_REVIEW_A</x:v>
      </x:c>
      <x:c r="V134" s="17" t="str">
        <x:v>Authorized or traceable tier-1 channel</x:v>
      </x:c>
      <x:c r="W134" s="17" t="str">
        <x:v>Marking MPN package orientation electrical functional sample</x:v>
      </x:c>
      <x:c r="X134" s="17" t="str">
        <x:v>MAIN-AUTH-010 exact capture authority; physical pins: 1=3V3_DIGITAL;2=GND; Verify insertion transient</x:v>
      </x:c>
      <x:c r="Y134" s="2" t="str">
        <x:v>10 uF 10 V X5R</x:v>
      </x:c>
      <x:c r="Z134" s="2" t="str">
        <x:v>ELECTRICAL_COMPONENT</x:v>
      </x:c>
      <x:c r="AA134" s="2" t="str">
        <x:v>FITTED</x:v>
      </x:c>
      <x:c r="AB134" s="2" t="str">
        <x:v>-55..85</x:v>
      </x:c>
      <x:c r="AC134" s="14" t="str">
        <x:v>CONTROLLED_PENDING_VERIFICATION</x:v>
      </x:c>
    </x:row>
    <x:row r="135">
      <x:c r="A135" s="2" t="str">
        <x:v>MAIN-010-C76</x:v>
      </x:c>
      <x:c r="B135" s="2" t="str">
        <x:v>PCB-MAIN</x:v>
      </x:c>
      <x:c r="C135" s="14" t="str">
        <x:v>C76</x:v>
      </x:c>
      <x:c r="D135" s="2" t="str">
        <x:v>Capacitor</x:v>
      </x:c>
      <x:c r="E135" s="17" t="str">
        <x:v>J12 card detect hardware debounce</x:v>
      </x:c>
      <x:c r="F135" s="2" t="str">
        <x:v>Murata</x:v>
      </x:c>
      <x:c r="G135" s="2" t="str">
        <x:v>GRM155R71E103KA01D</x:v>
      </x:c>
      <x:c r="H135" s="2" t="str">
        <x:v>0402</x:v>
      </x:c>
      <x:c r="I135" s="16" t="n">
        <x:v>1</x:v>
      </x:c>
      <x:c r="J135" s="16" t="n">
        <x:v>4</x:v>
      </x:c>
      <x:c r="K135" s="16" t="n">
        <x:v>0</x:v>
      </x:c>
      <x:c r="L135" s="16" t="n">
        <x:v>4</x:v>
      </x:c>
      <x:c r="M135" s="16" t="n">
        <x:v>10</x:v>
      </x:c>
      <x:c r="N135" s="16" t="n">
        <x:v>0</x:v>
      </x:c>
      <x:c r="O135" s="16" t="n">
        <x:v>10</x:v>
      </x:c>
      <x:c r="P135" s="16" t="n">
        <x:v>20</x:v>
      </x:c>
      <x:c r="Q135" s="16" t="n">
        <x:v>0</x:v>
      </x:c>
      <x:c r="R135" s="16" t="n">
        <x:v>20</x:v>
      </x:c>
      <x:c r="S135" s="14" t="str">
        <x:v>NONE</x:v>
      </x:c>
      <x:c r="T135" s="2" t="str">
        <x:v>COMMON</x:v>
      </x:c>
      <x:c r="U135" s="14" t="str">
        <x:v>SELECTED_PENDING_REVIEW_A</x:v>
      </x:c>
      <x:c r="V135" s="17" t="str">
        <x:v>Authorized or traceable tier-1 channel</x:v>
      </x:c>
      <x:c r="W135" s="17" t="str">
        <x:v>Marking MPN package orientation electrical functional sample</x:v>
      </x:c>
      <x:c r="X135" s="17" t="str">
        <x:v>MAIN-AUTH-010 exact capture authority; physical pins: 1=SD_DET;2=GND; Firmware debounce remains mandatory</x:v>
      </x:c>
      <x:c r="Y135" s="2" t="str">
        <x:v>10 nF 25 V X7R</x:v>
      </x:c>
      <x:c r="Z135" s="2" t="str">
        <x:v>ELECTRICAL_COMPONENT</x:v>
      </x:c>
      <x:c r="AA135" s="2" t="str">
        <x:v>FITTED</x:v>
      </x:c>
      <x:c r="AB135" s="2" t="str">
        <x:v>-55..125</x:v>
      </x:c>
      <x:c r="AC135" s="14" t="str">
        <x:v>CONTROLLED_PENDING_VERIFICATION</x:v>
      </x:c>
    </x:row>
    <x:row r="136">
      <x:c r="A136" s="2" t="str">
        <x:v>MAIN-010-C77</x:v>
      </x:c>
      <x:c r="B136" s="2" t="str">
        <x:v>PCB-MAIN</x:v>
      </x:c>
      <x:c r="C136" s="14" t="str">
        <x:v>C77</x:v>
      </x:c>
      <x:c r="D136" s="2" t="str">
        <x:v>Capacitor</x:v>
      </x:c>
      <x:c r="E136" s="17" t="str">
        <x:v>Controlled USB shield AC bond</x:v>
      </x:c>
      <x:c r="F136" s="2" t="str">
        <x:v>Murata</x:v>
      </x:c>
      <x:c r="G136" s="2" t="str">
        <x:v>GRM155R72A472KA01D</x:v>
      </x:c>
      <x:c r="H136" s="2" t="str">
        <x:v>0402</x:v>
      </x:c>
      <x:c r="I136" s="16" t="n">
        <x:v>1</x:v>
      </x:c>
      <x:c r="J136" s="16" t="n">
        <x:v>4</x:v>
      </x:c>
      <x:c r="K136" s="16" t="n">
        <x:v>0</x:v>
      </x:c>
      <x:c r="L136" s="16" t="n">
        <x:v>4</x:v>
      </x:c>
      <x:c r="M136" s="16" t="n">
        <x:v>10</x:v>
      </x:c>
      <x:c r="N136" s="16" t="n">
        <x:v>0</x:v>
      </x:c>
      <x:c r="O136" s="16" t="n">
        <x:v>10</x:v>
      </x:c>
      <x:c r="P136" s="16" t="n">
        <x:v>20</x:v>
      </x:c>
      <x:c r="Q136" s="16" t="n">
        <x:v>0</x:v>
      </x:c>
      <x:c r="R136" s="16" t="n">
        <x:v>20</x:v>
      </x:c>
      <x:c r="S136" s="14" t="str">
        <x:v>NONE</x:v>
      </x:c>
      <x:c r="T136" s="2" t="str">
        <x:v>COMMON</x:v>
      </x:c>
      <x:c r="U136" s="14" t="str">
        <x:v>SELECTED_PENDING_REVIEW_A</x:v>
      </x:c>
      <x:c r="V136" s="17" t="str">
        <x:v>Authorized or traceable tier-1 channel</x:v>
      </x:c>
      <x:c r="W136" s="17" t="str">
        <x:v>Marking MPN package orientation electrical functional sample</x:v>
      </x:c>
      <x:c r="X136" s="17" t="str">
        <x:v>MAIN-AUTH-010 exact capture authority; physical pins: 1=USB_SHIELD;2=GND; Parallel with R97 and optional R98</x:v>
      </x:c>
      <x:c r="Y136" s="2" t="str">
        <x:v>4.7 nF 100 V X7R</x:v>
      </x:c>
      <x:c r="Z136" s="2" t="str">
        <x:v>ELECTRICAL_COMPONENT</x:v>
      </x:c>
      <x:c r="AA136" s="2" t="str">
        <x:v>FITTED</x:v>
      </x:c>
      <x:c r="AB136" s="2" t="str">
        <x:v>-55..125</x:v>
      </x:c>
      <x:c r="AC136" s="14" t="str">
        <x:v>CONTROLLED_PENDING_VERIFICATION</x:v>
      </x:c>
    </x:row>
    <x:row r="137">
      <x:c r="A137" s="2" t="str">
        <x:v>MAIN-010-C78</x:v>
      </x:c>
      <x:c r="B137" s="2" t="str">
        <x:v>PCB-MAIN</x:v>
      </x:c>
      <x:c r="C137" s="14" t="str">
        <x:v>C78</x:v>
      </x:c>
      <x:c r="D137" s="2" t="str">
        <x:v>Capacitor</x:v>
      </x:c>
      <x:c r="E137" s="17" t="str">
        <x:v>Tamper input hardware debounce after R100</x:v>
      </x:c>
      <x:c r="F137" s="2" t="str">
        <x:v>Murata</x:v>
      </x:c>
      <x:c r="G137" s="2" t="str">
        <x:v>GRM155R71E103KA01D</x:v>
      </x:c>
      <x:c r="H137" s="2" t="str">
        <x:v>0402</x:v>
      </x:c>
      <x:c r="I137" s="16" t="n">
        <x:v>1</x:v>
      </x:c>
      <x:c r="J137" s="16" t="n">
        <x:v>4</x:v>
      </x:c>
      <x:c r="K137" s="16" t="n">
        <x:v>0</x:v>
      </x:c>
      <x:c r="L137" s="16" t="n">
        <x:v>4</x:v>
      </x:c>
      <x:c r="M137" s="16" t="n">
        <x:v>10</x:v>
      </x:c>
      <x:c r="N137" s="16" t="n">
        <x:v>0</x:v>
      </x:c>
      <x:c r="O137" s="16" t="n">
        <x:v>10</x:v>
      </x:c>
      <x:c r="P137" s="16" t="n">
        <x:v>20</x:v>
      </x:c>
      <x:c r="Q137" s="16" t="n">
        <x:v>0</x:v>
      </x:c>
      <x:c r="R137" s="16" t="n">
        <x:v>20</x:v>
      </x:c>
      <x:c r="S137" s="14" t="str">
        <x:v>NONE</x:v>
      </x:c>
      <x:c r="T137" s="2" t="str">
        <x:v>COMMON</x:v>
      </x:c>
      <x:c r="U137" s="14" t="str">
        <x:v>SELECTED_PENDING_REVIEW_A</x:v>
      </x:c>
      <x:c r="V137" s="17" t="str">
        <x:v>Authorized or traceable tier-1 channel</x:v>
      </x:c>
      <x:c r="W137" s="17" t="str">
        <x:v>Marking MPN package orientation electrical functional sample</x:v>
      </x:c>
      <x:c r="X137" s="17" t="str">
        <x:v>MAIN-AUTH-010 exact capture authority; physical pins: 1=TAMPER_IN_U1;2=GND; Firmware debounce and open-circuit alarm remain mandatory</x:v>
      </x:c>
      <x:c r="Y137" s="2" t="str">
        <x:v>10 nF 25 V X7R</x:v>
      </x:c>
      <x:c r="Z137" s="2" t="str">
        <x:v>ELECTRICAL_COMPONENT</x:v>
      </x:c>
      <x:c r="AA137" s="2" t="str">
        <x:v>FITTED</x:v>
      </x:c>
      <x:c r="AB137" s="2" t="str">
        <x:v>-55..125</x:v>
      </x:c>
      <x:c r="AC137" s="14" t="str">
        <x:v>CONTROLLED_PENDING_VERIFICATION</x:v>
      </x:c>
    </x:row>
    <x:row r="138">
      <x:c r="A138" s="2" t="str">
        <x:v>MAIN-010-C79</x:v>
      </x:c>
      <x:c r="B138" s="2" t="str">
        <x:v>PCB-MAIN</x:v>
      </x:c>
      <x:c r="C138" s="14" t="str">
        <x:v>C79</x:v>
      </x:c>
      <x:c r="D138" s="2" t="str">
        <x:v>Capacitor</x:v>
      </x:c>
      <x:c r="E138" s="17" t="str">
        <x:v>Cellular pi network module-side shunt</x:v>
      </x:c>
      <x:c r="F138" s="2" t="str">
        <x:v>Murata</x:v>
      </x:c>
      <x:c r="G138" s="2" t="str">
        <x:v>GRM1555C1H100JA01D</x:v>
      </x:c>
      <x:c r="H138" s="2" t="str">
        <x:v>0402</x:v>
      </x:c>
      <x:c r="I138" s="16" t="n">
        <x:v>0</x:v>
      </x:c>
      <x:c r="J138" s="16" t="n">
        <x:v>0</x:v>
      </x:c>
      <x:c r="K138" s="16" t="n">
        <x:v>0</x:v>
      </x:c>
      <x:c r="L138" s="16" t="n">
        <x:v>0</x:v>
      </x:c>
      <x:c r="M138" s="16" t="n">
        <x:v>0</x:v>
      </x:c>
      <x:c r="N138" s="16" t="n">
        <x:v>0</x:v>
      </x:c>
      <x:c r="O138" s="16" t="n">
        <x:v>0</x:v>
      </x:c>
      <x:c r="P138" s="16" t="n">
        <x:v>0</x:v>
      </x:c>
      <x:c r="Q138" s="16" t="n">
        <x:v>0</x:v>
      </x:c>
      <x:c r="R138" s="16" t="n">
        <x:v>0</x:v>
      </x:c>
      <x:c r="S138" s="14" t="str">
        <x:v>NONE</x:v>
      </x:c>
      <x:c r="T138" s="2" t="str">
        <x:v>COMMON</x:v>
      </x:c>
      <x:c r="U138" s="14" t="str">
        <x:v>CONTROLLED_DNP</x:v>
      </x:c>
      <x:c r="V138" s="17" t="str">
        <x:v>Authorized or traceable tier-1 channel</x:v>
      </x:c>
      <x:c r="W138" s="17" t="str">
        <x:v>Marking MPN package orientation electrical functional sample</x:v>
      </x:c>
      <x:c r="X138" s="17" t="str">
        <x:v>MAIN-AUTH-010 exact capture authority; physical pins: 1=CELL_RF;2=GND_MODEM; Populate only from signed VNA evidence</x:v>
      </x:c>
      <x:c r="Y138" s="2" t="str">
        <x:v>10 pF 50 V C0G</x:v>
      </x:c>
      <x:c r="Z138" s="2" t="str">
        <x:v>ELECTRICAL_COMPONENT</x:v>
      </x:c>
      <x:c r="AA138" s="2" t="str">
        <x:v>DNP</x:v>
      </x:c>
      <x:c r="AB138" s="2" t="str">
        <x:v>-55..125</x:v>
      </x:c>
      <x:c r="AC138" s="14" t="str">
        <x:v>CONTROLLED_DNP</x:v>
      </x:c>
    </x:row>
    <x:row r="139">
      <x:c r="A139" s="2" t="str">
        <x:v>MAIN-010-C80</x:v>
      </x:c>
      <x:c r="B139" s="2" t="str">
        <x:v>PCB-MAIN</x:v>
      </x:c>
      <x:c r="C139" s="14" t="str">
        <x:v>C80</x:v>
      </x:c>
      <x:c r="D139" s="2" t="str">
        <x:v>Capacitor</x:v>
      </x:c>
      <x:c r="E139" s="17" t="str">
        <x:v>Cellular pi network connector-side shunt</x:v>
      </x:c>
      <x:c r="F139" s="2" t="str">
        <x:v>Murata</x:v>
      </x:c>
      <x:c r="G139" s="2" t="str">
        <x:v>GRM1555C1H100JA01D</x:v>
      </x:c>
      <x:c r="H139" s="2" t="str">
        <x:v>0402</x:v>
      </x:c>
      <x:c r="I139" s="16" t="n">
        <x:v>0</x:v>
      </x:c>
      <x:c r="J139" s="16" t="n">
        <x:v>0</x:v>
      </x:c>
      <x:c r="K139" s="16" t="n">
        <x:v>0</x:v>
      </x:c>
      <x:c r="L139" s="16" t="n">
        <x:v>0</x:v>
      </x:c>
      <x:c r="M139" s="16" t="n">
        <x:v>0</x:v>
      </x:c>
      <x:c r="N139" s="16" t="n">
        <x:v>0</x:v>
      </x:c>
      <x:c r="O139" s="16" t="n">
        <x:v>0</x:v>
      </x:c>
      <x:c r="P139" s="16" t="n">
        <x:v>0</x:v>
      </x:c>
      <x:c r="Q139" s="16" t="n">
        <x:v>0</x:v>
      </x:c>
      <x:c r="R139" s="16" t="n">
        <x:v>0</x:v>
      </x:c>
      <x:c r="S139" s="14" t="str">
        <x:v>NONE</x:v>
      </x:c>
      <x:c r="T139" s="2" t="str">
        <x:v>COMMON</x:v>
      </x:c>
      <x:c r="U139" s="14" t="str">
        <x:v>CONTROLLED_DNP</x:v>
      </x:c>
      <x:c r="V139" s="17" t="str">
        <x:v>Authorized or traceable tier-1 channel</x:v>
      </x:c>
      <x:c r="W139" s="17" t="str">
        <x:v>Marking MPN package orientation electrical functional sample</x:v>
      </x:c>
      <x:c r="X139" s="17" t="str">
        <x:v>MAIN-AUTH-010 exact capture authority; physical pins: 1=CELL_RF_ANT;2=GND_MODEM; Populate only from signed VNA evidence</x:v>
      </x:c>
      <x:c r="Y139" s="2" t="str">
        <x:v>10 pF 50 V C0G</x:v>
      </x:c>
      <x:c r="Z139" s="2" t="str">
        <x:v>ELECTRICAL_COMPONENT</x:v>
      </x:c>
      <x:c r="AA139" s="2" t="str">
        <x:v>DNP</x:v>
      </x:c>
      <x:c r="AB139" s="2" t="str">
        <x:v>-55..125</x:v>
      </x:c>
      <x:c r="AC139" s="14" t="str">
        <x:v>CONTROLLED_DNP</x:v>
      </x:c>
    </x:row>
    <x:row r="140">
      <x:c r="A140" s="2" t="str">
        <x:v>MAIN-010-R1</x:v>
      </x:c>
      <x:c r="B140" s="2" t="str">
        <x:v>PCB-MAIN</x:v>
      </x:c>
      <x:c r="C140" s="14" t="str">
        <x:v>R1</x:v>
      </x:c>
      <x:c r="D140" s="2" t="str">
        <x:v>Resistor</x:v>
      </x:c>
      <x:c r="E140" s="17" t="str">
        <x:v>U1 normal reset pull-up</x:v>
      </x:c>
      <x:c r="F140" s="2" t="str">
        <x:v>Panasonic</x:v>
      </x:c>
      <x:c r="G140" s="2" t="str">
        <x:v>ERJ-2RKF1002X</x:v>
      </x:c>
      <x:c r="H140" s="2" t="str">
        <x:v>0402</x:v>
      </x:c>
      <x:c r="I140" s="16" t="n">
        <x:v>1</x:v>
      </x:c>
      <x:c r="J140" s="16" t="n">
        <x:v>4</x:v>
      </x:c>
      <x:c r="K140" s="16" t="n">
        <x:v>0</x:v>
      </x:c>
      <x:c r="L140" s="16" t="n">
        <x:v>4</x:v>
      </x:c>
      <x:c r="M140" s="16" t="n">
        <x:v>10</x:v>
      </x:c>
      <x:c r="N140" s="16" t="n">
        <x:v>0</x:v>
      </x:c>
      <x:c r="O140" s="16" t="n">
        <x:v>10</x:v>
      </x:c>
      <x:c r="P140" s="16" t="n">
        <x:v>20</x:v>
      </x:c>
      <x:c r="Q140" s="16" t="n">
        <x:v>0</x:v>
      </x:c>
      <x:c r="R140" s="16" t="n">
        <x:v>20</x:v>
      </x:c>
      <x:c r="S140" s="14" t="str">
        <x:v>NONE</x:v>
      </x:c>
      <x:c r="T140" s="2" t="str">
        <x:v>COMMON</x:v>
      </x:c>
      <x:c r="U140" s="14" t="str">
        <x:v>SELECTED_PENDING_REVIEW_A</x:v>
      </x:c>
      <x:c r="V140" s="17" t="str">
        <x:v>Authorized or traceable tier-1 channel</x:v>
      </x:c>
      <x:c r="W140" s="17" t="str">
        <x:v>Marking MPN package orientation electrical functional sample</x:v>
      </x:c>
      <x:c r="X140" s="17" t="str">
        <x:v>MAIN-AUTH-010 exact capture authority; physical pins: 1=3V3_DIGITAL;2=NRST; Works with C18 and direct SWD fixture access</x:v>
      </x:c>
      <x:c r="Y140" s="2" t="str">
        <x:v>10 kOhm 1%</x:v>
      </x:c>
      <x:c r="Z140" s="2" t="str">
        <x:v>ELECTRICAL_COMPONENT</x:v>
      </x:c>
      <x:c r="AA140" s="2" t="str">
        <x:v>FITTED</x:v>
      </x:c>
      <x:c r="AB140" s="2" t="str">
        <x:v>-55..155</x:v>
      </x:c>
      <x:c r="AC140" s="14" t="str">
        <x:v>CONTROLLED_PENDING_VERIFICATION</x:v>
      </x:c>
    </x:row>
    <x:row r="141">
      <x:c r="A141" s="2" t="str">
        <x:v>MAIN-010-R2</x:v>
      </x:c>
      <x:c r="B141" s="2" t="str">
        <x:v>PCB-MAIN</x:v>
      </x:c>
      <x:c r="C141" s="14" t="str">
        <x:v>R2</x:v>
      </x:c>
      <x:c r="D141" s="2" t="str">
        <x:v>Resistor</x:v>
      </x:c>
      <x:c r="E141" s="17" t="str">
        <x:v>U1 BOOT0 normal-state pull-down</x:v>
      </x:c>
      <x:c r="F141" s="2" t="str">
        <x:v>Panasonic</x:v>
      </x:c>
      <x:c r="G141" s="2" t="str">
        <x:v>ERJ-2RKF1003X</x:v>
      </x:c>
      <x:c r="H141" s="2" t="str">
        <x:v>0402</x:v>
      </x:c>
      <x:c r="I141" s="16" t="n">
        <x:v>1</x:v>
      </x:c>
      <x:c r="J141" s="16" t="n">
        <x:v>4</x:v>
      </x:c>
      <x:c r="K141" s="16" t="n">
        <x:v>0</x:v>
      </x:c>
      <x:c r="L141" s="16" t="n">
        <x:v>4</x:v>
      </x:c>
      <x:c r="M141" s="16" t="n">
        <x:v>10</x:v>
      </x:c>
      <x:c r="N141" s="16" t="n">
        <x:v>0</x:v>
      </x:c>
      <x:c r="O141" s="16" t="n">
        <x:v>10</x:v>
      </x:c>
      <x:c r="P141" s="16" t="n">
        <x:v>20</x:v>
      </x:c>
      <x:c r="Q141" s="16" t="n">
        <x:v>0</x:v>
      </x:c>
      <x:c r="R141" s="16" t="n">
        <x:v>20</x:v>
      </x:c>
      <x:c r="S141" s="14" t="str">
        <x:v>NONE</x:v>
      </x:c>
      <x:c r="T141" s="2" t="str">
        <x:v>COMMON</x:v>
      </x:c>
      <x:c r="U141" s="14" t="str">
        <x:v>SELECTED_PENDING_REVIEW_A</x:v>
      </x:c>
      <x:c r="V141" s="17" t="str">
        <x:v>Authorized or traceable tier-1 channel</x:v>
      </x:c>
      <x:c r="W141" s="17" t="str">
        <x:v>Marking MPN package orientation electrical functional sample</x:v>
      </x:c>
      <x:c r="X141" s="17" t="str">
        <x:v>MAIN-AUTH-010 exact capture authority; physical pins: 1=BOOT0;2=GND; Fixture may drive only while reset is asserted</x:v>
      </x:c>
      <x:c r="Y141" s="2" t="str">
        <x:v>100 kOhm 1%</x:v>
      </x:c>
      <x:c r="Z141" s="2" t="str">
        <x:v>ELECTRICAL_COMPONENT</x:v>
      </x:c>
      <x:c r="AA141" s="2" t="str">
        <x:v>FITTED</x:v>
      </x:c>
      <x:c r="AB141" s="2" t="str">
        <x:v>-55..155</x:v>
      </x:c>
      <x:c r="AC141" s="14" t="str">
        <x:v>CONTROLLED_PENDING_VERIFICATION</x:v>
      </x:c>
    </x:row>
    <x:row r="142">
      <x:c r="A142" s="2" t="str">
        <x:v>MAIN-010-R3</x:v>
      </x:c>
      <x:c r="B142" s="2" t="str">
        <x:v>PCB-MAIN</x:v>
      </x:c>
      <x:c r="C142" s="14" t="str">
        <x:v>R3</x:v>
      </x:c>
      <x:c r="D142" s="2" t="str">
        <x:v>Resistor</x:v>
      </x:c>
      <x:c r="E142" s="17" t="str">
        <x:v>Rev.A strap bit zero fitted pull-down</x:v>
      </x:c>
      <x:c r="F142" s="2" t="str">
        <x:v>Panasonic</x:v>
      </x:c>
      <x:c r="G142" s="2" t="str">
        <x:v>ERJ-2RKF1003X</x:v>
      </x:c>
      <x:c r="H142" s="2" t="str">
        <x:v>0402</x:v>
      </x:c>
      <x:c r="I142" s="16" t="n">
        <x:v>1</x:v>
      </x:c>
      <x:c r="J142" s="16" t="n">
        <x:v>4</x:v>
      </x:c>
      <x:c r="K142" s="16" t="n">
        <x:v>0</x:v>
      </x:c>
      <x:c r="L142" s="16" t="n">
        <x:v>4</x:v>
      </x:c>
      <x:c r="M142" s="16" t="n">
        <x:v>10</x:v>
      </x:c>
      <x:c r="N142" s="16" t="n">
        <x:v>0</x:v>
      </x:c>
      <x:c r="O142" s="16" t="n">
        <x:v>10</x:v>
      </x:c>
      <x:c r="P142" s="16" t="n">
        <x:v>20</x:v>
      </x:c>
      <x:c r="Q142" s="16" t="n">
        <x:v>0</x:v>
      </x:c>
      <x:c r="R142" s="16" t="n">
        <x:v>20</x:v>
      </x:c>
      <x:c r="S142" s="14" t="str">
        <x:v>NONE</x:v>
      </x:c>
      <x:c r="T142" s="2" t="str">
        <x:v>COMMON</x:v>
      </x:c>
      <x:c r="U142" s="14" t="str">
        <x:v>SELECTED_PENDING_REVIEW_A</x:v>
      </x:c>
      <x:c r="V142" s="17" t="str">
        <x:v>Authorized or traceable tier-1 channel</x:v>
      </x:c>
      <x:c r="W142" s="17" t="str">
        <x:v>Marking MPN package orientation electrical functional sample</x:v>
      </x:c>
      <x:c r="X142" s="17" t="str">
        <x:v>MAIN-AUTH-010 exact capture authority; physical pins: 1=HW_REV0;2=GND; Rev.A encoding is binary 00</x:v>
      </x:c>
      <x:c r="Y142" s="2" t="str">
        <x:v>100 kOhm 1%</x:v>
      </x:c>
      <x:c r="Z142" s="2" t="str">
        <x:v>ELECTRICAL_COMPONENT</x:v>
      </x:c>
      <x:c r="AA142" s="2" t="str">
        <x:v>FITTED</x:v>
      </x:c>
      <x:c r="AB142" s="2" t="str">
        <x:v>-55..155</x:v>
      </x:c>
      <x:c r="AC142" s="14" t="str">
        <x:v>CONTROLLED_PENDING_VERIFICATION</x:v>
      </x:c>
    </x:row>
    <x:row r="143">
      <x:c r="A143" s="2" t="str">
        <x:v>MAIN-010-R4</x:v>
      </x:c>
      <x:c r="B143" s="2" t="str">
        <x:v>PCB-MAIN</x:v>
      </x:c>
      <x:c r="C143" s="14" t="str">
        <x:v>R4</x:v>
      </x:c>
      <x:c r="D143" s="2" t="str">
        <x:v>Resistor</x:v>
      </x:c>
      <x:c r="E143" s="17" t="str">
        <x:v>Revision bit zero alternate pull-up</x:v>
      </x:c>
      <x:c r="F143" s="2" t="str">
        <x:v>Panasonic</x:v>
      </x:c>
      <x:c r="G143" s="2" t="str">
        <x:v>ERJ-2RKF1003X</x:v>
      </x:c>
      <x:c r="H143" s="2" t="str">
        <x:v>0402</x:v>
      </x:c>
      <x:c r="I143" s="16" t="n">
        <x:v>0</x:v>
      </x:c>
      <x:c r="J143" s="16" t="n">
        <x:v>0</x:v>
      </x:c>
      <x:c r="K143" s="16" t="n">
        <x:v>0</x:v>
      </x:c>
      <x:c r="L143" s="16" t="n">
        <x:v>0</x:v>
      </x:c>
      <x:c r="M143" s="16" t="n">
        <x:v>0</x:v>
      </x:c>
      <x:c r="N143" s="16" t="n">
        <x:v>0</x:v>
      </x:c>
      <x:c r="O143" s="16" t="n">
        <x:v>0</x:v>
      </x:c>
      <x:c r="P143" s="16" t="n">
        <x:v>0</x:v>
      </x:c>
      <x:c r="Q143" s="16" t="n">
        <x:v>0</x:v>
      </x:c>
      <x:c r="R143" s="16" t="n">
        <x:v>0</x:v>
      </x:c>
      <x:c r="S143" s="14" t="str">
        <x:v>NONE</x:v>
      </x:c>
      <x:c r="T143" s="2" t="str">
        <x:v>COMMON</x:v>
      </x:c>
      <x:c r="U143" s="14" t="str">
        <x:v>CONTROLLED_DNP</x:v>
      </x:c>
      <x:c r="V143" s="17" t="str">
        <x:v>Authorized or traceable tier-1 channel</x:v>
      </x:c>
      <x:c r="W143" s="17" t="str">
        <x:v>Marking MPN package orientation electrical functional sample</x:v>
      </x:c>
      <x:c r="X143" s="17" t="str">
        <x:v>MAIN-AUTH-010 exact capture authority; physical pins: 1=3V3_DIGITAL;2=HW_REV0; Never populate together with R3</x:v>
      </x:c>
      <x:c r="Y143" s="2" t="str">
        <x:v>100 kOhm 1%</x:v>
      </x:c>
      <x:c r="Z143" s="2" t="str">
        <x:v>ELECTRICAL_COMPONENT</x:v>
      </x:c>
      <x:c r="AA143" s="2" t="str">
        <x:v>DNP</x:v>
      </x:c>
      <x:c r="AB143" s="2" t="str">
        <x:v>-55..155</x:v>
      </x:c>
      <x:c r="AC143" s="14" t="str">
        <x:v>CONTROLLED_DNP</x:v>
      </x:c>
    </x:row>
    <x:row r="144">
      <x:c r="A144" s="2" t="str">
        <x:v>MAIN-010-R5</x:v>
      </x:c>
      <x:c r="B144" s="2" t="str">
        <x:v>PCB-MAIN</x:v>
      </x:c>
      <x:c r="C144" s="14" t="str">
        <x:v>R5</x:v>
      </x:c>
      <x:c r="D144" s="2" t="str">
        <x:v>Resistor</x:v>
      </x:c>
      <x:c r="E144" s="17" t="str">
        <x:v>Rev.A strap bit one fitted pull-down</x:v>
      </x:c>
      <x:c r="F144" s="2" t="str">
        <x:v>Panasonic</x:v>
      </x:c>
      <x:c r="G144" s="2" t="str">
        <x:v>ERJ-2RKF1003X</x:v>
      </x:c>
      <x:c r="H144" s="2" t="str">
        <x:v>0402</x:v>
      </x:c>
      <x:c r="I144" s="16" t="n">
        <x:v>1</x:v>
      </x:c>
      <x:c r="J144" s="16" t="n">
        <x:v>4</x:v>
      </x:c>
      <x:c r="K144" s="16" t="n">
        <x:v>0</x:v>
      </x:c>
      <x:c r="L144" s="16" t="n">
        <x:v>4</x:v>
      </x:c>
      <x:c r="M144" s="16" t="n">
        <x:v>10</x:v>
      </x:c>
      <x:c r="N144" s="16" t="n">
        <x:v>0</x:v>
      </x:c>
      <x:c r="O144" s="16" t="n">
        <x:v>10</x:v>
      </x:c>
      <x:c r="P144" s="16" t="n">
        <x:v>20</x:v>
      </x:c>
      <x:c r="Q144" s="16" t="n">
        <x:v>0</x:v>
      </x:c>
      <x:c r="R144" s="16" t="n">
        <x:v>20</x:v>
      </x:c>
      <x:c r="S144" s="14" t="str">
        <x:v>NONE</x:v>
      </x:c>
      <x:c r="T144" s="2" t="str">
        <x:v>COMMON</x:v>
      </x:c>
      <x:c r="U144" s="14" t="str">
        <x:v>SELECTED_PENDING_REVIEW_A</x:v>
      </x:c>
      <x:c r="V144" s="17" t="str">
        <x:v>Authorized or traceable tier-1 channel</x:v>
      </x:c>
      <x:c r="W144" s="17" t="str">
        <x:v>Marking MPN package orientation electrical functional sample</x:v>
      </x:c>
      <x:c r="X144" s="17" t="str">
        <x:v>MAIN-AUTH-010 exact capture authority; physical pins: 1=HW_REV1;2=GND; Rev.A encoding is binary 00</x:v>
      </x:c>
      <x:c r="Y144" s="2" t="str">
        <x:v>100 kOhm 1%</x:v>
      </x:c>
      <x:c r="Z144" s="2" t="str">
        <x:v>ELECTRICAL_COMPONENT</x:v>
      </x:c>
      <x:c r="AA144" s="2" t="str">
        <x:v>FITTED</x:v>
      </x:c>
      <x:c r="AB144" s="2" t="str">
        <x:v>-55..155</x:v>
      </x:c>
      <x:c r="AC144" s="14" t="str">
        <x:v>CONTROLLED_PENDING_VERIFICATION</x:v>
      </x:c>
    </x:row>
    <x:row r="145">
      <x:c r="A145" s="2" t="str">
        <x:v>MAIN-010-R6</x:v>
      </x:c>
      <x:c r="B145" s="2" t="str">
        <x:v>PCB-MAIN</x:v>
      </x:c>
      <x:c r="C145" s="14" t="str">
        <x:v>R6</x:v>
      </x:c>
      <x:c r="D145" s="2" t="str">
        <x:v>Resistor</x:v>
      </x:c>
      <x:c r="E145" s="17" t="str">
        <x:v>Revision bit one alternate pull-up</x:v>
      </x:c>
      <x:c r="F145" s="2" t="str">
        <x:v>Panasonic</x:v>
      </x:c>
      <x:c r="G145" s="2" t="str">
        <x:v>ERJ-2RKF1003X</x:v>
      </x:c>
      <x:c r="H145" s="2" t="str">
        <x:v>0402</x:v>
      </x:c>
      <x:c r="I145" s="16" t="n">
        <x:v>0</x:v>
      </x:c>
      <x:c r="J145" s="16" t="n">
        <x:v>0</x:v>
      </x:c>
      <x:c r="K145" s="16" t="n">
        <x:v>0</x:v>
      </x:c>
      <x:c r="L145" s="16" t="n">
        <x:v>0</x:v>
      </x:c>
      <x:c r="M145" s="16" t="n">
        <x:v>0</x:v>
      </x:c>
      <x:c r="N145" s="16" t="n">
        <x:v>0</x:v>
      </x:c>
      <x:c r="O145" s="16" t="n">
        <x:v>0</x:v>
      </x:c>
      <x:c r="P145" s="16" t="n">
        <x:v>0</x:v>
      </x:c>
      <x:c r="Q145" s="16" t="n">
        <x:v>0</x:v>
      </x:c>
      <x:c r="R145" s="16" t="n">
        <x:v>0</x:v>
      </x:c>
      <x:c r="S145" s="14" t="str">
        <x:v>NONE</x:v>
      </x:c>
      <x:c r="T145" s="2" t="str">
        <x:v>COMMON</x:v>
      </x:c>
      <x:c r="U145" s="14" t="str">
        <x:v>CONTROLLED_DNP</x:v>
      </x:c>
      <x:c r="V145" s="17" t="str">
        <x:v>Authorized or traceable tier-1 channel</x:v>
      </x:c>
      <x:c r="W145" s="17" t="str">
        <x:v>Marking MPN package orientation electrical functional sample</x:v>
      </x:c>
      <x:c r="X145" s="17" t="str">
        <x:v>MAIN-AUTH-010 exact capture authority; physical pins: 1=3V3_DIGITAL;2=HW_REV1; Never populate together with R5</x:v>
      </x:c>
      <x:c r="Y145" s="2" t="str">
        <x:v>100 kOhm 1%</x:v>
      </x:c>
      <x:c r="Z145" s="2" t="str">
        <x:v>ELECTRICAL_COMPONENT</x:v>
      </x:c>
      <x:c r="AA145" s="2" t="str">
        <x:v>DNP</x:v>
      </x:c>
      <x:c r="AB145" s="2" t="str">
        <x:v>-55..155</x:v>
      </x:c>
      <x:c r="AC145" s="14" t="str">
        <x:v>CONTROLLED_DNP</x:v>
      </x:c>
    </x:row>
    <x:row r="146">
      <x:c r="A146" s="2" t="str">
        <x:v>MAIN-010-R7</x:v>
      </x:c>
      <x:c r="B146" s="2" t="str">
        <x:v>PCB-MAIN</x:v>
      </x:c>
      <x:c r="C146" s="14" t="str">
        <x:v>R7</x:v>
      </x:c>
      <x:c r="D146" s="2" t="str">
        <x:v>Resistor</x:v>
      </x:c>
      <x:c r="E146" s="17" t="str">
        <x:v>U2 chip-select safe-state pull-up</x:v>
      </x:c>
      <x:c r="F146" s="2" t="str">
        <x:v>Panasonic</x:v>
      </x:c>
      <x:c r="G146" s="2" t="str">
        <x:v>ERJ-2RKF1002X</x:v>
      </x:c>
      <x:c r="H146" s="2" t="str">
        <x:v>0402</x:v>
      </x:c>
      <x:c r="I146" s="16" t="n">
        <x:v>1</x:v>
      </x:c>
      <x:c r="J146" s="16" t="n">
        <x:v>4</x:v>
      </x:c>
      <x:c r="K146" s="16" t="n">
        <x:v>0</x:v>
      </x:c>
      <x:c r="L146" s="16" t="n">
        <x:v>4</x:v>
      </x:c>
      <x:c r="M146" s="16" t="n">
        <x:v>10</x:v>
      </x:c>
      <x:c r="N146" s="16" t="n">
        <x:v>0</x:v>
      </x:c>
      <x:c r="O146" s="16" t="n">
        <x:v>10</x:v>
      </x:c>
      <x:c r="P146" s="16" t="n">
        <x:v>20</x:v>
      </x:c>
      <x:c r="Q146" s="16" t="n">
        <x:v>0</x:v>
      </x:c>
      <x:c r="R146" s="16" t="n">
        <x:v>20</x:v>
      </x:c>
      <x:c r="S146" s="14" t="str">
        <x:v>NONE</x:v>
      </x:c>
      <x:c r="T146" s="2" t="str">
        <x:v>COMMON</x:v>
      </x:c>
      <x:c r="U146" s="14" t="str">
        <x:v>SELECTED_PENDING_REVIEW_A</x:v>
      </x:c>
      <x:c r="V146" s="17" t="str">
        <x:v>Authorized or traceable tier-1 channel</x:v>
      </x:c>
      <x:c r="W146" s="17" t="str">
        <x:v>Marking MPN package orientation electrical functional sample</x:v>
      </x:c>
      <x:c r="X146" s="17" t="str">
        <x:v>MAIN-AUTH-010 exact capture authority; physical pins: 1=3V3_DIGITAL;2=NOR_NCS_U2; Device remains deselected during MCU reset</x:v>
      </x:c>
      <x:c r="Y146" s="2" t="str">
        <x:v>10 kOhm 1%</x:v>
      </x:c>
      <x:c r="Z146" s="2" t="str">
        <x:v>ELECTRICAL_COMPONENT</x:v>
      </x:c>
      <x:c r="AA146" s="2" t="str">
        <x:v>FITTED</x:v>
      </x:c>
      <x:c r="AB146" s="2" t="str">
        <x:v>-55..155</x:v>
      </x:c>
      <x:c r="AC146" s="14" t="str">
        <x:v>CONTROLLED_PENDING_VERIFICATION</x:v>
      </x:c>
    </x:row>
    <x:row r="147">
      <x:c r="A147" s="2" t="str">
        <x:v>MAIN-010-R8</x:v>
      </x:c>
      <x:c r="B147" s="2" t="str">
        <x:v>PCB-MAIN</x:v>
      </x:c>
      <x:c r="C147" s="14" t="str">
        <x:v>R8</x:v>
      </x:c>
      <x:c r="D147" s="2" t="str">
        <x:v>Resistor</x:v>
      </x:c>
      <x:c r="E147" s="17" t="str">
        <x:v>OCTOSPI clock source damping at U1</x:v>
      </x:c>
      <x:c r="F147" s="2" t="str">
        <x:v>Panasonic</x:v>
      </x:c>
      <x:c r="G147" s="2" t="str">
        <x:v>ERJ-2RKF22R0X</x:v>
      </x:c>
      <x:c r="H147" s="2" t="str">
        <x:v>0402</x:v>
      </x:c>
      <x:c r="I147" s="16" t="n">
        <x:v>1</x:v>
      </x:c>
      <x:c r="J147" s="16" t="n">
        <x:v>4</x:v>
      </x:c>
      <x:c r="K147" s="16" t="n">
        <x:v>0</x:v>
      </x:c>
      <x:c r="L147" s="16" t="n">
        <x:v>4</x:v>
      </x:c>
      <x:c r="M147" s="16" t="n">
        <x:v>10</x:v>
      </x:c>
      <x:c r="N147" s="16" t="n">
        <x:v>0</x:v>
      </x:c>
      <x:c r="O147" s="16" t="n">
        <x:v>10</x:v>
      </x:c>
      <x:c r="P147" s="16" t="n">
        <x:v>20</x:v>
      </x:c>
      <x:c r="Q147" s="16" t="n">
        <x:v>0</x:v>
      </x:c>
      <x:c r="R147" s="16" t="n">
        <x:v>20</x:v>
      </x:c>
      <x:c r="S147" s="14" t="str">
        <x:v>NONE</x:v>
      </x:c>
      <x:c r="T147" s="2" t="str">
        <x:v>COMMON</x:v>
      </x:c>
      <x:c r="U147" s="14" t="str">
        <x:v>SELECTED_PENDING_REVIEW_A</x:v>
      </x:c>
      <x:c r="V147" s="17" t="str">
        <x:v>Authorized or traceable tier-1 channel</x:v>
      </x:c>
      <x:c r="W147" s="17" t="str">
        <x:v>Marking MPN package orientation electrical functional sample</x:v>
      </x:c>
      <x:c r="X147" s="17" t="str">
        <x:v>MAIN-AUTH-010 exact capture authority; physical pins: 1=NOR_CLK_U1;2=NOR_CLK_U2; Review A may change only from measured SI evidence</x:v>
      </x:c>
      <x:c r="Y147" s="2" t="str">
        <x:v>22 Ohm 1%</x:v>
      </x:c>
      <x:c r="Z147" s="2" t="str">
        <x:v>ELECTRICAL_COMPONENT</x:v>
      </x:c>
      <x:c r="AA147" s="2" t="str">
        <x:v>FITTED</x:v>
      </x:c>
      <x:c r="AB147" s="2" t="str">
        <x:v>-55..155</x:v>
      </x:c>
      <x:c r="AC147" s="14" t="str">
        <x:v>CONTROLLED_PENDING_VERIFICATION</x:v>
      </x:c>
    </x:row>
    <x:row r="148">
      <x:c r="A148" s="2" t="str">
        <x:v>MAIN-010-R9</x:v>
      </x:c>
      <x:c r="B148" s="2" t="str">
        <x:v>PCB-MAIN</x:v>
      </x:c>
      <x:c r="C148" s="14" t="str">
        <x:v>R9</x:v>
      </x:c>
      <x:c r="D148" s="2" t="str">
        <x:v>Resistor</x:v>
      </x:c>
      <x:c r="E148" s="17" t="str">
        <x:v>OCTOSPI IO0 series damping</x:v>
      </x:c>
      <x:c r="F148" s="2" t="str">
        <x:v>Panasonic</x:v>
      </x:c>
      <x:c r="G148" s="2" t="str">
        <x:v>ERJ-2RKF22R0X</x:v>
      </x:c>
      <x:c r="H148" s="2" t="str">
        <x:v>0402</x:v>
      </x:c>
      <x:c r="I148" s="16" t="n">
        <x:v>1</x:v>
      </x:c>
      <x:c r="J148" s="16" t="n">
        <x:v>4</x:v>
      </x:c>
      <x:c r="K148" s="16" t="n">
        <x:v>0</x:v>
      </x:c>
      <x:c r="L148" s="16" t="n">
        <x:v>4</x:v>
      </x:c>
      <x:c r="M148" s="16" t="n">
        <x:v>10</x:v>
      </x:c>
      <x:c r="N148" s="16" t="n">
        <x:v>0</x:v>
      </x:c>
      <x:c r="O148" s="16" t="n">
        <x:v>10</x:v>
      </x:c>
      <x:c r="P148" s="16" t="n">
        <x:v>20</x:v>
      </x:c>
      <x:c r="Q148" s="16" t="n">
        <x:v>0</x:v>
      </x:c>
      <x:c r="R148" s="16" t="n">
        <x:v>20</x:v>
      </x:c>
      <x:c r="S148" s="14" t="str">
        <x:v>NONE</x:v>
      </x:c>
      <x:c r="T148" s="2" t="str">
        <x:v>COMMON</x:v>
      </x:c>
      <x:c r="U148" s="14" t="str">
        <x:v>SELECTED_PENDING_REVIEW_A</x:v>
      </x:c>
      <x:c r="V148" s="17" t="str">
        <x:v>Authorized or traceable tier-1 channel</x:v>
      </x:c>
      <x:c r="W148" s="17" t="str">
        <x:v>Marking MPN package orientation electrical functional sample</x:v>
      </x:c>
      <x:c r="X148" s="17" t="str">
        <x:v>MAIN-AUTH-010 exact capture authority; physical pins: 1=NOR_IO0_U1;2=NOR_IO0_U2; Review A may change only from measured SI evidence</x:v>
      </x:c>
      <x:c r="Y148" s="2" t="str">
        <x:v>22 Ohm 1%</x:v>
      </x:c>
      <x:c r="Z148" s="2" t="str">
        <x:v>ELECTRICAL_COMPONENT</x:v>
      </x:c>
      <x:c r="AA148" s="2" t="str">
        <x:v>FITTED</x:v>
      </x:c>
      <x:c r="AB148" s="2" t="str">
        <x:v>-55..155</x:v>
      </x:c>
      <x:c r="AC148" s="14" t="str">
        <x:v>CONTROLLED_PENDING_VERIFICATION</x:v>
      </x:c>
    </x:row>
    <x:row r="149">
      <x:c r="A149" s="2" t="str">
        <x:v>MAIN-010-R10</x:v>
      </x:c>
      <x:c r="B149" s="2" t="str">
        <x:v>PCB-MAIN</x:v>
      </x:c>
      <x:c r="C149" s="14" t="str">
        <x:v>R10</x:v>
      </x:c>
      <x:c r="D149" s="2" t="str">
        <x:v>Resistor</x:v>
      </x:c>
      <x:c r="E149" s="17" t="str">
        <x:v>OCTOSPI IO1 series damping</x:v>
      </x:c>
      <x:c r="F149" s="2" t="str">
        <x:v>Panasonic</x:v>
      </x:c>
      <x:c r="G149" s="2" t="str">
        <x:v>ERJ-2RKF22R0X</x:v>
      </x:c>
      <x:c r="H149" s="2" t="str">
        <x:v>0402</x:v>
      </x:c>
      <x:c r="I149" s="16" t="n">
        <x:v>1</x:v>
      </x:c>
      <x:c r="J149" s="16" t="n">
        <x:v>4</x:v>
      </x:c>
      <x:c r="K149" s="16" t="n">
        <x:v>0</x:v>
      </x:c>
      <x:c r="L149" s="16" t="n">
        <x:v>4</x:v>
      </x:c>
      <x:c r="M149" s="16" t="n">
        <x:v>10</x:v>
      </x:c>
      <x:c r="N149" s="16" t="n">
        <x:v>0</x:v>
      </x:c>
      <x:c r="O149" s="16" t="n">
        <x:v>10</x:v>
      </x:c>
      <x:c r="P149" s="16" t="n">
        <x:v>20</x:v>
      </x:c>
      <x:c r="Q149" s="16" t="n">
        <x:v>0</x:v>
      </x:c>
      <x:c r="R149" s="16" t="n">
        <x:v>20</x:v>
      </x:c>
      <x:c r="S149" s="14" t="str">
        <x:v>NONE</x:v>
      </x:c>
      <x:c r="T149" s="2" t="str">
        <x:v>COMMON</x:v>
      </x:c>
      <x:c r="U149" s="14" t="str">
        <x:v>SELECTED_PENDING_REVIEW_A</x:v>
      </x:c>
      <x:c r="V149" s="17" t="str">
        <x:v>Authorized or traceable tier-1 channel</x:v>
      </x:c>
      <x:c r="W149" s="17" t="str">
        <x:v>Marking MPN package orientation electrical functional sample</x:v>
      </x:c>
      <x:c r="X149" s="17" t="str">
        <x:v>MAIN-AUTH-010 exact capture authority; physical pins: 1=NOR_IO1_U1;2=NOR_IO1_U2; Review A may change only from measured SI evidence</x:v>
      </x:c>
      <x:c r="Y149" s="2" t="str">
        <x:v>22 Ohm 1%</x:v>
      </x:c>
      <x:c r="Z149" s="2" t="str">
        <x:v>ELECTRICAL_COMPONENT</x:v>
      </x:c>
      <x:c r="AA149" s="2" t="str">
        <x:v>FITTED</x:v>
      </x:c>
      <x:c r="AB149" s="2" t="str">
        <x:v>-55..155</x:v>
      </x:c>
      <x:c r="AC149" s="14" t="str">
        <x:v>CONTROLLED_PENDING_VERIFICATION</x:v>
      </x:c>
    </x:row>
    <x:row r="150">
      <x:c r="A150" s="2" t="str">
        <x:v>MAIN-010-R11</x:v>
      </x:c>
      <x:c r="B150" s="2" t="str">
        <x:v>PCB-MAIN</x:v>
      </x:c>
      <x:c r="C150" s="14" t="str">
        <x:v>R11</x:v>
      </x:c>
      <x:c r="D150" s="2" t="str">
        <x:v>Resistor</x:v>
      </x:c>
      <x:c r="E150" s="17" t="str">
        <x:v>OCTOSPI IO2 series damping</x:v>
      </x:c>
      <x:c r="F150" s="2" t="str">
        <x:v>Panasonic</x:v>
      </x:c>
      <x:c r="G150" s="2" t="str">
        <x:v>ERJ-2RKF22R0X</x:v>
      </x:c>
      <x:c r="H150" s="2" t="str">
        <x:v>0402</x:v>
      </x:c>
      <x:c r="I150" s="16" t="n">
        <x:v>1</x:v>
      </x:c>
      <x:c r="J150" s="16" t="n">
        <x:v>4</x:v>
      </x:c>
      <x:c r="K150" s="16" t="n">
        <x:v>0</x:v>
      </x:c>
      <x:c r="L150" s="16" t="n">
        <x:v>4</x:v>
      </x:c>
      <x:c r="M150" s="16" t="n">
        <x:v>10</x:v>
      </x:c>
      <x:c r="N150" s="16" t="n">
        <x:v>0</x:v>
      </x:c>
      <x:c r="O150" s="16" t="n">
        <x:v>10</x:v>
      </x:c>
      <x:c r="P150" s="16" t="n">
        <x:v>20</x:v>
      </x:c>
      <x:c r="Q150" s="16" t="n">
        <x:v>0</x:v>
      </x:c>
      <x:c r="R150" s="16" t="n">
        <x:v>20</x:v>
      </x:c>
      <x:c r="S150" s="14" t="str">
        <x:v>NONE</x:v>
      </x:c>
      <x:c r="T150" s="2" t="str">
        <x:v>COMMON</x:v>
      </x:c>
      <x:c r="U150" s="14" t="str">
        <x:v>SELECTED_PENDING_REVIEW_A</x:v>
      </x:c>
      <x:c r="V150" s="17" t="str">
        <x:v>Authorized or traceable tier-1 channel</x:v>
      </x:c>
      <x:c r="W150" s="17" t="str">
        <x:v>Marking MPN package orientation electrical functional sample</x:v>
      </x:c>
      <x:c r="X150" s="17" t="str">
        <x:v>MAIN-AUTH-010 exact capture authority; physical pins: 1=NOR_IO2_U1;2=NOR_IO2_U2; Review A may change only from measured SI evidence</x:v>
      </x:c>
      <x:c r="Y150" s="2" t="str">
        <x:v>22 Ohm 1%</x:v>
      </x:c>
      <x:c r="Z150" s="2" t="str">
        <x:v>ELECTRICAL_COMPONENT</x:v>
      </x:c>
      <x:c r="AA150" s="2" t="str">
        <x:v>FITTED</x:v>
      </x:c>
      <x:c r="AB150" s="2" t="str">
        <x:v>-55..155</x:v>
      </x:c>
      <x:c r="AC150" s="14" t="str">
        <x:v>CONTROLLED_PENDING_VERIFICATION</x:v>
      </x:c>
    </x:row>
    <x:row r="151">
      <x:c r="A151" s="2" t="str">
        <x:v>MAIN-010-R12</x:v>
      </x:c>
      <x:c r="B151" s="2" t="str">
        <x:v>PCB-MAIN</x:v>
      </x:c>
      <x:c r="C151" s="14" t="str">
        <x:v>R12</x:v>
      </x:c>
      <x:c r="D151" s="2" t="str">
        <x:v>Resistor</x:v>
      </x:c>
      <x:c r="E151" s="17" t="str">
        <x:v>OCTOSPI IO3 series damping</x:v>
      </x:c>
      <x:c r="F151" s="2" t="str">
        <x:v>Panasonic</x:v>
      </x:c>
      <x:c r="G151" s="2" t="str">
        <x:v>ERJ-2RKF22R0X</x:v>
      </x:c>
      <x:c r="H151" s="2" t="str">
        <x:v>0402</x:v>
      </x:c>
      <x:c r="I151" s="16" t="n">
        <x:v>1</x:v>
      </x:c>
      <x:c r="J151" s="16" t="n">
        <x:v>4</x:v>
      </x:c>
      <x:c r="K151" s="16" t="n">
        <x:v>0</x:v>
      </x:c>
      <x:c r="L151" s="16" t="n">
        <x:v>4</x:v>
      </x:c>
      <x:c r="M151" s="16" t="n">
        <x:v>10</x:v>
      </x:c>
      <x:c r="N151" s="16" t="n">
        <x:v>0</x:v>
      </x:c>
      <x:c r="O151" s="16" t="n">
        <x:v>10</x:v>
      </x:c>
      <x:c r="P151" s="16" t="n">
        <x:v>20</x:v>
      </x:c>
      <x:c r="Q151" s="16" t="n">
        <x:v>0</x:v>
      </x:c>
      <x:c r="R151" s="16" t="n">
        <x:v>20</x:v>
      </x:c>
      <x:c r="S151" s="14" t="str">
        <x:v>NONE</x:v>
      </x:c>
      <x:c r="T151" s="2" t="str">
        <x:v>COMMON</x:v>
      </x:c>
      <x:c r="U151" s="14" t="str">
        <x:v>SELECTED_PENDING_REVIEW_A</x:v>
      </x:c>
      <x:c r="V151" s="17" t="str">
        <x:v>Authorized or traceable tier-1 channel</x:v>
      </x:c>
      <x:c r="W151" s="17" t="str">
        <x:v>Marking MPN package orientation electrical functional sample</x:v>
      </x:c>
      <x:c r="X151" s="17" t="str">
        <x:v>MAIN-AUTH-010 exact capture authority; physical pins: 1=NOR_IO3_U1;2=NOR_IO3_U2; Review A may change only from measured SI evidence</x:v>
      </x:c>
      <x:c r="Y151" s="2" t="str">
        <x:v>22 Ohm 1%</x:v>
      </x:c>
      <x:c r="Z151" s="2" t="str">
        <x:v>ELECTRICAL_COMPONENT</x:v>
      </x:c>
      <x:c r="AA151" s="2" t="str">
        <x:v>FITTED</x:v>
      </x:c>
      <x:c r="AB151" s="2" t="str">
        <x:v>-55..155</x:v>
      </x:c>
      <x:c r="AC151" s="14" t="str">
        <x:v>CONTROLLED_PENDING_VERIFICATION</x:v>
      </x:c>
    </x:row>
    <x:row r="152">
      <x:c r="A152" s="2" t="str">
        <x:v>MAIN-010-R13</x:v>
      </x:c>
      <x:c r="B152" s="2" t="str">
        <x:v>PCB-MAIN</x:v>
      </x:c>
      <x:c r="C152" s="14" t="str">
        <x:v>R13</x:v>
      </x:c>
      <x:c r="D152" s="2" t="str">
        <x:v>Resistor</x:v>
      </x:c>
      <x:c r="E152" s="17" t="str">
        <x:v>Authoritative PCB-MAIN I2C2 SCL pull-up</x:v>
      </x:c>
      <x:c r="F152" s="2" t="str">
        <x:v>Panasonic</x:v>
      </x:c>
      <x:c r="G152" s="2" t="str">
        <x:v>ERJ-2RKF2201X</x:v>
      </x:c>
      <x:c r="H152" s="2" t="str">
        <x:v>0402</x:v>
      </x:c>
      <x:c r="I152" s="16" t="n">
        <x:v>1</x:v>
      </x:c>
      <x:c r="J152" s="16" t="n">
        <x:v>4</x:v>
      </x:c>
      <x:c r="K152" s="16" t="n">
        <x:v>0</x:v>
      </x:c>
      <x:c r="L152" s="16" t="n">
        <x:v>4</x:v>
      </x:c>
      <x:c r="M152" s="16" t="n">
        <x:v>10</x:v>
      </x:c>
      <x:c r="N152" s="16" t="n">
        <x:v>0</x:v>
      </x:c>
      <x:c r="O152" s="16" t="n">
        <x:v>10</x:v>
      </x:c>
      <x:c r="P152" s="16" t="n">
        <x:v>20</x:v>
      </x:c>
      <x:c r="Q152" s="16" t="n">
        <x:v>0</x:v>
      </x:c>
      <x:c r="R152" s="16" t="n">
        <x:v>20</x:v>
      </x:c>
      <x:c r="S152" s="14" t="str">
        <x:v>NONE</x:v>
      </x:c>
      <x:c r="T152" s="2" t="str">
        <x:v>COMMON</x:v>
      </x:c>
      <x:c r="U152" s="14" t="str">
        <x:v>SELECTED_PENDING_REVIEW_A</x:v>
      </x:c>
      <x:c r="V152" s="17" t="str">
        <x:v>Authorized or traceable tier-1 channel</x:v>
      </x:c>
      <x:c r="W152" s="17" t="str">
        <x:v>Marking MPN package orientation electrical functional sample</x:v>
      </x:c>
      <x:c r="X152" s="17" t="str">
        <x:v>MAIN-AUTH-010 exact capture authority; physical pins: 1=3V3_DIGITAL;2=I2C2_SCL_BUS; PCB-PWR pull-up footprint remains DNP</x:v>
      </x:c>
      <x:c r="Y152" s="2" t="str">
        <x:v>2.2 kOhm 1%</x:v>
      </x:c>
      <x:c r="Z152" s="2" t="str">
        <x:v>ELECTRICAL_COMPONENT</x:v>
      </x:c>
      <x:c r="AA152" s="2" t="str">
        <x:v>FITTED</x:v>
      </x:c>
      <x:c r="AB152" s="2" t="str">
        <x:v>-55..155</x:v>
      </x:c>
      <x:c r="AC152" s="14" t="str">
        <x:v>CONTROLLED_PENDING_VERIFICATION</x:v>
      </x:c>
    </x:row>
    <x:row r="153">
      <x:c r="A153" s="2" t="str">
        <x:v>MAIN-010-R14</x:v>
      </x:c>
      <x:c r="B153" s="2" t="str">
        <x:v>PCB-MAIN</x:v>
      </x:c>
      <x:c r="C153" s="14" t="str">
        <x:v>R14</x:v>
      </x:c>
      <x:c r="D153" s="2" t="str">
        <x:v>Resistor</x:v>
      </x:c>
      <x:c r="E153" s="17" t="str">
        <x:v>Authoritative PCB-MAIN I2C2 SDA pull-up</x:v>
      </x:c>
      <x:c r="F153" s="2" t="str">
        <x:v>Panasonic</x:v>
      </x:c>
      <x:c r="G153" s="2" t="str">
        <x:v>ERJ-2RKF2201X</x:v>
      </x:c>
      <x:c r="H153" s="2" t="str">
        <x:v>0402</x:v>
      </x:c>
      <x:c r="I153" s="16" t="n">
        <x:v>1</x:v>
      </x:c>
      <x:c r="J153" s="16" t="n">
        <x:v>4</x:v>
      </x:c>
      <x:c r="K153" s="16" t="n">
        <x:v>0</x:v>
      </x:c>
      <x:c r="L153" s="16" t="n">
        <x:v>4</x:v>
      </x:c>
      <x:c r="M153" s="16" t="n">
        <x:v>10</x:v>
      </x:c>
      <x:c r="N153" s="16" t="n">
        <x:v>0</x:v>
      </x:c>
      <x:c r="O153" s="16" t="n">
        <x:v>10</x:v>
      </x:c>
      <x:c r="P153" s="16" t="n">
        <x:v>20</x:v>
      </x:c>
      <x:c r="Q153" s="16" t="n">
        <x:v>0</x:v>
      </x:c>
      <x:c r="R153" s="16" t="n">
        <x:v>20</x:v>
      </x:c>
      <x:c r="S153" s="14" t="str">
        <x:v>NONE</x:v>
      </x:c>
      <x:c r="T153" s="2" t="str">
        <x:v>COMMON</x:v>
      </x:c>
      <x:c r="U153" s="14" t="str">
        <x:v>SELECTED_PENDING_REVIEW_A</x:v>
      </x:c>
      <x:c r="V153" s="17" t="str">
        <x:v>Authorized or traceable tier-1 channel</x:v>
      </x:c>
      <x:c r="W153" s="17" t="str">
        <x:v>Marking MPN package orientation electrical functional sample</x:v>
      </x:c>
      <x:c r="X153" s="17" t="str">
        <x:v>MAIN-AUTH-010 exact capture authority; physical pins: 1=3V3_DIGITAL;2=I2C2_SDA_BUS; PCB-PWR pull-up footprint remains DNP</x:v>
      </x:c>
      <x:c r="Y153" s="2" t="str">
        <x:v>2.2 kOhm 1%</x:v>
      </x:c>
      <x:c r="Z153" s="2" t="str">
        <x:v>ELECTRICAL_COMPONENT</x:v>
      </x:c>
      <x:c r="AA153" s="2" t="str">
        <x:v>FITTED</x:v>
      </x:c>
      <x:c r="AB153" s="2" t="str">
        <x:v>-55..155</x:v>
      </x:c>
      <x:c r="AC153" s="14" t="str">
        <x:v>CONTROLLED_PENDING_VERIFICATION</x:v>
      </x:c>
    </x:row>
    <x:row r="154">
      <x:c r="A154" s="2" t="str">
        <x:v>MAIN-010-R15</x:v>
      </x:c>
      <x:c r="B154" s="2" t="str">
        <x:v>PCB-MAIN</x:v>
      </x:c>
      <x:c r="C154" s="14" t="str">
        <x:v>R15</x:v>
      </x:c>
      <x:c r="D154" s="2" t="str">
        <x:v>Resistor</x:v>
      </x:c>
      <x:c r="E154" s="17" t="str">
        <x:v>I2C2 SCL master-side series damping</x:v>
      </x:c>
      <x:c r="F154" s="2" t="str">
        <x:v>Panasonic</x:v>
      </x:c>
      <x:c r="G154" s="2" t="str">
        <x:v>ERJ-2RKF22R0X</x:v>
      </x:c>
      <x:c r="H154" s="2" t="str">
        <x:v>0402</x:v>
      </x:c>
      <x:c r="I154" s="16" t="n">
        <x:v>1</x:v>
      </x:c>
      <x:c r="J154" s="16" t="n">
        <x:v>4</x:v>
      </x:c>
      <x:c r="K154" s="16" t="n">
        <x:v>0</x:v>
      </x:c>
      <x:c r="L154" s="16" t="n">
        <x:v>4</x:v>
      </x:c>
      <x:c r="M154" s="16" t="n">
        <x:v>10</x:v>
      </x:c>
      <x:c r="N154" s="16" t="n">
        <x:v>0</x:v>
      </x:c>
      <x:c r="O154" s="16" t="n">
        <x:v>10</x:v>
      </x:c>
      <x:c r="P154" s="16" t="n">
        <x:v>20</x:v>
      </x:c>
      <x:c r="Q154" s="16" t="n">
        <x:v>0</x:v>
      </x:c>
      <x:c r="R154" s="16" t="n">
        <x:v>20</x:v>
      </x:c>
      <x:c r="S154" s="14" t="str">
        <x:v>NONE</x:v>
      </x:c>
      <x:c r="T154" s="2" t="str">
        <x:v>COMMON</x:v>
      </x:c>
      <x:c r="U154" s="14" t="str">
        <x:v>SELECTED_PENDING_REVIEW_A</x:v>
      </x:c>
      <x:c r="V154" s="17" t="str">
        <x:v>Authorized or traceable tier-1 channel</x:v>
      </x:c>
      <x:c r="W154" s="17" t="str">
        <x:v>Marking MPN package orientation electrical functional sample</x:v>
      </x:c>
      <x:c r="X154" s="17" t="str">
        <x:v>MAIN-AUTH-010 exact capture authority; physical pins: 1=I2C2_SCL_U1;2=I2C2_SCL_BUS; Place adjacent to U1</x:v>
      </x:c>
      <x:c r="Y154" s="2" t="str">
        <x:v>22 Ohm 1%</x:v>
      </x:c>
      <x:c r="Z154" s="2" t="str">
        <x:v>ELECTRICAL_COMPONENT</x:v>
      </x:c>
      <x:c r="AA154" s="2" t="str">
        <x:v>FITTED</x:v>
      </x:c>
      <x:c r="AB154" s="2" t="str">
        <x:v>-55..155</x:v>
      </x:c>
      <x:c r="AC154" s="14" t="str">
        <x:v>CONTROLLED_PENDING_VERIFICATION</x:v>
      </x:c>
    </x:row>
    <x:row r="155">
      <x:c r="A155" s="2" t="str">
        <x:v>MAIN-010-R16</x:v>
      </x:c>
      <x:c r="B155" s="2" t="str">
        <x:v>PCB-MAIN</x:v>
      </x:c>
      <x:c r="C155" s="14" t="str">
        <x:v>R16</x:v>
      </x:c>
      <x:c r="D155" s="2" t="str">
        <x:v>Resistor</x:v>
      </x:c>
      <x:c r="E155" s="17" t="str">
        <x:v>I2C2 SDA master-side series damping</x:v>
      </x:c>
      <x:c r="F155" s="2" t="str">
        <x:v>Panasonic</x:v>
      </x:c>
      <x:c r="G155" s="2" t="str">
        <x:v>ERJ-2RKF22R0X</x:v>
      </x:c>
      <x:c r="H155" s="2" t="str">
        <x:v>0402</x:v>
      </x:c>
      <x:c r="I155" s="16" t="n">
        <x:v>1</x:v>
      </x:c>
      <x:c r="J155" s="16" t="n">
        <x:v>4</x:v>
      </x:c>
      <x:c r="K155" s="16" t="n">
        <x:v>0</x:v>
      </x:c>
      <x:c r="L155" s="16" t="n">
        <x:v>4</x:v>
      </x:c>
      <x:c r="M155" s="16" t="n">
        <x:v>10</x:v>
      </x:c>
      <x:c r="N155" s="16" t="n">
        <x:v>0</x:v>
      </x:c>
      <x:c r="O155" s="16" t="n">
        <x:v>10</x:v>
      </x:c>
      <x:c r="P155" s="16" t="n">
        <x:v>20</x:v>
      </x:c>
      <x:c r="Q155" s="16" t="n">
        <x:v>0</x:v>
      </x:c>
      <x:c r="R155" s="16" t="n">
        <x:v>20</x:v>
      </x:c>
      <x:c r="S155" s="14" t="str">
        <x:v>NONE</x:v>
      </x:c>
      <x:c r="T155" s="2" t="str">
        <x:v>COMMON</x:v>
      </x:c>
      <x:c r="U155" s="14" t="str">
        <x:v>SELECTED_PENDING_REVIEW_A</x:v>
      </x:c>
      <x:c r="V155" s="17" t="str">
        <x:v>Authorized or traceable tier-1 channel</x:v>
      </x:c>
      <x:c r="W155" s="17" t="str">
        <x:v>Marking MPN package orientation electrical functional sample</x:v>
      </x:c>
      <x:c r="X155" s="17" t="str">
        <x:v>MAIN-AUTH-010 exact capture authority; physical pins: 1=I2C2_SDA_U1;2=I2C2_SDA_BUS; Place adjacent to U1</x:v>
      </x:c>
      <x:c r="Y155" s="2" t="str">
        <x:v>22 Ohm 1%</x:v>
      </x:c>
      <x:c r="Z155" s="2" t="str">
        <x:v>ELECTRICAL_COMPONENT</x:v>
      </x:c>
      <x:c r="AA155" s="2" t="str">
        <x:v>FITTED</x:v>
      </x:c>
      <x:c r="AB155" s="2" t="str">
        <x:v>-55..155</x:v>
      </x:c>
      <x:c r="AC155" s="14" t="str">
        <x:v>CONTROLLED_PENDING_VERIFICATION</x:v>
      </x:c>
    </x:row>
    <x:row r="156">
      <x:c r="A156" s="2" t="str">
        <x:v>MAIN-010-R17</x:v>
      </x:c>
      <x:c r="B156" s="2" t="str">
        <x:v>PCB-MAIN</x:v>
      </x:c>
      <x:c r="C156" s="14" t="str">
        <x:v>R17</x:v>
      </x:c>
      <x:c r="D156" s="2" t="str">
        <x:v>Resistor</x:v>
      </x:c>
      <x:c r="E156" s="17" t="str">
        <x:v>PDM clock source termination at U7</x:v>
      </x:c>
      <x:c r="F156" s="2" t="str">
        <x:v>Panasonic</x:v>
      </x:c>
      <x:c r="G156" s="2" t="str">
        <x:v>ERJ-2RKF22R0X</x:v>
      </x:c>
      <x:c r="H156" s="2" t="str">
        <x:v>0402</x:v>
      </x:c>
      <x:c r="I156" s="16" t="n">
        <x:v>1</x:v>
      </x:c>
      <x:c r="J156" s="16" t="n">
        <x:v>4</x:v>
      </x:c>
      <x:c r="K156" s="16" t="n">
        <x:v>0</x:v>
      </x:c>
      <x:c r="L156" s="16" t="n">
        <x:v>4</x:v>
      </x:c>
      <x:c r="M156" s="16" t="n">
        <x:v>10</x:v>
      </x:c>
      <x:c r="N156" s="16" t="n">
        <x:v>0</x:v>
      </x:c>
      <x:c r="O156" s="16" t="n">
        <x:v>10</x:v>
      </x:c>
      <x:c r="P156" s="16" t="n">
        <x:v>20</x:v>
      </x:c>
      <x:c r="Q156" s="16" t="n">
        <x:v>0</x:v>
      </x:c>
      <x:c r="R156" s="16" t="n">
        <x:v>20</x:v>
      </x:c>
      <x:c r="S156" s="14" t="str">
        <x:v>NONE</x:v>
      </x:c>
      <x:c r="T156" s="2" t="str">
        <x:v>COMMON</x:v>
      </x:c>
      <x:c r="U156" s="14" t="str">
        <x:v>SELECTED_PENDING_REVIEW_A</x:v>
      </x:c>
      <x:c r="V156" s="17" t="str">
        <x:v>Authorized or traceable tier-1 channel</x:v>
      </x:c>
      <x:c r="W156" s="17" t="str">
        <x:v>Marking MPN package orientation electrical functional sample</x:v>
      </x:c>
      <x:c r="X156" s="17" t="str">
        <x:v>MAIN-AUTH-010 exact capture authority; physical pins: 1=PDM_CLK_1V8_U7;2=PDM_CLK_1V8_FANOUT; Verify all four harness edges and skew</x:v>
      </x:c>
      <x:c r="Y156" s="2" t="str">
        <x:v>22 Ohm 1%</x:v>
      </x:c>
      <x:c r="Z156" s="2" t="str">
        <x:v>ELECTRICAL_COMPONENT</x:v>
      </x:c>
      <x:c r="AA156" s="2" t="str">
        <x:v>FITTED</x:v>
      </x:c>
      <x:c r="AB156" s="2" t="str">
        <x:v>-55..155</x:v>
      </x:c>
      <x:c r="AC156" s="14" t="str">
        <x:v>CONTROLLED_PENDING_VERIFICATION</x:v>
      </x:c>
    </x:row>
    <x:row r="157">
      <x:c r="A157" s="2" t="str">
        <x:v>MAIN-010-R18</x:v>
      </x:c>
      <x:c r="B157" s="2" t="str">
        <x:v>PCB-MAIN</x:v>
      </x:c>
      <x:c r="C157" s="14" t="str">
        <x:v>R18</x:v>
      </x:c>
      <x:c r="D157" s="2" t="str">
        <x:v>Resistor</x:v>
      </x:c>
      <x:c r="E157" s="17" t="str">
        <x:v>AAD configuration fanout damping at U7</x:v>
      </x:c>
      <x:c r="F157" s="2" t="str">
        <x:v>Panasonic</x:v>
      </x:c>
      <x:c r="G157" s="2" t="str">
        <x:v>ERJ-2RKF22R0X</x:v>
      </x:c>
      <x:c r="H157" s="2" t="str">
        <x:v>0402</x:v>
      </x:c>
      <x:c r="I157" s="16" t="n">
        <x:v>1</x:v>
      </x:c>
      <x:c r="J157" s="16" t="n">
        <x:v>4</x:v>
      </x:c>
      <x:c r="K157" s="16" t="n">
        <x:v>0</x:v>
      </x:c>
      <x:c r="L157" s="16" t="n">
        <x:v>4</x:v>
      </x:c>
      <x:c r="M157" s="16" t="n">
        <x:v>10</x:v>
      </x:c>
      <x:c r="N157" s="16" t="n">
        <x:v>0</x:v>
      </x:c>
      <x:c r="O157" s="16" t="n">
        <x:v>10</x:v>
      </x:c>
      <x:c r="P157" s="16" t="n">
        <x:v>20</x:v>
      </x:c>
      <x:c r="Q157" s="16" t="n">
        <x:v>0</x:v>
      </x:c>
      <x:c r="R157" s="16" t="n">
        <x:v>20</x:v>
      </x:c>
      <x:c r="S157" s="14" t="str">
        <x:v>NONE</x:v>
      </x:c>
      <x:c r="T157" s="2" t="str">
        <x:v>COMMON</x:v>
      </x:c>
      <x:c r="U157" s="14" t="str">
        <x:v>SELECTED_PENDING_REVIEW_A</x:v>
      </x:c>
      <x:c r="V157" s="17" t="str">
        <x:v>Authorized or traceable tier-1 channel</x:v>
      </x:c>
      <x:c r="W157" s="17" t="str">
        <x:v>Marking MPN package orientation electrical functional sample</x:v>
      </x:c>
      <x:c r="X157" s="17" t="str">
        <x:v>MAIN-AUTH-010 exact capture authority; physical pins: 1=AAD_CFG_1V8_U7;2=AAD_CFG_1V8_FANOUT; Verify one-wire writes on all four leaves</x:v>
      </x:c>
      <x:c r="Y157" s="2" t="str">
        <x:v>22 Ohm 1%</x:v>
      </x:c>
      <x:c r="Z157" s="2" t="str">
        <x:v>ELECTRICAL_COMPONENT</x:v>
      </x:c>
      <x:c r="AA157" s="2" t="str">
        <x:v>FITTED</x:v>
      </x:c>
      <x:c r="AB157" s="2" t="str">
        <x:v>-55..155</x:v>
      </x:c>
      <x:c r="AC157" s="14" t="str">
        <x:v>CONTROLLED_PENDING_VERIFICATION</x:v>
      </x:c>
    </x:row>
    <x:row r="158">
      <x:c r="A158" s="2" t="str">
        <x:v>MAIN-010-R19</x:v>
      </x:c>
      <x:c r="B158" s="2" t="str">
        <x:v>PCB-MAIN</x:v>
      </x:c>
      <x:c r="C158" s="14" t="str">
        <x:v>R19</x:v>
      </x:c>
      <x:c r="D158" s="2" t="str">
        <x:v>Resistor</x:v>
      </x:c>
      <x:c r="E158" s="17" t="str">
        <x:v>MIC1 WAKE inactive-state pull-down</x:v>
      </x:c>
      <x:c r="F158" s="2" t="str">
        <x:v>Panasonic</x:v>
      </x:c>
      <x:c r="G158" s="2" t="str">
        <x:v>ERJ-2RKF1003X</x:v>
      </x:c>
      <x:c r="H158" s="2" t="str">
        <x:v>0402</x:v>
      </x:c>
      <x:c r="I158" s="16" t="n">
        <x:v>1</x:v>
      </x:c>
      <x:c r="J158" s="16" t="n">
        <x:v>4</x:v>
      </x:c>
      <x:c r="K158" s="16" t="n">
        <x:v>0</x:v>
      </x:c>
      <x:c r="L158" s="16" t="n">
        <x:v>4</x:v>
      </x:c>
      <x:c r="M158" s="16" t="n">
        <x:v>10</x:v>
      </x:c>
      <x:c r="N158" s="16" t="n">
        <x:v>0</x:v>
      </x:c>
      <x:c r="O158" s="16" t="n">
        <x:v>10</x:v>
      </x:c>
      <x:c r="P158" s="16" t="n">
        <x:v>20</x:v>
      </x:c>
      <x:c r="Q158" s="16" t="n">
        <x:v>0</x:v>
      </x:c>
      <x:c r="R158" s="16" t="n">
        <x:v>20</x:v>
      </x:c>
      <x:c r="S158" s="14" t="str">
        <x:v>NONE</x:v>
      </x:c>
      <x:c r="T158" s="2" t="str">
        <x:v>COMMON</x:v>
      </x:c>
      <x:c r="U158" s="14" t="str">
        <x:v>SELECTED_PENDING_REVIEW_A</x:v>
      </x:c>
      <x:c r="V158" s="17" t="str">
        <x:v>Authorized or traceable tier-1 channel</x:v>
      </x:c>
      <x:c r="W158" s="17" t="str">
        <x:v>Marking MPN package orientation electrical functional sample</x:v>
      </x:c>
      <x:c r="X158" s="17" t="str">
        <x:v>MAIN-AUTH-010 exact capture authority; physical pins: 1=MIC_WAKE1;2=GND; No connector means inactive LOW</x:v>
      </x:c>
      <x:c r="Y158" s="2" t="str">
        <x:v>100 kOhm 1%</x:v>
      </x:c>
      <x:c r="Z158" s="2" t="str">
        <x:v>ELECTRICAL_COMPONENT</x:v>
      </x:c>
      <x:c r="AA158" s="2" t="str">
        <x:v>FITTED</x:v>
      </x:c>
      <x:c r="AB158" s="2" t="str">
        <x:v>-55..155</x:v>
      </x:c>
      <x:c r="AC158" s="14" t="str">
        <x:v>CONTROLLED_PENDING_VERIFICATION</x:v>
      </x:c>
    </x:row>
    <x:row r="159">
      <x:c r="A159" s="2" t="str">
        <x:v>MAIN-010-R20</x:v>
      </x:c>
      <x:c r="B159" s="2" t="str">
        <x:v>PCB-MAIN</x:v>
      </x:c>
      <x:c r="C159" s="14" t="str">
        <x:v>R20</x:v>
      </x:c>
      <x:c r="D159" s="2" t="str">
        <x:v>Resistor</x:v>
      </x:c>
      <x:c r="E159" s="17" t="str">
        <x:v>MIC2 WAKE inactive-state pull-down</x:v>
      </x:c>
      <x:c r="F159" s="2" t="str">
        <x:v>Panasonic</x:v>
      </x:c>
      <x:c r="G159" s="2" t="str">
        <x:v>ERJ-2RKF1003X</x:v>
      </x:c>
      <x:c r="H159" s="2" t="str">
        <x:v>0402</x:v>
      </x:c>
      <x:c r="I159" s="16" t="n">
        <x:v>1</x:v>
      </x:c>
      <x:c r="J159" s="16" t="n">
        <x:v>4</x:v>
      </x:c>
      <x:c r="K159" s="16" t="n">
        <x:v>0</x:v>
      </x:c>
      <x:c r="L159" s="16" t="n">
        <x:v>4</x:v>
      </x:c>
      <x:c r="M159" s="16" t="n">
        <x:v>10</x:v>
      </x:c>
      <x:c r="N159" s="16" t="n">
        <x:v>0</x:v>
      </x:c>
      <x:c r="O159" s="16" t="n">
        <x:v>10</x:v>
      </x:c>
      <x:c r="P159" s="16" t="n">
        <x:v>20</x:v>
      </x:c>
      <x:c r="Q159" s="16" t="n">
        <x:v>0</x:v>
      </x:c>
      <x:c r="R159" s="16" t="n">
        <x:v>20</x:v>
      </x:c>
      <x:c r="S159" s="14" t="str">
        <x:v>NONE</x:v>
      </x:c>
      <x:c r="T159" s="2" t="str">
        <x:v>COMMON</x:v>
      </x:c>
      <x:c r="U159" s="14" t="str">
        <x:v>SELECTED_PENDING_REVIEW_A</x:v>
      </x:c>
      <x:c r="V159" s="17" t="str">
        <x:v>Authorized or traceable tier-1 channel</x:v>
      </x:c>
      <x:c r="W159" s="17" t="str">
        <x:v>Marking MPN package orientation electrical functional sample</x:v>
      </x:c>
      <x:c r="X159" s="17" t="str">
        <x:v>MAIN-AUTH-010 exact capture authority; physical pins: 1=MIC_WAKE2;2=GND; No connector means inactive LOW</x:v>
      </x:c>
      <x:c r="Y159" s="2" t="str">
        <x:v>100 kOhm 1%</x:v>
      </x:c>
      <x:c r="Z159" s="2" t="str">
        <x:v>ELECTRICAL_COMPONENT</x:v>
      </x:c>
      <x:c r="AA159" s="2" t="str">
        <x:v>FITTED</x:v>
      </x:c>
      <x:c r="AB159" s="2" t="str">
        <x:v>-55..155</x:v>
      </x:c>
      <x:c r="AC159" s="14" t="str">
        <x:v>CONTROLLED_PENDING_VERIFICATION</x:v>
      </x:c>
    </x:row>
    <x:row r="160">
      <x:c r="A160" s="2" t="str">
        <x:v>MAIN-010-R21</x:v>
      </x:c>
      <x:c r="B160" s="2" t="str">
        <x:v>PCB-MAIN</x:v>
      </x:c>
      <x:c r="C160" s="14" t="str">
        <x:v>R21</x:v>
      </x:c>
      <x:c r="D160" s="2" t="str">
        <x:v>Resistor</x:v>
      </x:c>
      <x:c r="E160" s="17" t="str">
        <x:v>MIC3 WAKE inactive-state pull-down</x:v>
      </x:c>
      <x:c r="F160" s="2" t="str">
        <x:v>Panasonic</x:v>
      </x:c>
      <x:c r="G160" s="2" t="str">
        <x:v>ERJ-2RKF1003X</x:v>
      </x:c>
      <x:c r="H160" s="2" t="str">
        <x:v>0402</x:v>
      </x:c>
      <x:c r="I160" s="16" t="n">
        <x:v>1</x:v>
      </x:c>
      <x:c r="J160" s="16" t="n">
        <x:v>4</x:v>
      </x:c>
      <x:c r="K160" s="16" t="n">
        <x:v>0</x:v>
      </x:c>
      <x:c r="L160" s="16" t="n">
        <x:v>4</x:v>
      </x:c>
      <x:c r="M160" s="16" t="n">
        <x:v>10</x:v>
      </x:c>
      <x:c r="N160" s="16" t="n">
        <x:v>0</x:v>
      </x:c>
      <x:c r="O160" s="16" t="n">
        <x:v>10</x:v>
      </x:c>
      <x:c r="P160" s="16" t="n">
        <x:v>20</x:v>
      </x:c>
      <x:c r="Q160" s="16" t="n">
        <x:v>0</x:v>
      </x:c>
      <x:c r="R160" s="16" t="n">
        <x:v>20</x:v>
      </x:c>
      <x:c r="S160" s="14" t="str">
        <x:v>NONE</x:v>
      </x:c>
      <x:c r="T160" s="2" t="str">
        <x:v>COMMON</x:v>
      </x:c>
      <x:c r="U160" s="14" t="str">
        <x:v>SELECTED_PENDING_REVIEW_A</x:v>
      </x:c>
      <x:c r="V160" s="17" t="str">
        <x:v>Authorized or traceable tier-1 channel</x:v>
      </x:c>
      <x:c r="W160" s="17" t="str">
        <x:v>Marking MPN package orientation electrical functional sample</x:v>
      </x:c>
      <x:c r="X160" s="17" t="str">
        <x:v>MAIN-AUTH-010 exact capture authority; physical pins: 1=MIC_WAKE3;2=GND; No connector means inactive LOW</x:v>
      </x:c>
      <x:c r="Y160" s="2" t="str">
        <x:v>100 kOhm 1%</x:v>
      </x:c>
      <x:c r="Z160" s="2" t="str">
        <x:v>ELECTRICAL_COMPONENT</x:v>
      </x:c>
      <x:c r="AA160" s="2" t="str">
        <x:v>FITTED</x:v>
      </x:c>
      <x:c r="AB160" s="2" t="str">
        <x:v>-55..155</x:v>
      </x:c>
      <x:c r="AC160" s="14" t="str">
        <x:v>CONTROLLED_PENDING_VERIFICATION</x:v>
      </x:c>
    </x:row>
    <x:row r="161">
      <x:c r="A161" s="2" t="str">
        <x:v>MAIN-010-R22</x:v>
      </x:c>
      <x:c r="B161" s="2" t="str">
        <x:v>PCB-MAIN</x:v>
      </x:c>
      <x:c r="C161" s="14" t="str">
        <x:v>R22</x:v>
      </x:c>
      <x:c r="D161" s="2" t="str">
        <x:v>Resistor</x:v>
      </x:c>
      <x:c r="E161" s="17" t="str">
        <x:v>MIC4 WAKE inactive-state pull-down</x:v>
      </x:c>
      <x:c r="F161" s="2" t="str">
        <x:v>Panasonic</x:v>
      </x:c>
      <x:c r="G161" s="2" t="str">
        <x:v>ERJ-2RKF1003X</x:v>
      </x:c>
      <x:c r="H161" s="2" t="str">
        <x:v>0402</x:v>
      </x:c>
      <x:c r="I161" s="16" t="n">
        <x:v>1</x:v>
      </x:c>
      <x:c r="J161" s="16" t="n">
        <x:v>4</x:v>
      </x:c>
      <x:c r="K161" s="16" t="n">
        <x:v>0</x:v>
      </x:c>
      <x:c r="L161" s="16" t="n">
        <x:v>4</x:v>
      </x:c>
      <x:c r="M161" s="16" t="n">
        <x:v>10</x:v>
      </x:c>
      <x:c r="N161" s="16" t="n">
        <x:v>0</x:v>
      </x:c>
      <x:c r="O161" s="16" t="n">
        <x:v>10</x:v>
      </x:c>
      <x:c r="P161" s="16" t="n">
        <x:v>20</x:v>
      </x:c>
      <x:c r="Q161" s="16" t="n">
        <x:v>0</x:v>
      </x:c>
      <x:c r="R161" s="16" t="n">
        <x:v>20</x:v>
      </x:c>
      <x:c r="S161" s="14" t="str">
        <x:v>NONE</x:v>
      </x:c>
      <x:c r="T161" s="2" t="str">
        <x:v>COMMON</x:v>
      </x:c>
      <x:c r="U161" s="14" t="str">
        <x:v>SELECTED_PENDING_REVIEW_A</x:v>
      </x:c>
      <x:c r="V161" s="17" t="str">
        <x:v>Authorized or traceable tier-1 channel</x:v>
      </x:c>
      <x:c r="W161" s="17" t="str">
        <x:v>Marking MPN package orientation electrical functional sample</x:v>
      </x:c>
      <x:c r="X161" s="17" t="str">
        <x:v>MAIN-AUTH-010 exact capture authority; physical pins: 1=MIC_WAKE4;2=GND; No connector means inactive LOW</x:v>
      </x:c>
      <x:c r="Y161" s="2" t="str">
        <x:v>100 kOhm 1%</x:v>
      </x:c>
      <x:c r="Z161" s="2" t="str">
        <x:v>ELECTRICAL_COMPONENT</x:v>
      </x:c>
      <x:c r="AA161" s="2" t="str">
        <x:v>FITTED</x:v>
      </x:c>
      <x:c r="AB161" s="2" t="str">
        <x:v>-55..155</x:v>
      </x:c>
      <x:c r="AC161" s="14" t="str">
        <x:v>CONTROLLED_PENDING_VERIFICATION</x:v>
      </x:c>
    </x:row>
    <x:row r="162">
      <x:c r="A162" s="2" t="str">
        <x:v>MAIN-010-R23</x:v>
      </x:c>
      <x:c r="B162" s="2" t="str">
        <x:v>PCB-MAIN</x:v>
      </x:c>
      <x:c r="C162" s="14" t="str">
        <x:v>R23</x:v>
      </x:c>
      <x:c r="D162" s="2" t="str">
        <x:v>Resistor</x:v>
      </x:c>
      <x:c r="E162" s="17" t="str">
        <x:v>U18 MCU-side inactive-state pull-down</x:v>
      </x:c>
      <x:c r="F162" s="2" t="str">
        <x:v>Panasonic</x:v>
      </x:c>
      <x:c r="G162" s="2" t="str">
        <x:v>ERJ-2RKF1003X</x:v>
      </x:c>
      <x:c r="H162" s="2" t="str">
        <x:v>0402</x:v>
      </x:c>
      <x:c r="I162" s="16" t="n">
        <x:v>1</x:v>
      </x:c>
      <x:c r="J162" s="16" t="n">
        <x:v>4</x:v>
      </x:c>
      <x:c r="K162" s="16" t="n">
        <x:v>0</x:v>
      </x:c>
      <x:c r="L162" s="16" t="n">
        <x:v>4</x:v>
      </x:c>
      <x:c r="M162" s="16" t="n">
        <x:v>10</x:v>
      </x:c>
      <x:c r="N162" s="16" t="n">
        <x:v>0</x:v>
      </x:c>
      <x:c r="O162" s="16" t="n">
        <x:v>10</x:v>
      </x:c>
      <x:c r="P162" s="16" t="n">
        <x:v>20</x:v>
      </x:c>
      <x:c r="Q162" s="16" t="n">
        <x:v>0</x:v>
      </x:c>
      <x:c r="R162" s="16" t="n">
        <x:v>20</x:v>
      </x:c>
      <x:c r="S162" s="14" t="str">
        <x:v>NONE</x:v>
      </x:c>
      <x:c r="T162" s="2" t="str">
        <x:v>COMMON</x:v>
      </x:c>
      <x:c r="U162" s="14" t="str">
        <x:v>SELECTED_PENDING_REVIEW_A</x:v>
      </x:c>
      <x:c r="V162" s="17" t="str">
        <x:v>Authorized or traceable tier-1 channel</x:v>
      </x:c>
      <x:c r="W162" s="17" t="str">
        <x:v>Marking MPN package orientation electrical functional sample</x:v>
      </x:c>
      <x:c r="X162" s="17" t="str">
        <x:v>MAIN-AUTH-010 exact capture authority; physical pins: 1=MIC_WAKE;2=GND; Keeps PA8 low during partial power</x:v>
      </x:c>
      <x:c r="Y162" s="2" t="str">
        <x:v>100 kOhm 1%</x:v>
      </x:c>
      <x:c r="Z162" s="2" t="str">
        <x:v>ELECTRICAL_COMPONENT</x:v>
      </x:c>
      <x:c r="AA162" s="2" t="str">
        <x:v>FITTED</x:v>
      </x:c>
      <x:c r="AB162" s="2" t="str">
        <x:v>-55..155</x:v>
      </x:c>
      <x:c r="AC162" s="14" t="str">
        <x:v>CONTROLLED_PENDING_VERIFICATION</x:v>
      </x:c>
    </x:row>
    <x:row r="163">
      <x:c r="A163" s="2" t="str">
        <x:v>MAIN-010-R24</x:v>
      </x:c>
      <x:c r="B163" s="2" t="str">
        <x:v>PCB-MAIN</x:v>
      </x:c>
      <x:c r="C163" s="14" t="str">
        <x:v>R24</x:v>
      </x:c>
      <x:c r="D163" s="2" t="str">
        <x:v>Resistor</x:v>
      </x:c>
      <x:c r="E163" s="17" t="str">
        <x:v>Q1 base current limiter</x:v>
      </x:c>
      <x:c r="F163" s="2" t="str">
        <x:v>Panasonic</x:v>
      </x:c>
      <x:c r="G163" s="2" t="str">
        <x:v>ERJ-2RKF4701X</x:v>
      </x:c>
      <x:c r="H163" s="2" t="str">
        <x:v>0402</x:v>
      </x:c>
      <x:c r="I163" s="16" t="n">
        <x:v>1</x:v>
      </x:c>
      <x:c r="J163" s="16" t="n">
        <x:v>4</x:v>
      </x:c>
      <x:c r="K163" s="16" t="n">
        <x:v>0</x:v>
      </x:c>
      <x:c r="L163" s="16" t="n">
        <x:v>4</x:v>
      </x:c>
      <x:c r="M163" s="16" t="n">
        <x:v>10</x:v>
      </x:c>
      <x:c r="N163" s="16" t="n">
        <x:v>0</x:v>
      </x:c>
      <x:c r="O163" s="16" t="n">
        <x:v>10</x:v>
      </x:c>
      <x:c r="P163" s="16" t="n">
        <x:v>20</x:v>
      </x:c>
      <x:c r="Q163" s="16" t="n">
        <x:v>0</x:v>
      </x:c>
      <x:c r="R163" s="16" t="n">
        <x:v>20</x:v>
      </x:c>
      <x:c r="S163" s="14" t="str">
        <x:v>NONE</x:v>
      </x:c>
      <x:c r="T163" s="2" t="str">
        <x:v>COMMON</x:v>
      </x:c>
      <x:c r="U163" s="14" t="str">
        <x:v>SELECTED_PENDING_REVIEW_A</x:v>
      </x:c>
      <x:c r="V163" s="17" t="str">
        <x:v>Authorized or traceable tier-1 channel</x:v>
      </x:c>
      <x:c r="W163" s="17" t="str">
        <x:v>Marking MPN package orientation electrical functional sample</x:v>
      </x:c>
      <x:c r="X163" s="17" t="str">
        <x:v>MAIN-AUTH-010 exact capture authority; physical pins: 1=CELL_PWRKEY_CMD;2=Q1_BASE; Q1 pin 1 endpoint</x:v>
      </x:c>
      <x:c r="Y163" s="2" t="str">
        <x:v>4.7 kOhm 1%</x:v>
      </x:c>
      <x:c r="Z163" s="2" t="str">
        <x:v>ELECTRICAL_COMPONENT</x:v>
      </x:c>
      <x:c r="AA163" s="2" t="str">
        <x:v>FITTED</x:v>
      </x:c>
      <x:c r="AB163" s="2" t="str">
        <x:v>-55..155</x:v>
      </x:c>
      <x:c r="AC163" s="14" t="str">
        <x:v>CONTROLLED_PENDING_VERIFICATION</x:v>
      </x:c>
    </x:row>
    <x:row r="164">
      <x:c r="A164" s="2" t="str">
        <x:v>MAIN-010-R25</x:v>
      </x:c>
      <x:c r="B164" s="2" t="str">
        <x:v>PCB-MAIN</x:v>
      </x:c>
      <x:c r="C164" s="14" t="str">
        <x:v>R25</x:v>
      </x:c>
      <x:c r="D164" s="2" t="str">
        <x:v>Resistor</x:v>
      </x:c>
      <x:c r="E164" s="17" t="str">
        <x:v>Q1 base-emitter off-state pull</x:v>
      </x:c>
      <x:c r="F164" s="2" t="str">
        <x:v>Panasonic</x:v>
      </x:c>
      <x:c r="G164" s="2" t="str">
        <x:v>ERJ-2RKF4702X</x:v>
      </x:c>
      <x:c r="H164" s="2" t="str">
        <x:v>0402</x:v>
      </x:c>
      <x:c r="I164" s="16" t="n">
        <x:v>1</x:v>
      </x:c>
      <x:c r="J164" s="16" t="n">
        <x:v>4</x:v>
      </x:c>
      <x:c r="K164" s="16" t="n">
        <x:v>0</x:v>
      </x:c>
      <x:c r="L164" s="16" t="n">
        <x:v>4</x:v>
      </x:c>
      <x:c r="M164" s="16" t="n">
        <x:v>10</x:v>
      </x:c>
      <x:c r="N164" s="16" t="n">
        <x:v>0</x:v>
      </x:c>
      <x:c r="O164" s="16" t="n">
        <x:v>10</x:v>
      </x:c>
      <x:c r="P164" s="16" t="n">
        <x:v>20</x:v>
      </x:c>
      <x:c r="Q164" s="16" t="n">
        <x:v>0</x:v>
      </x:c>
      <x:c r="R164" s="16" t="n">
        <x:v>20</x:v>
      </x:c>
      <x:c r="S164" s="14" t="str">
        <x:v>NONE</x:v>
      </x:c>
      <x:c r="T164" s="2" t="str">
        <x:v>COMMON</x:v>
      </x:c>
      <x:c r="U164" s="14" t="str">
        <x:v>SELECTED_PENDING_REVIEW_A</x:v>
      </x:c>
      <x:c r="V164" s="17" t="str">
        <x:v>Authorized or traceable tier-1 channel</x:v>
      </x:c>
      <x:c r="W164" s="17" t="str">
        <x:v>Marking MPN package orientation electrical functional sample</x:v>
      </x:c>
      <x:c r="X164" s="17" t="str">
        <x:v>MAIN-AUTH-010 exact capture authority; physical pins: 1=Q1_BASE;2=GND_MODEM; Prevents unintended PWRKEY assertion</x:v>
      </x:c>
      <x:c r="Y164" s="2" t="str">
        <x:v>47 kOhm 1%</x:v>
      </x:c>
      <x:c r="Z164" s="2" t="str">
        <x:v>ELECTRICAL_COMPONENT</x:v>
      </x:c>
      <x:c r="AA164" s="2" t="str">
        <x:v>FITTED</x:v>
      </x:c>
      <x:c r="AB164" s="2" t="str">
        <x:v>-55..155</x:v>
      </x:c>
      <x:c r="AC164" s="14" t="str">
        <x:v>CONTROLLED_PENDING_VERIFICATION</x:v>
      </x:c>
    </x:row>
    <x:row r="165">
      <x:c r="A165" s="2" t="str">
        <x:v>MAIN-010-R26</x:v>
      </x:c>
      <x:c r="B165" s="2" t="str">
        <x:v>PCB-MAIN</x:v>
      </x:c>
      <x:c r="C165" s="14" t="str">
        <x:v>R26</x:v>
      </x:c>
      <x:c r="D165" s="2" t="str">
        <x:v>Resistor</x:v>
      </x:c>
      <x:c r="E165" s="17" t="str">
        <x:v>Q2 base current limiter</x:v>
      </x:c>
      <x:c r="F165" s="2" t="str">
        <x:v>Panasonic</x:v>
      </x:c>
      <x:c r="G165" s="2" t="str">
        <x:v>ERJ-2RKF4701X</x:v>
      </x:c>
      <x:c r="H165" s="2" t="str">
        <x:v>0402</x:v>
      </x:c>
      <x:c r="I165" s="16" t="n">
        <x:v>1</x:v>
      </x:c>
      <x:c r="J165" s="16" t="n">
        <x:v>4</x:v>
      </x:c>
      <x:c r="K165" s="16" t="n">
        <x:v>0</x:v>
      </x:c>
      <x:c r="L165" s="16" t="n">
        <x:v>4</x:v>
      </x:c>
      <x:c r="M165" s="16" t="n">
        <x:v>10</x:v>
      </x:c>
      <x:c r="N165" s="16" t="n">
        <x:v>0</x:v>
      </x:c>
      <x:c r="O165" s="16" t="n">
        <x:v>10</x:v>
      </x:c>
      <x:c r="P165" s="16" t="n">
        <x:v>20</x:v>
      </x:c>
      <x:c r="Q165" s="16" t="n">
        <x:v>0</x:v>
      </x:c>
      <x:c r="R165" s="16" t="n">
        <x:v>20</x:v>
      </x:c>
      <x:c r="S165" s="14" t="str">
        <x:v>NONE</x:v>
      </x:c>
      <x:c r="T165" s="2" t="str">
        <x:v>COMMON</x:v>
      </x:c>
      <x:c r="U165" s="14" t="str">
        <x:v>SELECTED_PENDING_REVIEW_A</x:v>
      </x:c>
      <x:c r="V165" s="17" t="str">
        <x:v>Authorized or traceable tier-1 channel</x:v>
      </x:c>
      <x:c r="W165" s="17" t="str">
        <x:v>Marking MPN package orientation electrical functional sample</x:v>
      </x:c>
      <x:c r="X165" s="17" t="str">
        <x:v>MAIN-AUTH-010 exact capture authority; physical pins: 1=CELL_RESET_N_CMD;2=Q2_BASE; Q2 pin 1 endpoint</x:v>
      </x:c>
      <x:c r="Y165" s="2" t="str">
        <x:v>4.7 kOhm 1%</x:v>
      </x:c>
      <x:c r="Z165" s="2" t="str">
        <x:v>ELECTRICAL_COMPONENT</x:v>
      </x:c>
      <x:c r="AA165" s="2" t="str">
        <x:v>FITTED</x:v>
      </x:c>
      <x:c r="AB165" s="2" t="str">
        <x:v>-55..155</x:v>
      </x:c>
      <x:c r="AC165" s="14" t="str">
        <x:v>CONTROLLED_PENDING_VERIFICATION</x:v>
      </x:c>
    </x:row>
    <x:row r="166">
      <x:c r="A166" s="2" t="str">
        <x:v>MAIN-010-R27</x:v>
      </x:c>
      <x:c r="B166" s="2" t="str">
        <x:v>PCB-MAIN</x:v>
      </x:c>
      <x:c r="C166" s="14" t="str">
        <x:v>R27</x:v>
      </x:c>
      <x:c r="D166" s="2" t="str">
        <x:v>Resistor</x:v>
      </x:c>
      <x:c r="E166" s="17" t="str">
        <x:v>Q2 base-emitter off-state pull</x:v>
      </x:c>
      <x:c r="F166" s="2" t="str">
        <x:v>Panasonic</x:v>
      </x:c>
      <x:c r="G166" s="2" t="str">
        <x:v>ERJ-2RKF4702X</x:v>
      </x:c>
      <x:c r="H166" s="2" t="str">
        <x:v>0402</x:v>
      </x:c>
      <x:c r="I166" s="16" t="n">
        <x:v>1</x:v>
      </x:c>
      <x:c r="J166" s="16" t="n">
        <x:v>4</x:v>
      </x:c>
      <x:c r="K166" s="16" t="n">
        <x:v>0</x:v>
      </x:c>
      <x:c r="L166" s="16" t="n">
        <x:v>4</x:v>
      </x:c>
      <x:c r="M166" s="16" t="n">
        <x:v>10</x:v>
      </x:c>
      <x:c r="N166" s="16" t="n">
        <x:v>0</x:v>
      </x:c>
      <x:c r="O166" s="16" t="n">
        <x:v>10</x:v>
      </x:c>
      <x:c r="P166" s="16" t="n">
        <x:v>20</x:v>
      </x:c>
      <x:c r="Q166" s="16" t="n">
        <x:v>0</x:v>
      </x:c>
      <x:c r="R166" s="16" t="n">
        <x:v>20</x:v>
      </x:c>
      <x:c r="S166" s="14" t="str">
        <x:v>NONE</x:v>
      </x:c>
      <x:c r="T166" s="2" t="str">
        <x:v>COMMON</x:v>
      </x:c>
      <x:c r="U166" s="14" t="str">
        <x:v>SELECTED_PENDING_REVIEW_A</x:v>
      </x:c>
      <x:c r="V166" s="17" t="str">
        <x:v>Authorized or traceable tier-1 channel</x:v>
      </x:c>
      <x:c r="W166" s="17" t="str">
        <x:v>Marking MPN package orientation electrical functional sample</x:v>
      </x:c>
      <x:c r="X166" s="17" t="str">
        <x:v>MAIN-AUTH-010 exact capture authority; physical pins: 1=Q2_BASE;2=GND_MODEM; Prevents unintended RESET_N assertion</x:v>
      </x:c>
      <x:c r="Y166" s="2" t="str">
        <x:v>47 kOhm 1%</x:v>
      </x:c>
      <x:c r="Z166" s="2" t="str">
        <x:v>ELECTRICAL_COMPONENT</x:v>
      </x:c>
      <x:c r="AA166" s="2" t="str">
        <x:v>FITTED</x:v>
      </x:c>
      <x:c r="AB166" s="2" t="str">
        <x:v>-55..155</x:v>
      </x:c>
      <x:c r="AC166" s="14" t="str">
        <x:v>CONTROLLED_PENDING_VERIFICATION</x:v>
      </x:c>
    </x:row>
    <x:row r="167">
      <x:c r="A167" s="2" t="str">
        <x:v>MAIN-010-R28</x:v>
      </x:c>
      <x:c r="B167" s="2" t="str">
        <x:v>PCB-MAIN</x:v>
      </x:c>
      <x:c r="C167" s="14" t="str">
        <x:v>R28</x:v>
      </x:c>
      <x:c r="D167" s="2" t="str">
        <x:v>Resistor</x:v>
      </x:c>
      <x:c r="E167" s="17" t="str">
        <x:v>Modem receive path idle-HIGH pull-up</x:v>
      </x:c>
      <x:c r="F167" s="2" t="str">
        <x:v>Panasonic</x:v>
      </x:c>
      <x:c r="G167" s="2" t="str">
        <x:v>ERJ-2RKF1002X</x:v>
      </x:c>
      <x:c r="H167" s="2" t="str">
        <x:v>0402</x:v>
      </x:c>
      <x:c r="I167" s="16" t="n">
        <x:v>1</x:v>
      </x:c>
      <x:c r="J167" s="16" t="n">
        <x:v>4</x:v>
      </x:c>
      <x:c r="K167" s="16" t="n">
        <x:v>0</x:v>
      </x:c>
      <x:c r="L167" s="16" t="n">
        <x:v>4</x:v>
      </x:c>
      <x:c r="M167" s="16" t="n">
        <x:v>10</x:v>
      </x:c>
      <x:c r="N167" s="16" t="n">
        <x:v>0</x:v>
      </x:c>
      <x:c r="O167" s="16" t="n">
        <x:v>10</x:v>
      </x:c>
      <x:c r="P167" s="16" t="n">
        <x:v>20</x:v>
      </x:c>
      <x:c r="Q167" s="16" t="n">
        <x:v>0</x:v>
      </x:c>
      <x:c r="R167" s="16" t="n">
        <x:v>20</x:v>
      </x:c>
      <x:c r="S167" s="14" t="str">
        <x:v>NONE</x:v>
      </x:c>
      <x:c r="T167" s="2" t="str">
        <x:v>COMMON</x:v>
      </x:c>
      <x:c r="U167" s="14" t="str">
        <x:v>SELECTED_PENDING_REVIEW_A</x:v>
      </x:c>
      <x:c r="V167" s="17" t="str">
        <x:v>Authorized or traceable tier-1 channel</x:v>
      </x:c>
      <x:c r="W167" s="17" t="str">
        <x:v>Marking MPN package orientation electrical functional sample</x:v>
      </x:c>
      <x:c r="X167" s="17" t="str">
        <x:v>MAIN-AUTH-010 exact capture authority; physical pins: 1=3V3_DIGITAL;2=CELL_TX_U16; U16 B5 side</x:v>
      </x:c>
      <x:c r="Y167" s="2" t="str">
        <x:v>10 kOhm 1%</x:v>
      </x:c>
      <x:c r="Z167" s="2" t="str">
        <x:v>ELECTRICAL_COMPONENT</x:v>
      </x:c>
      <x:c r="AA167" s="2" t="str">
        <x:v>FITTED</x:v>
      </x:c>
      <x:c r="AB167" s="2" t="str">
        <x:v>-55..155</x:v>
      </x:c>
      <x:c r="AC167" s="14" t="str">
        <x:v>CONTROLLED_PENDING_VERIFICATION</x:v>
      </x:c>
    </x:row>
    <x:row r="168">
      <x:c r="A168" s="2" t="str">
        <x:v>MAIN-010-R29</x:v>
      </x:c>
      <x:c r="B168" s="2" t="str">
        <x:v>PCB-MAIN</x:v>
      </x:c>
      <x:c r="C168" s="14" t="str">
        <x:v>R29</x:v>
      </x:c>
      <x:c r="D168" s="2" t="str">
        <x:v>Resistor</x:v>
      </x:c>
      <x:c r="E168" s="17" t="str">
        <x:v>Modem DTR default-awake pull-down</x:v>
      </x:c>
      <x:c r="F168" s="2" t="str">
        <x:v>Panasonic</x:v>
      </x:c>
      <x:c r="G168" s="2" t="str">
        <x:v>ERJ-2RKF1003X</x:v>
      </x:c>
      <x:c r="H168" s="2" t="str">
        <x:v>0402</x:v>
      </x:c>
      <x:c r="I168" s="16" t="n">
        <x:v>1</x:v>
      </x:c>
      <x:c r="J168" s="16" t="n">
        <x:v>4</x:v>
      </x:c>
      <x:c r="K168" s="16" t="n">
        <x:v>0</x:v>
      </x:c>
      <x:c r="L168" s="16" t="n">
        <x:v>4</x:v>
      </x:c>
      <x:c r="M168" s="16" t="n">
        <x:v>10</x:v>
      </x:c>
      <x:c r="N168" s="16" t="n">
        <x:v>0</x:v>
      </x:c>
      <x:c r="O168" s="16" t="n">
        <x:v>10</x:v>
      </x:c>
      <x:c r="P168" s="16" t="n">
        <x:v>20</x:v>
      </x:c>
      <x:c r="Q168" s="16" t="n">
        <x:v>0</x:v>
      </x:c>
      <x:c r="R168" s="16" t="n">
        <x:v>20</x:v>
      </x:c>
      <x:c r="S168" s="14" t="str">
        <x:v>NONE</x:v>
      </x:c>
      <x:c r="T168" s="2" t="str">
        <x:v>COMMON</x:v>
      </x:c>
      <x:c r="U168" s="14" t="str">
        <x:v>SELECTED_PENDING_REVIEW_A</x:v>
      </x:c>
      <x:c r="V168" s="17" t="str">
        <x:v>Authorized or traceable tier-1 channel</x:v>
      </x:c>
      <x:c r="W168" s="17" t="str">
        <x:v>Marking MPN package orientation electrical functional sample</x:v>
      </x:c>
      <x:c r="X168" s="17" t="str">
        <x:v>MAIN-AUTH-010 exact capture authority; physical pins: 1=CELL_DTR_U16;2=GND_MODEM; U16 B6 side</x:v>
      </x:c>
      <x:c r="Y168" s="2" t="str">
        <x:v>100 kOhm 1%</x:v>
      </x:c>
      <x:c r="Z168" s="2" t="str">
        <x:v>ELECTRICAL_COMPONENT</x:v>
      </x:c>
      <x:c r="AA168" s="2" t="str">
        <x:v>FITTED</x:v>
      </x:c>
      <x:c r="AB168" s="2" t="str">
        <x:v>-55..155</x:v>
      </x:c>
      <x:c r="AC168" s="14" t="str">
        <x:v>CONTROLLED_PENDING_VERIFICATION</x:v>
      </x:c>
    </x:row>
    <x:row r="169">
      <x:c r="A169" s="2" t="str">
        <x:v>MAIN-010-R30</x:v>
      </x:c>
      <x:c r="B169" s="2" t="str">
        <x:v>PCB-MAIN</x:v>
      </x:c>
      <x:c r="C169" s="14" t="str">
        <x:v>R30</x:v>
      </x:c>
      <x:c r="D169" s="2" t="str">
        <x:v>Resistor</x:v>
      </x:c>
      <x:c r="E169" s="17" t="str">
        <x:v>U8 UART transmit idle-HIGH pull-up</x:v>
      </x:c>
      <x:c r="F169" s="2" t="str">
        <x:v>Panasonic</x:v>
      </x:c>
      <x:c r="G169" s="2" t="str">
        <x:v>ERJ-2RKF1002X</x:v>
      </x:c>
      <x:c r="H169" s="2" t="str">
        <x:v>0402</x:v>
      </x:c>
      <x:c r="I169" s="16" t="n">
        <x:v>1</x:v>
      </x:c>
      <x:c r="J169" s="16" t="n">
        <x:v>4</x:v>
      </x:c>
      <x:c r="K169" s="16" t="n">
        <x:v>0</x:v>
      </x:c>
      <x:c r="L169" s="16" t="n">
        <x:v>4</x:v>
      </x:c>
      <x:c r="M169" s="16" t="n">
        <x:v>10</x:v>
      </x:c>
      <x:c r="N169" s="16" t="n">
        <x:v>0</x:v>
      </x:c>
      <x:c r="O169" s="16" t="n">
        <x:v>10</x:v>
      </x:c>
      <x:c r="P169" s="16" t="n">
        <x:v>20</x:v>
      </x:c>
      <x:c r="Q169" s="16" t="n">
        <x:v>0</x:v>
      </x:c>
      <x:c r="R169" s="16" t="n">
        <x:v>20</x:v>
      </x:c>
      <x:c r="S169" s="14" t="str">
        <x:v>NONE</x:v>
      </x:c>
      <x:c r="T169" s="2" t="str">
        <x:v>COMMON</x:v>
      </x:c>
      <x:c r="U169" s="14" t="str">
        <x:v>SELECTED_PENDING_REVIEW_A</x:v>
      </x:c>
      <x:c r="V169" s="17" t="str">
        <x:v>Authorized or traceable tier-1 channel</x:v>
      </x:c>
      <x:c r="W169" s="17" t="str">
        <x:v>Marking MPN package orientation electrical functional sample</x:v>
      </x:c>
      <x:c r="X169" s="17" t="str">
        <x:v>MAIN-AUTH-010 exact capture authority; physical pins: 1=U8_VDD_EXT_1V8;2=U8_MAIN_TXD_1V8; U16 A1 side</x:v>
      </x:c>
      <x:c r="Y169" s="2" t="str">
        <x:v>10 kOhm 1%</x:v>
      </x:c>
      <x:c r="Z169" s="2" t="str">
        <x:v>ELECTRICAL_COMPONENT</x:v>
      </x:c>
      <x:c r="AA169" s="2" t="str">
        <x:v>FITTED</x:v>
      </x:c>
      <x:c r="AB169" s="2" t="str">
        <x:v>-55..155</x:v>
      </x:c>
      <x:c r="AC169" s="14" t="str">
        <x:v>CONTROLLED_PENDING_VERIFICATION</x:v>
      </x:c>
    </x:row>
    <x:row r="170">
      <x:c r="A170" s="2" t="str">
        <x:v>MAIN-010-R31</x:v>
      </x:c>
      <x:c r="B170" s="2" t="str">
        <x:v>PCB-MAIN</x:v>
      </x:c>
      <x:c r="C170" s="14" t="str">
        <x:v>R31</x:v>
      </x:c>
      <x:c r="D170" s="2" t="str">
        <x:v>Resistor</x:v>
      </x:c>
      <x:c r="E170" s="17" t="str">
        <x:v>U8 ring indicator inactive-HIGH pull-up</x:v>
      </x:c>
      <x:c r="F170" s="2" t="str">
        <x:v>Panasonic</x:v>
      </x:c>
      <x:c r="G170" s="2" t="str">
        <x:v>ERJ-2RKF1002X</x:v>
      </x:c>
      <x:c r="H170" s="2" t="str">
        <x:v>0402</x:v>
      </x:c>
      <x:c r="I170" s="16" t="n">
        <x:v>1</x:v>
      </x:c>
      <x:c r="J170" s="16" t="n">
        <x:v>4</x:v>
      </x:c>
      <x:c r="K170" s="16" t="n">
        <x:v>0</x:v>
      </x:c>
      <x:c r="L170" s="16" t="n">
        <x:v>4</x:v>
      </x:c>
      <x:c r="M170" s="16" t="n">
        <x:v>10</x:v>
      </x:c>
      <x:c r="N170" s="16" t="n">
        <x:v>0</x:v>
      </x:c>
      <x:c r="O170" s="16" t="n">
        <x:v>10</x:v>
      </x:c>
      <x:c r="P170" s="16" t="n">
        <x:v>20</x:v>
      </x:c>
      <x:c r="Q170" s="16" t="n">
        <x:v>0</x:v>
      </x:c>
      <x:c r="R170" s="16" t="n">
        <x:v>20</x:v>
      </x:c>
      <x:c r="S170" s="14" t="str">
        <x:v>NONE</x:v>
      </x:c>
      <x:c r="T170" s="2" t="str">
        <x:v>COMMON</x:v>
      </x:c>
      <x:c r="U170" s="14" t="str">
        <x:v>SELECTED_PENDING_REVIEW_A</x:v>
      </x:c>
      <x:c r="V170" s="17" t="str">
        <x:v>Authorized or traceable tier-1 channel</x:v>
      </x:c>
      <x:c r="W170" s="17" t="str">
        <x:v>Marking MPN package orientation electrical functional sample</x:v>
      </x:c>
      <x:c r="X170" s="17" t="str">
        <x:v>MAIN-AUTH-010 exact capture authority; physical pins: 1=U8_VDD_EXT_1V8;2=U8_MAIN_RI_1V8; U16 A3 side</x:v>
      </x:c>
      <x:c r="Y170" s="2" t="str">
        <x:v>10 kOhm 1%</x:v>
      </x:c>
      <x:c r="Z170" s="2" t="str">
        <x:v>ELECTRICAL_COMPONENT</x:v>
      </x:c>
      <x:c r="AA170" s="2" t="str">
        <x:v>FITTED</x:v>
      </x:c>
      <x:c r="AB170" s="2" t="str">
        <x:v>-55..155</x:v>
      </x:c>
      <x:c r="AC170" s="14" t="str">
        <x:v>CONTROLLED_PENDING_VERIFICATION</x:v>
      </x:c>
    </x:row>
    <x:row r="171">
      <x:c r="A171" s="2" t="str">
        <x:v>MAIN-010-R32</x:v>
      </x:c>
      <x:c r="B171" s="2" t="str">
        <x:v>PCB-MAIN</x:v>
      </x:c>
      <x:c r="C171" s="14" t="str">
        <x:v>R32</x:v>
      </x:c>
      <x:c r="D171" s="2" t="str">
        <x:v>Resistor</x:v>
      </x:c>
      <x:c r="E171" s="17" t="str">
        <x:v>MCU receive inactive-HIGH pull-up</x:v>
      </x:c>
      <x:c r="F171" s="2" t="str">
        <x:v>Panasonic</x:v>
      </x:c>
      <x:c r="G171" s="2" t="str">
        <x:v>ERJ-2RKF1003X</x:v>
      </x:c>
      <x:c r="H171" s="2" t="str">
        <x:v>0402</x:v>
      </x:c>
      <x:c r="I171" s="16" t="n">
        <x:v>1</x:v>
      </x:c>
      <x:c r="J171" s="16" t="n">
        <x:v>4</x:v>
      </x:c>
      <x:c r="K171" s="16" t="n">
        <x:v>0</x:v>
      </x:c>
      <x:c r="L171" s="16" t="n">
        <x:v>4</x:v>
      </x:c>
      <x:c r="M171" s="16" t="n">
        <x:v>10</x:v>
      </x:c>
      <x:c r="N171" s="16" t="n">
        <x:v>0</x:v>
      </x:c>
      <x:c r="O171" s="16" t="n">
        <x:v>10</x:v>
      </x:c>
      <x:c r="P171" s="16" t="n">
        <x:v>20</x:v>
      </x:c>
      <x:c r="Q171" s="16" t="n">
        <x:v>0</x:v>
      </x:c>
      <x:c r="R171" s="16" t="n">
        <x:v>20</x:v>
      </x:c>
      <x:c r="S171" s="14" t="str">
        <x:v>NONE</x:v>
      </x:c>
      <x:c r="T171" s="2" t="str">
        <x:v>COMMON</x:v>
      </x:c>
      <x:c r="U171" s="14" t="str">
        <x:v>SELECTED_PENDING_REVIEW_A</x:v>
      </x:c>
      <x:c r="V171" s="17" t="str">
        <x:v>Authorized or traceable tier-1 channel</x:v>
      </x:c>
      <x:c r="W171" s="17" t="str">
        <x:v>Marking MPN package orientation electrical functional sample</x:v>
      </x:c>
      <x:c r="X171" s="17" t="str">
        <x:v>MAIN-AUTH-010 exact capture authority; physical pins: 1=3V3_DIGITAL;2=CELL_RX_U16; U16 B1 side</x:v>
      </x:c>
      <x:c r="Y171" s="2" t="str">
        <x:v>100 kOhm 1%</x:v>
      </x:c>
      <x:c r="Z171" s="2" t="str">
        <x:v>ELECTRICAL_COMPONENT</x:v>
      </x:c>
      <x:c r="AA171" s="2" t="str">
        <x:v>FITTED</x:v>
      </x:c>
      <x:c r="AB171" s="2" t="str">
        <x:v>-55..155</x:v>
      </x:c>
      <x:c r="AC171" s="14" t="str">
        <x:v>CONTROLLED_PENDING_VERIFICATION</x:v>
      </x:c>
    </x:row>
    <x:row r="172">
      <x:c r="A172" s="2" t="str">
        <x:v>MAIN-010-R33</x:v>
      </x:c>
      <x:c r="B172" s="2" t="str">
        <x:v>PCB-MAIN</x:v>
      </x:c>
      <x:c r="C172" s="14" t="str">
        <x:v>R33</x:v>
      </x:c>
      <x:c r="D172" s="2" t="str">
        <x:v>Resistor</x:v>
      </x:c>
      <x:c r="E172" s="17" t="str">
        <x:v>MCU RI inactive-HIGH pull-up</x:v>
      </x:c>
      <x:c r="F172" s="2" t="str">
        <x:v>Panasonic</x:v>
      </x:c>
      <x:c r="G172" s="2" t="str">
        <x:v>ERJ-2RKF1003X</x:v>
      </x:c>
      <x:c r="H172" s="2" t="str">
        <x:v>0402</x:v>
      </x:c>
      <x:c r="I172" s="16" t="n">
        <x:v>1</x:v>
      </x:c>
      <x:c r="J172" s="16" t="n">
        <x:v>4</x:v>
      </x:c>
      <x:c r="K172" s="16" t="n">
        <x:v>0</x:v>
      </x:c>
      <x:c r="L172" s="16" t="n">
        <x:v>4</x:v>
      </x:c>
      <x:c r="M172" s="16" t="n">
        <x:v>10</x:v>
      </x:c>
      <x:c r="N172" s="16" t="n">
        <x:v>0</x:v>
      </x:c>
      <x:c r="O172" s="16" t="n">
        <x:v>10</x:v>
      </x:c>
      <x:c r="P172" s="16" t="n">
        <x:v>20</x:v>
      </x:c>
      <x:c r="Q172" s="16" t="n">
        <x:v>0</x:v>
      </x:c>
      <x:c r="R172" s="16" t="n">
        <x:v>20</x:v>
      </x:c>
      <x:c r="S172" s="14" t="str">
        <x:v>NONE</x:v>
      </x:c>
      <x:c r="T172" s="2" t="str">
        <x:v>COMMON</x:v>
      </x:c>
      <x:c r="U172" s="14" t="str">
        <x:v>SELECTED_PENDING_REVIEW_A</x:v>
      </x:c>
      <x:c r="V172" s="17" t="str">
        <x:v>Authorized or traceable tier-1 channel</x:v>
      </x:c>
      <x:c r="W172" s="17" t="str">
        <x:v>Marking MPN package orientation electrical functional sample</x:v>
      </x:c>
      <x:c r="X172" s="17" t="str">
        <x:v>MAIN-AUTH-010 exact capture authority; physical pins: 1=3V3_DIGITAL;2=CELL_RI_U16; U16 B3 side</x:v>
      </x:c>
      <x:c r="Y172" s="2" t="str">
        <x:v>100 kOhm 1%</x:v>
      </x:c>
      <x:c r="Z172" s="2" t="str">
        <x:v>ELECTRICAL_COMPONENT</x:v>
      </x:c>
      <x:c r="AA172" s="2" t="str">
        <x:v>FITTED</x:v>
      </x:c>
      <x:c r="AB172" s="2" t="str">
        <x:v>-55..155</x:v>
      </x:c>
      <x:c r="AC172" s="14" t="str">
        <x:v>CONTROLLED_PENDING_VERIFICATION</x:v>
      </x:c>
    </x:row>
    <x:row r="173">
      <x:c r="A173" s="2" t="str">
        <x:v>MAIN-010-R34</x:v>
      </x:c>
      <x:c r="B173" s="2" t="str">
        <x:v>PCB-MAIN</x:v>
      </x:c>
      <x:c r="C173" s="14" t="str">
        <x:v>R34</x:v>
      </x:c>
      <x:c r="D173" s="2" t="str">
        <x:v>Resistor</x:v>
      </x:c>
      <x:c r="E173" s="17" t="str">
        <x:v>Modem status inactive-LOW pull-down</x:v>
      </x:c>
      <x:c r="F173" s="2" t="str">
        <x:v>Panasonic</x:v>
      </x:c>
      <x:c r="G173" s="2" t="str">
        <x:v>ERJ-2RKF1003X</x:v>
      </x:c>
      <x:c r="H173" s="2" t="str">
        <x:v>0402</x:v>
      </x:c>
      <x:c r="I173" s="16" t="n">
        <x:v>1</x:v>
      </x:c>
      <x:c r="J173" s="16" t="n">
        <x:v>4</x:v>
      </x:c>
      <x:c r="K173" s="16" t="n">
        <x:v>0</x:v>
      </x:c>
      <x:c r="L173" s="16" t="n">
        <x:v>4</x:v>
      </x:c>
      <x:c r="M173" s="16" t="n">
        <x:v>10</x:v>
      </x:c>
      <x:c r="N173" s="16" t="n">
        <x:v>0</x:v>
      </x:c>
      <x:c r="O173" s="16" t="n">
        <x:v>10</x:v>
      </x:c>
      <x:c r="P173" s="16" t="n">
        <x:v>20</x:v>
      </x:c>
      <x:c r="Q173" s="16" t="n">
        <x:v>0</x:v>
      </x:c>
      <x:c r="R173" s="16" t="n">
        <x:v>20</x:v>
      </x:c>
      <x:c r="S173" s="14" t="str">
        <x:v>NONE</x:v>
      </x:c>
      <x:c r="T173" s="2" t="str">
        <x:v>COMMON</x:v>
      </x:c>
      <x:c r="U173" s="14" t="str">
        <x:v>SELECTED_PENDING_REVIEW_A</x:v>
      </x:c>
      <x:c r="V173" s="17" t="str">
        <x:v>Authorized or traceable tier-1 channel</x:v>
      </x:c>
      <x:c r="W173" s="17" t="str">
        <x:v>Marking MPN package orientation electrical functional sample</x:v>
      </x:c>
      <x:c r="X173" s="17" t="str">
        <x:v>MAIN-AUTH-010 exact capture authority; physical pins: 1=CELL_STATUS_U16;2=GND_MODEM; U16 B2 side</x:v>
      </x:c>
      <x:c r="Y173" s="2" t="str">
        <x:v>100 kOhm 1%</x:v>
      </x:c>
      <x:c r="Z173" s="2" t="str">
        <x:v>ELECTRICAL_COMPONENT</x:v>
      </x:c>
      <x:c r="AA173" s="2" t="str">
        <x:v>FITTED</x:v>
      </x:c>
      <x:c r="AB173" s="2" t="str">
        <x:v>-55..155</x:v>
      </x:c>
      <x:c r="AC173" s="14" t="str">
        <x:v>CONTROLLED_PENDING_VERIFICATION</x:v>
      </x:c>
    </x:row>
    <x:row r="174">
      <x:c r="A174" s="2" t="str">
        <x:v>MAIN-010-R35</x:v>
      </x:c>
      <x:c r="B174" s="2" t="str">
        <x:v>PCB-MAIN</x:v>
      </x:c>
      <x:c r="C174" s="14" t="str">
        <x:v>R35</x:v>
      </x:c>
      <x:c r="D174" s="2" t="str">
        <x:v>Resistor</x:v>
      </x:c>
      <x:c r="E174" s="17" t="str">
        <x:v>BG95 USB boot normal-state pull-down</x:v>
      </x:c>
      <x:c r="F174" s="2" t="str">
        <x:v>Panasonic</x:v>
      </x:c>
      <x:c r="G174" s="2" t="str">
        <x:v>ERJ-2RKF1003X</x:v>
      </x:c>
      <x:c r="H174" s="2" t="str">
        <x:v>0402</x:v>
      </x:c>
      <x:c r="I174" s="16" t="n">
        <x:v>1</x:v>
      </x:c>
      <x:c r="J174" s="16" t="n">
        <x:v>4</x:v>
      </x:c>
      <x:c r="K174" s="16" t="n">
        <x:v>0</x:v>
      </x:c>
      <x:c r="L174" s="16" t="n">
        <x:v>4</x:v>
      </x:c>
      <x:c r="M174" s="16" t="n">
        <x:v>10</x:v>
      </x:c>
      <x:c r="N174" s="16" t="n">
        <x:v>0</x:v>
      </x:c>
      <x:c r="O174" s="16" t="n">
        <x:v>10</x:v>
      </x:c>
      <x:c r="P174" s="16" t="n">
        <x:v>20</x:v>
      </x:c>
      <x:c r="Q174" s="16" t="n">
        <x:v>0</x:v>
      </x:c>
      <x:c r="R174" s="16" t="n">
        <x:v>20</x:v>
      </x:c>
      <x:c r="S174" s="14" t="str">
        <x:v>NONE</x:v>
      </x:c>
      <x:c r="T174" s="2" t="str">
        <x:v>COMMON</x:v>
      </x:c>
      <x:c r="U174" s="14" t="str">
        <x:v>SELECTED_PENDING_REVIEW_A</x:v>
      </x:c>
      <x:c r="V174" s="17" t="str">
        <x:v>Authorized or traceable tier-1 channel</x:v>
      </x:c>
      <x:c r="W174" s="17" t="str">
        <x:v>Marking MPN package orientation electrical functional sample</x:v>
      </x:c>
      <x:c r="X174" s="17" t="str">
        <x:v>MAIN-AUTH-010 exact capture authority; physical pins: 1=CELL_USB_BOOT_1V8;2=GND_MODEM; Fixture drive is current limited through R38</x:v>
      </x:c>
      <x:c r="Y174" s="2" t="str">
        <x:v>100 kOhm 1%</x:v>
      </x:c>
      <x:c r="Z174" s="2" t="str">
        <x:v>ELECTRICAL_COMPONENT</x:v>
      </x:c>
      <x:c r="AA174" s="2" t="str">
        <x:v>FITTED</x:v>
      </x:c>
      <x:c r="AB174" s="2" t="str">
        <x:v>-55..155</x:v>
      </x:c>
      <x:c r="AC174" s="14" t="str">
        <x:v>CONTROLLED_PENDING_VERIFICATION</x:v>
      </x:c>
    </x:row>
    <x:row r="175">
      <x:c r="A175" s="2" t="str">
        <x:v>MAIN-010-R36</x:v>
      </x:c>
      <x:c r="B175" s="2" t="str">
        <x:v>PCB-MAIN</x:v>
      </x:c>
      <x:c r="C175" s="14" t="str">
        <x:v>R36</x:v>
      </x:c>
      <x:c r="D175" s="2" t="str">
        <x:v>Resistor</x:v>
      </x:c>
      <x:c r="E175" s="17" t="str">
        <x:v>BG95 debug TX source-series damping</x:v>
      </x:c>
      <x:c r="F175" s="2" t="str">
        <x:v>Panasonic</x:v>
      </x:c>
      <x:c r="G175" s="2" t="str">
        <x:v>ERJ-2RKF22R0X</x:v>
      </x:c>
      <x:c r="H175" s="2" t="str">
        <x:v>0402</x:v>
      </x:c>
      <x:c r="I175" s="16" t="n">
        <x:v>1</x:v>
      </x:c>
      <x:c r="J175" s="16" t="n">
        <x:v>4</x:v>
      </x:c>
      <x:c r="K175" s="16" t="n">
        <x:v>0</x:v>
      </x:c>
      <x:c r="L175" s="16" t="n">
        <x:v>4</x:v>
      </x:c>
      <x:c r="M175" s="16" t="n">
        <x:v>10</x:v>
      </x:c>
      <x:c r="N175" s="16" t="n">
        <x:v>0</x:v>
      </x:c>
      <x:c r="O175" s="16" t="n">
        <x:v>10</x:v>
      </x:c>
      <x:c r="P175" s="16" t="n">
        <x:v>20</x:v>
      </x:c>
      <x:c r="Q175" s="16" t="n">
        <x:v>0</x:v>
      </x:c>
      <x:c r="R175" s="16" t="n">
        <x:v>20</x:v>
      </x:c>
      <x:c r="S175" s="14" t="str">
        <x:v>NONE</x:v>
      </x:c>
      <x:c r="T175" s="2" t="str">
        <x:v>COMMON</x:v>
      </x:c>
      <x:c r="U175" s="14" t="str">
        <x:v>SELECTED_PENDING_REVIEW_A</x:v>
      </x:c>
      <x:c r="V175" s="17" t="str">
        <x:v>Authorized or traceable tier-1 channel</x:v>
      </x:c>
      <x:c r="W175" s="17" t="str">
        <x:v>Marking MPN package orientation electrical functional sample</x:v>
      </x:c>
      <x:c r="X175" s="17" t="str">
        <x:v>MAIN-AUTH-010 exact capture authority; physical pins: 1=CELL_DBG_TXD_U8;2=CELL_DBG_TXD_TP; Fixture is 1.8 V tolerant</x:v>
      </x:c>
      <x:c r="Y175" s="2" t="str">
        <x:v>22 Ohm 1%</x:v>
      </x:c>
      <x:c r="Z175" s="2" t="str">
        <x:v>ELECTRICAL_COMPONENT</x:v>
      </x:c>
      <x:c r="AA175" s="2" t="str">
        <x:v>FITTED</x:v>
      </x:c>
      <x:c r="AB175" s="2" t="str">
        <x:v>-55..155</x:v>
      </x:c>
      <x:c r="AC175" s="14" t="str">
        <x:v>CONTROLLED_PENDING_VERIFICATION</x:v>
      </x:c>
    </x:row>
    <x:row r="176">
      <x:c r="A176" s="2" t="str">
        <x:v>MAIN-010-R37</x:v>
      </x:c>
      <x:c r="B176" s="2" t="str">
        <x:v>PCB-MAIN</x:v>
      </x:c>
      <x:c r="C176" s="14" t="str">
        <x:v>R37</x:v>
      </x:c>
      <x:c r="D176" s="2" t="str">
        <x:v>Resistor</x:v>
      </x:c>
      <x:c r="E176" s="17" t="str">
        <x:v>BG95 debug RX fixture-side damping</x:v>
      </x:c>
      <x:c r="F176" s="2" t="str">
        <x:v>Panasonic</x:v>
      </x:c>
      <x:c r="G176" s="2" t="str">
        <x:v>ERJ-2RKF22R0X</x:v>
      </x:c>
      <x:c r="H176" s="2" t="str">
        <x:v>0402</x:v>
      </x:c>
      <x:c r="I176" s="16" t="n">
        <x:v>1</x:v>
      </x:c>
      <x:c r="J176" s="16" t="n">
        <x:v>4</x:v>
      </x:c>
      <x:c r="K176" s="16" t="n">
        <x:v>0</x:v>
      </x:c>
      <x:c r="L176" s="16" t="n">
        <x:v>4</x:v>
      </x:c>
      <x:c r="M176" s="16" t="n">
        <x:v>10</x:v>
      </x:c>
      <x:c r="N176" s="16" t="n">
        <x:v>0</x:v>
      </x:c>
      <x:c r="O176" s="16" t="n">
        <x:v>10</x:v>
      </x:c>
      <x:c r="P176" s="16" t="n">
        <x:v>20</x:v>
      </x:c>
      <x:c r="Q176" s="16" t="n">
        <x:v>0</x:v>
      </x:c>
      <x:c r="R176" s="16" t="n">
        <x:v>20</x:v>
      </x:c>
      <x:c r="S176" s="14" t="str">
        <x:v>NONE</x:v>
      </x:c>
      <x:c r="T176" s="2" t="str">
        <x:v>COMMON</x:v>
      </x:c>
      <x:c r="U176" s="14" t="str">
        <x:v>SELECTED_PENDING_REVIEW_A</x:v>
      </x:c>
      <x:c r="V176" s="17" t="str">
        <x:v>Authorized or traceable tier-1 channel</x:v>
      </x:c>
      <x:c r="W176" s="17" t="str">
        <x:v>Marking MPN package orientation electrical functional sample</x:v>
      </x:c>
      <x:c r="X176" s="17" t="str">
        <x:v>MAIN-AUTH-010 exact capture authority; physical pins: 1=CELL_DBG_RXD_TP;2=CELL_DBG_RXD_U8; Fixture output only after VREF valid</x:v>
      </x:c>
      <x:c r="Y176" s="2" t="str">
        <x:v>22 Ohm 1%</x:v>
      </x:c>
      <x:c r="Z176" s="2" t="str">
        <x:v>ELECTRICAL_COMPONENT</x:v>
      </x:c>
      <x:c r="AA176" s="2" t="str">
        <x:v>FITTED</x:v>
      </x:c>
      <x:c r="AB176" s="2" t="str">
        <x:v>-55..155</x:v>
      </x:c>
      <x:c r="AC176" s="14" t="str">
        <x:v>CONTROLLED_PENDING_VERIFICATION</x:v>
      </x:c>
    </x:row>
    <x:row r="177">
      <x:c r="A177" s="2" t="str">
        <x:v>MAIN-010-R38</x:v>
      </x:c>
      <x:c r="B177" s="2" t="str">
        <x:v>PCB-MAIN</x:v>
      </x:c>
      <x:c r="C177" s="14" t="str">
        <x:v>R38</x:v>
      </x:c>
      <x:c r="D177" s="2" t="str">
        <x:v>Resistor</x:v>
      </x:c>
      <x:c r="E177" s="17" t="str">
        <x:v>BG95 USB boot fixture current limiter</x:v>
      </x:c>
      <x:c r="F177" s="2" t="str">
        <x:v>Panasonic</x:v>
      </x:c>
      <x:c r="G177" s="2" t="str">
        <x:v>ERJ-2RKF1001X</x:v>
      </x:c>
      <x:c r="H177" s="2" t="str">
        <x:v>0402</x:v>
      </x:c>
      <x:c r="I177" s="16" t="n">
        <x:v>1</x:v>
      </x:c>
      <x:c r="J177" s="16" t="n">
        <x:v>4</x:v>
      </x:c>
      <x:c r="K177" s="16" t="n">
        <x:v>0</x:v>
      </x:c>
      <x:c r="L177" s="16" t="n">
        <x:v>4</x:v>
      </x:c>
      <x:c r="M177" s="16" t="n">
        <x:v>10</x:v>
      </x:c>
      <x:c r="N177" s="16" t="n">
        <x:v>0</x:v>
      </x:c>
      <x:c r="O177" s="16" t="n">
        <x:v>10</x:v>
      </x:c>
      <x:c r="P177" s="16" t="n">
        <x:v>20</x:v>
      </x:c>
      <x:c r="Q177" s="16" t="n">
        <x:v>0</x:v>
      </x:c>
      <x:c r="R177" s="16" t="n">
        <x:v>20</x:v>
      </x:c>
      <x:c r="S177" s="14" t="str">
        <x:v>NONE</x:v>
      </x:c>
      <x:c r="T177" s="2" t="str">
        <x:v>COMMON</x:v>
      </x:c>
      <x:c r="U177" s="14" t="str">
        <x:v>SELECTED_PENDING_REVIEW_A</x:v>
      </x:c>
      <x:c r="V177" s="17" t="str">
        <x:v>Authorized or traceable tier-1 channel</x:v>
      </x:c>
      <x:c r="W177" s="17" t="str">
        <x:v>Marking MPN package orientation electrical functional sample</x:v>
      </x:c>
      <x:c r="X177" s="17" t="str">
        <x:v>MAIN-AUTH-010 exact capture authority; physical pins: 1=CELL_USB_BOOT_TP;2=CELL_USB_BOOT_1V8; Fixture normally high impedance</x:v>
      </x:c>
      <x:c r="Y177" s="2" t="str">
        <x:v>1 kOhm 1%</x:v>
      </x:c>
      <x:c r="Z177" s="2" t="str">
        <x:v>ELECTRICAL_COMPONENT</x:v>
      </x:c>
      <x:c r="AA177" s="2" t="str">
        <x:v>FITTED</x:v>
      </x:c>
      <x:c r="AB177" s="2" t="str">
        <x:v>-55..155</x:v>
      </x:c>
      <x:c r="AC177" s="14" t="str">
        <x:v>CONTROLLED_PENDING_VERIFICATION</x:v>
      </x:c>
    </x:row>
    <x:row r="178">
      <x:c r="A178" s="2" t="str">
        <x:v>MAIN-010-R39</x:v>
      </x:c>
      <x:c r="B178" s="2" t="str">
        <x:v>PCB-MAIN</x:v>
      </x:c>
      <x:c r="C178" s="14" t="str">
        <x:v>R39</x:v>
      </x:c>
      <x:c r="D178" s="2" t="str">
        <x:v>Resistor</x:v>
      </x:c>
      <x:c r="E178" s="17" t="str">
        <x:v>BG95 USB D+ controlled series link</x:v>
      </x:c>
      <x:c r="F178" s="2" t="str">
        <x:v>Panasonic</x:v>
      </x:c>
      <x:c r="G178" s="2" t="str">
        <x:v>ERJ-2GE0R00X</x:v>
      </x:c>
      <x:c r="H178" s="2" t="str">
        <x:v>0402</x:v>
      </x:c>
      <x:c r="I178" s="16" t="n">
        <x:v>1</x:v>
      </x:c>
      <x:c r="J178" s="16" t="n">
        <x:v>4</x:v>
      </x:c>
      <x:c r="K178" s="16" t="n">
        <x:v>0</x:v>
      </x:c>
      <x:c r="L178" s="16" t="n">
        <x:v>4</x:v>
      </x:c>
      <x:c r="M178" s="16" t="n">
        <x:v>10</x:v>
      </x:c>
      <x:c r="N178" s="16" t="n">
        <x:v>0</x:v>
      </x:c>
      <x:c r="O178" s="16" t="n">
        <x:v>10</x:v>
      </x:c>
      <x:c r="P178" s="16" t="n">
        <x:v>20</x:v>
      </x:c>
      <x:c r="Q178" s="16" t="n">
        <x:v>0</x:v>
      </x:c>
      <x:c r="R178" s="16" t="n">
        <x:v>20</x:v>
      </x:c>
      <x:c r="S178" s="14" t="str">
        <x:v>NONE</x:v>
      </x:c>
      <x:c r="T178" s="2" t="str">
        <x:v>COMMON</x:v>
      </x:c>
      <x:c r="U178" s="14" t="str">
        <x:v>SELECTED_PENDING_REVIEW_A</x:v>
      </x:c>
      <x:c r="V178" s="17" t="str">
        <x:v>Authorized or traceable tier-1 channel</x:v>
      </x:c>
      <x:c r="W178" s="17" t="str">
        <x:v>Marking MPN package orientation electrical functional sample</x:v>
      </x:c>
      <x:c r="X178" s="17" t="str">
        <x:v>MAIN-AUTH-010 exact capture authority; physical pins: 1=CELL_USB_DP_U8;2=CELL_USB_DP_TP; Preserve 90 Ohm differential pair</x:v>
      </x:c>
      <x:c r="Y178" s="2" t="str">
        <x:v>0 Ohm</x:v>
      </x:c>
      <x:c r="Z178" s="2" t="str">
        <x:v>ELECTRICAL_COMPONENT</x:v>
      </x:c>
      <x:c r="AA178" s="2" t="str">
        <x:v>FITTED</x:v>
      </x:c>
      <x:c r="AB178" s="2" t="str">
        <x:v>-55..155</x:v>
      </x:c>
      <x:c r="AC178" s="14" t="str">
        <x:v>CONTROLLED_PENDING_VERIFICATION</x:v>
      </x:c>
    </x:row>
    <x:row r="179">
      <x:c r="A179" s="2" t="str">
        <x:v>MAIN-010-R40</x:v>
      </x:c>
      <x:c r="B179" s="2" t="str">
        <x:v>PCB-MAIN</x:v>
      </x:c>
      <x:c r="C179" s="14" t="str">
        <x:v>R40</x:v>
      </x:c>
      <x:c r="D179" s="2" t="str">
        <x:v>Resistor</x:v>
      </x:c>
      <x:c r="E179" s="17" t="str">
        <x:v>BG95 USB D- controlled series link</x:v>
      </x:c>
      <x:c r="F179" s="2" t="str">
        <x:v>Panasonic</x:v>
      </x:c>
      <x:c r="G179" s="2" t="str">
        <x:v>ERJ-2GE0R00X</x:v>
      </x:c>
      <x:c r="H179" s="2" t="str">
        <x:v>0402</x:v>
      </x:c>
      <x:c r="I179" s="16" t="n">
        <x:v>1</x:v>
      </x:c>
      <x:c r="J179" s="16" t="n">
        <x:v>4</x:v>
      </x:c>
      <x:c r="K179" s="16" t="n">
        <x:v>0</x:v>
      </x:c>
      <x:c r="L179" s="16" t="n">
        <x:v>4</x:v>
      </x:c>
      <x:c r="M179" s="16" t="n">
        <x:v>10</x:v>
      </x:c>
      <x:c r="N179" s="16" t="n">
        <x:v>0</x:v>
      </x:c>
      <x:c r="O179" s="16" t="n">
        <x:v>10</x:v>
      </x:c>
      <x:c r="P179" s="16" t="n">
        <x:v>20</x:v>
      </x:c>
      <x:c r="Q179" s="16" t="n">
        <x:v>0</x:v>
      </x:c>
      <x:c r="R179" s="16" t="n">
        <x:v>20</x:v>
      </x:c>
      <x:c r="S179" s="14" t="str">
        <x:v>NONE</x:v>
      </x:c>
      <x:c r="T179" s="2" t="str">
        <x:v>COMMON</x:v>
      </x:c>
      <x:c r="U179" s="14" t="str">
        <x:v>SELECTED_PENDING_REVIEW_A</x:v>
      </x:c>
      <x:c r="V179" s="17" t="str">
        <x:v>Authorized or traceable tier-1 channel</x:v>
      </x:c>
      <x:c r="W179" s="17" t="str">
        <x:v>Marking MPN package orientation electrical functional sample</x:v>
      </x:c>
      <x:c r="X179" s="17" t="str">
        <x:v>MAIN-AUTH-010 exact capture authority; physical pins: 1=CELL_USB_DM_U8;2=CELL_USB_DM_TP; Preserve 90 Ohm differential pair</x:v>
      </x:c>
      <x:c r="Y179" s="2" t="str">
        <x:v>0 Ohm</x:v>
      </x:c>
      <x:c r="Z179" s="2" t="str">
        <x:v>ELECTRICAL_COMPONENT</x:v>
      </x:c>
      <x:c r="AA179" s="2" t="str">
        <x:v>FITTED</x:v>
      </x:c>
      <x:c r="AB179" s="2" t="str">
        <x:v>-55..155</x:v>
      </x:c>
      <x:c r="AC179" s="14" t="str">
        <x:v>CONTROLLED_PENDING_VERIFICATION</x:v>
      </x:c>
    </x:row>
    <x:row r="180">
      <x:c r="A180" s="2" t="str">
        <x:v>MAIN-010-R41</x:v>
      </x:c>
      <x:c r="B180" s="2" t="str">
        <x:v>PCB-MAIN</x:v>
      </x:c>
      <x:c r="C180" s="14" t="str">
        <x:v>R41</x:v>
      </x:c>
      <x:c r="D180" s="2" t="str">
        <x:v>Resistor</x:v>
      </x:c>
      <x:c r="E180" s="17" t="str">
        <x:v>BG95 debug reference sense isolation</x:v>
      </x:c>
      <x:c r="F180" s="2" t="str">
        <x:v>Panasonic</x:v>
      </x:c>
      <x:c r="G180" s="2" t="str">
        <x:v>ERJ-2RKF1001X</x:v>
      </x:c>
      <x:c r="H180" s="2" t="str">
        <x:v>0402</x:v>
      </x:c>
      <x:c r="I180" s="16" t="n">
        <x:v>1</x:v>
      </x:c>
      <x:c r="J180" s="16" t="n">
        <x:v>4</x:v>
      </x:c>
      <x:c r="K180" s="16" t="n">
        <x:v>0</x:v>
      </x:c>
      <x:c r="L180" s="16" t="n">
        <x:v>4</x:v>
      </x:c>
      <x:c r="M180" s="16" t="n">
        <x:v>10</x:v>
      </x:c>
      <x:c r="N180" s="16" t="n">
        <x:v>0</x:v>
      </x:c>
      <x:c r="O180" s="16" t="n">
        <x:v>10</x:v>
      </x:c>
      <x:c r="P180" s="16" t="n">
        <x:v>20</x:v>
      </x:c>
      <x:c r="Q180" s="16" t="n">
        <x:v>0</x:v>
      </x:c>
      <x:c r="R180" s="16" t="n">
        <x:v>20</x:v>
      </x:c>
      <x:c r="S180" s="14" t="str">
        <x:v>NONE</x:v>
      </x:c>
      <x:c r="T180" s="2" t="str">
        <x:v>COMMON</x:v>
      </x:c>
      <x:c r="U180" s="14" t="str">
        <x:v>SELECTED_PENDING_REVIEW_A</x:v>
      </x:c>
      <x:c r="V180" s="17" t="str">
        <x:v>Authorized or traceable tier-1 channel</x:v>
      </x:c>
      <x:c r="W180" s="17" t="str">
        <x:v>Marking MPN package orientation electrical functional sample</x:v>
      </x:c>
      <x:c r="X180" s="17" t="str">
        <x:v>MAIN-AUTH-010 exact capture authority; physical pins: 1=U8_VDD_EXT_1V8;2=CELL_DBG_VREF_TP; VTREF contact never sources station power</x:v>
      </x:c>
      <x:c r="Y180" s="2" t="str">
        <x:v>1 kOhm 1%</x:v>
      </x:c>
      <x:c r="Z180" s="2" t="str">
        <x:v>ELECTRICAL_COMPONENT</x:v>
      </x:c>
      <x:c r="AA180" s="2" t="str">
        <x:v>FITTED</x:v>
      </x:c>
      <x:c r="AB180" s="2" t="str">
        <x:v>-55..155</x:v>
      </x:c>
      <x:c r="AC180" s="14" t="str">
        <x:v>CONTROLLED_PENDING_VERIFICATION</x:v>
      </x:c>
    </x:row>
    <x:row r="181">
      <x:c r="A181" s="2" t="str">
        <x:v>MAIN-010-R42</x:v>
      </x:c>
      <x:c r="B181" s="2" t="str">
        <x:v>PCB-MAIN</x:v>
      </x:c>
      <x:c r="C181" s="14" t="str">
        <x:v>R42</x:v>
      </x:c>
      <x:c r="D181" s="2" t="str">
        <x:v>Resistor</x:v>
      </x:c>
      <x:c r="E181" s="17" t="str">
        <x:v>U8 VBAT_RF star branch link</x:v>
      </x:c>
      <x:c r="F181" s="2" t="str">
        <x:v>Panasonic</x:v>
      </x:c>
      <x:c r="G181" s="2" t="str">
        <x:v>ERJ-2GE0R00X</x:v>
      </x:c>
      <x:c r="H181" s="2" t="str">
        <x:v>0402</x:v>
      </x:c>
      <x:c r="I181" s="16" t="n">
        <x:v>1</x:v>
      </x:c>
      <x:c r="J181" s="16" t="n">
        <x:v>4</x:v>
      </x:c>
      <x:c r="K181" s="16" t="n">
        <x:v>0</x:v>
      </x:c>
      <x:c r="L181" s="16" t="n">
        <x:v>4</x:v>
      </x:c>
      <x:c r="M181" s="16" t="n">
        <x:v>10</x:v>
      </x:c>
      <x:c r="N181" s="16" t="n">
        <x:v>0</x:v>
      </x:c>
      <x:c r="O181" s="16" t="n">
        <x:v>10</x:v>
      </x:c>
      <x:c r="P181" s="16" t="n">
        <x:v>20</x:v>
      </x:c>
      <x:c r="Q181" s="16" t="n">
        <x:v>0</x:v>
      </x:c>
      <x:c r="R181" s="16" t="n">
        <x:v>20</x:v>
      </x:c>
      <x:c r="S181" s="14" t="str">
        <x:v>NONE</x:v>
      </x:c>
      <x:c r="T181" s="2" t="str">
        <x:v>COMMON</x:v>
      </x:c>
      <x:c r="U181" s="14" t="str">
        <x:v>SELECTED_PENDING_REVIEW_A</x:v>
      </x:c>
      <x:c r="V181" s="17" t="str">
        <x:v>Authorized or traceable tier-1 channel</x:v>
      </x:c>
      <x:c r="W181" s="17" t="str">
        <x:v>Marking MPN package orientation electrical functional sample</x:v>
      </x:c>
      <x:c r="X181" s="17" t="str">
        <x:v>MAIN-AUTH-010 exact capture authority; physical pins: 1=3V8_MODEM;2=3V8_MODEM_RF; Place immediately before U8 RF branch</x:v>
      </x:c>
      <x:c r="Y181" s="2" t="str">
        <x:v>0 Ohm</x:v>
      </x:c>
      <x:c r="Z181" s="2" t="str">
        <x:v>ELECTRICAL_COMPONENT</x:v>
      </x:c>
      <x:c r="AA181" s="2" t="str">
        <x:v>FITTED</x:v>
      </x:c>
      <x:c r="AB181" s="2" t="str">
        <x:v>-55..155</x:v>
      </x:c>
      <x:c r="AC181" s="14" t="str">
        <x:v>CONTROLLED_PENDING_VERIFICATION</x:v>
      </x:c>
    </x:row>
    <x:row r="182">
      <x:c r="A182" s="2" t="str">
        <x:v>MAIN-010-R43</x:v>
      </x:c>
      <x:c r="B182" s="2" t="str">
        <x:v>PCB-MAIN</x:v>
      </x:c>
      <x:c r="C182" s="14" t="str">
        <x:v>R43</x:v>
      </x:c>
      <x:c r="D182" s="2" t="str">
        <x:v>Resistor</x:v>
      </x:c>
      <x:c r="E182" s="17" t="str">
        <x:v>Cellular RF pi network series baseline</x:v>
      </x:c>
      <x:c r="F182" s="2" t="str">
        <x:v>Panasonic</x:v>
      </x:c>
      <x:c r="G182" s="2" t="str">
        <x:v>ERJ-2GE0R00X</x:v>
      </x:c>
      <x:c r="H182" s="2" t="str">
        <x:v>0402</x:v>
      </x:c>
      <x:c r="I182" s="16" t="n">
        <x:v>1</x:v>
      </x:c>
      <x:c r="J182" s="16" t="n">
        <x:v>4</x:v>
      </x:c>
      <x:c r="K182" s="16" t="n">
        <x:v>0</x:v>
      </x:c>
      <x:c r="L182" s="16" t="n">
        <x:v>4</x:v>
      </x:c>
      <x:c r="M182" s="16" t="n">
        <x:v>10</x:v>
      </x:c>
      <x:c r="N182" s="16" t="n">
        <x:v>0</x:v>
      </x:c>
      <x:c r="O182" s="16" t="n">
        <x:v>10</x:v>
      </x:c>
      <x:c r="P182" s="16" t="n">
        <x:v>20</x:v>
      </x:c>
      <x:c r="Q182" s="16" t="n">
        <x:v>0</x:v>
      </x:c>
      <x:c r="R182" s="16" t="n">
        <x:v>20</x:v>
      </x:c>
      <x:c r="S182" s="14" t="str">
        <x:v>NONE</x:v>
      </x:c>
      <x:c r="T182" s="2" t="str">
        <x:v>COMMON</x:v>
      </x:c>
      <x:c r="U182" s="14" t="str">
        <x:v>SELECTED_PENDING_REVIEW_A</x:v>
      </x:c>
      <x:c r="V182" s="17" t="str">
        <x:v>Authorized or traceable tier-1 channel</x:v>
      </x:c>
      <x:c r="W182" s="17" t="str">
        <x:v>Marking MPN package orientation electrical functional sample</x:v>
      </x:c>
      <x:c r="X182" s="17" t="str">
        <x:v>MAIN-AUTH-010 exact capture authority; physical pins: 1=CELL_RF;2=CELL_RF_ANT; Change only from signed VNA evidence</x:v>
      </x:c>
      <x:c r="Y182" s="2" t="str">
        <x:v>0 Ohm</x:v>
      </x:c>
      <x:c r="Z182" s="2" t="str">
        <x:v>ELECTRICAL_COMPONENT</x:v>
      </x:c>
      <x:c r="AA182" s="2" t="str">
        <x:v>FITTED</x:v>
      </x:c>
      <x:c r="AB182" s="2" t="str">
        <x:v>-55..155</x:v>
      </x:c>
      <x:c r="AC182" s="14" t="str">
        <x:v>CONTROLLED_PENDING_VERIFICATION</x:v>
      </x:c>
    </x:row>
    <x:row r="183">
      <x:c r="A183" s="2" t="str">
        <x:v>MAIN-010-R44</x:v>
      </x:c>
      <x:c r="B183" s="2" t="str">
        <x:v>PCB-MAIN</x:v>
      </x:c>
      <x:c r="C183" s="14" t="str">
        <x:v>R44</x:v>
      </x:c>
      <x:c r="D183" s="2" t="str">
        <x:v>Resistor</x:v>
      </x:c>
      <x:c r="E183" s="17" t="str">
        <x:v>U13 active-HIGH disable pull-up</x:v>
      </x:c>
      <x:c r="F183" s="2" t="str">
        <x:v>Panasonic</x:v>
      </x:c>
      <x:c r="G183" s="2" t="str">
        <x:v>ERJ-2RKF4702X</x:v>
      </x:c>
      <x:c r="H183" s="2" t="str">
        <x:v>0402</x:v>
      </x:c>
      <x:c r="I183" s="16" t="n">
        <x:v>1</x:v>
      </x:c>
      <x:c r="J183" s="16" t="n">
        <x:v>4</x:v>
      </x:c>
      <x:c r="K183" s="16" t="n">
        <x:v>0</x:v>
      </x:c>
      <x:c r="L183" s="16" t="n">
        <x:v>4</x:v>
      </x:c>
      <x:c r="M183" s="16" t="n">
        <x:v>10</x:v>
      </x:c>
      <x:c r="N183" s="16" t="n">
        <x:v>0</x:v>
      </x:c>
      <x:c r="O183" s="16" t="n">
        <x:v>10</x:v>
      </x:c>
      <x:c r="P183" s="16" t="n">
        <x:v>20</x:v>
      </x:c>
      <x:c r="Q183" s="16" t="n">
        <x:v>0</x:v>
      </x:c>
      <x:c r="R183" s="16" t="n">
        <x:v>20</x:v>
      </x:c>
      <x:c r="S183" s="14" t="str">
        <x:v>NONE</x:v>
      </x:c>
      <x:c r="T183" s="2" t="str">
        <x:v>COMMON</x:v>
      </x:c>
      <x:c r="U183" s="14" t="str">
        <x:v>SELECTED_PENDING_REVIEW_A</x:v>
      </x:c>
      <x:c r="V183" s="17" t="str">
        <x:v>Authorized or traceable tier-1 channel</x:v>
      </x:c>
      <x:c r="W183" s="17" t="str">
        <x:v>Marking MPN package orientation electrical functional sample</x:v>
      </x:c>
      <x:c r="X183" s="17" t="str">
        <x:v>MAIN-AUTH-010 exact capture authority; physical pins: 1=3V3_DIGITAL;2=U13_EN_N; U13 remains High-Z while Q3 is off</x:v>
      </x:c>
      <x:c r="Y183" s="2" t="str">
        <x:v>47 kOhm 1%</x:v>
      </x:c>
      <x:c r="Z183" s="2" t="str">
        <x:v>ELECTRICAL_COMPONENT</x:v>
      </x:c>
      <x:c r="AA183" s="2" t="str">
        <x:v>FITTED</x:v>
      </x:c>
      <x:c r="AB183" s="2" t="str">
        <x:v>-55..155</x:v>
      </x:c>
      <x:c r="AC183" s="14" t="str">
        <x:v>CONTROLLED_PENDING_VERIFICATION</x:v>
      </x:c>
    </x:row>
    <x:row r="184">
      <x:c r="A184" s="2" t="str">
        <x:v>MAIN-010-R45</x:v>
      </x:c>
      <x:c r="B184" s="2" t="str">
        <x:v>PCB-MAIN</x:v>
      </x:c>
      <x:c r="C184" s="14" t="str">
        <x:v>R45</x:v>
      </x:c>
      <x:c r="D184" s="2" t="str">
        <x:v>Resistor</x:v>
      </x:c>
      <x:c r="E184" s="17" t="str">
        <x:v>Dual-SIM selector default-SIM1 pull-down</x:v>
      </x:c>
      <x:c r="F184" s="2" t="str">
        <x:v>Panasonic</x:v>
      </x:c>
      <x:c r="G184" s="2" t="str">
        <x:v>ERJ-2RKF1003X</x:v>
      </x:c>
      <x:c r="H184" s="2" t="str">
        <x:v>0402</x:v>
      </x:c>
      <x:c r="I184" s="16" t="n">
        <x:v>1</x:v>
      </x:c>
      <x:c r="J184" s="16" t="n">
        <x:v>4</x:v>
      </x:c>
      <x:c r="K184" s="16" t="n">
        <x:v>0</x:v>
      </x:c>
      <x:c r="L184" s="16" t="n">
        <x:v>4</x:v>
      </x:c>
      <x:c r="M184" s="16" t="n">
        <x:v>10</x:v>
      </x:c>
      <x:c r="N184" s="16" t="n">
        <x:v>0</x:v>
      </x:c>
      <x:c r="O184" s="16" t="n">
        <x:v>10</x:v>
      </x:c>
      <x:c r="P184" s="16" t="n">
        <x:v>20</x:v>
      </x:c>
      <x:c r="Q184" s="16" t="n">
        <x:v>0</x:v>
      </x:c>
      <x:c r="R184" s="16" t="n">
        <x:v>20</x:v>
      </x:c>
      <x:c r="S184" s="14" t="str">
        <x:v>NONE</x:v>
      </x:c>
      <x:c r="T184" s="2" t="str">
        <x:v>COMMON</x:v>
      </x:c>
      <x:c r="U184" s="14" t="str">
        <x:v>SELECTED_PENDING_REVIEW_A</x:v>
      </x:c>
      <x:c r="V184" s="17" t="str">
        <x:v>Authorized or traceable tier-1 channel</x:v>
      </x:c>
      <x:c r="W184" s="17" t="str">
        <x:v>Marking MPN package orientation electrical functional sample</x:v>
      </x:c>
      <x:c r="X184" s="17" t="str">
        <x:v>MAIN-AUTH-010 exact capture authority; physical pins: 1=SIM_MUX_SEL;2=GND_MODEM; Drives both U13 IN pins</x:v>
      </x:c>
      <x:c r="Y184" s="2" t="str">
        <x:v>100 kOhm 1%</x:v>
      </x:c>
      <x:c r="Z184" s="2" t="str">
        <x:v>ELECTRICAL_COMPONENT</x:v>
      </x:c>
      <x:c r="AA184" s="2" t="str">
        <x:v>FITTED</x:v>
      </x:c>
      <x:c r="AB184" s="2" t="str">
        <x:v>-55..155</x:v>
      </x:c>
      <x:c r="AC184" s="14" t="str">
        <x:v>CONTROLLED_PENDING_VERIFICATION</x:v>
      </x:c>
    </x:row>
    <x:row r="185">
      <x:c r="A185" s="2" t="str">
        <x:v>MAIN-010-R46</x:v>
      </x:c>
      <x:c r="B185" s="2" t="str">
        <x:v>PCB-MAIN</x:v>
      </x:c>
      <x:c r="C185" s="14" t="str">
        <x:v>R46</x:v>
      </x:c>
      <x:c r="D185" s="2" t="str">
        <x:v>Resistor</x:v>
      </x:c>
      <x:c r="E185" s="17" t="str">
        <x:v>Q3 base current limiter</x:v>
      </x:c>
      <x:c r="F185" s="2" t="str">
        <x:v>Panasonic</x:v>
      </x:c>
      <x:c r="G185" s="2" t="str">
        <x:v>ERJ-2RKF1002X</x:v>
      </x:c>
      <x:c r="H185" s="2" t="str">
        <x:v>0402</x:v>
      </x:c>
      <x:c r="I185" s="16" t="n">
        <x:v>1</x:v>
      </x:c>
      <x:c r="J185" s="16" t="n">
        <x:v>4</x:v>
      </x:c>
      <x:c r="K185" s="16" t="n">
        <x:v>0</x:v>
      </x:c>
      <x:c r="L185" s="16" t="n">
        <x:v>4</x:v>
      </x:c>
      <x:c r="M185" s="16" t="n">
        <x:v>10</x:v>
      </x:c>
      <x:c r="N185" s="16" t="n">
        <x:v>0</x:v>
      </x:c>
      <x:c r="O185" s="16" t="n">
        <x:v>10</x:v>
      </x:c>
      <x:c r="P185" s="16" t="n">
        <x:v>20</x:v>
      </x:c>
      <x:c r="Q185" s="16" t="n">
        <x:v>0</x:v>
      </x:c>
      <x:c r="R185" s="16" t="n">
        <x:v>20</x:v>
      </x:c>
      <x:c r="S185" s="14" t="str">
        <x:v>NONE</x:v>
      </x:c>
      <x:c r="T185" s="2" t="str">
        <x:v>COMMON</x:v>
      </x:c>
      <x:c r="U185" s="14" t="str">
        <x:v>SELECTED_PENDING_REVIEW_A</x:v>
      </x:c>
      <x:c r="V185" s="17" t="str">
        <x:v>Authorized or traceable tier-1 channel</x:v>
      </x:c>
      <x:c r="W185" s="17" t="str">
        <x:v>Marking MPN package orientation electrical functional sample</x:v>
      </x:c>
      <x:c r="X185" s="17" t="str">
        <x:v>MAIN-AUTH-010 exact capture authority; physical pins: 1=SIM_MUX_EN;2=Q3_BASE; Q3 pin 1 endpoint</x:v>
      </x:c>
      <x:c r="Y185" s="2" t="str">
        <x:v>10 kOhm 1%</x:v>
      </x:c>
      <x:c r="Z185" s="2" t="str">
        <x:v>ELECTRICAL_COMPONENT</x:v>
      </x:c>
      <x:c r="AA185" s="2" t="str">
        <x:v>FITTED</x:v>
      </x:c>
      <x:c r="AB185" s="2" t="str">
        <x:v>-55..155</x:v>
      </x:c>
      <x:c r="AC185" s="14" t="str">
        <x:v>CONTROLLED_PENDING_VERIFICATION</x:v>
      </x:c>
    </x:row>
    <x:row r="186">
      <x:c r="A186" s="2" t="str">
        <x:v>MAIN-010-R47</x:v>
      </x:c>
      <x:c r="B186" s="2" t="str">
        <x:v>PCB-MAIN</x:v>
      </x:c>
      <x:c r="C186" s="14" t="str">
        <x:v>R47</x:v>
      </x:c>
      <x:c r="D186" s="2" t="str">
        <x:v>Resistor</x:v>
      </x:c>
      <x:c r="E186" s="17" t="str">
        <x:v>Q3 base-emitter off-state pull</x:v>
      </x:c>
      <x:c r="F186" s="2" t="str">
        <x:v>Panasonic</x:v>
      </x:c>
      <x:c r="G186" s="2" t="str">
        <x:v>ERJ-2RKF1003X</x:v>
      </x:c>
      <x:c r="H186" s="2" t="str">
        <x:v>0402</x:v>
      </x:c>
      <x:c r="I186" s="16" t="n">
        <x:v>1</x:v>
      </x:c>
      <x:c r="J186" s="16" t="n">
        <x:v>4</x:v>
      </x:c>
      <x:c r="K186" s="16" t="n">
        <x:v>0</x:v>
      </x:c>
      <x:c r="L186" s="16" t="n">
        <x:v>4</x:v>
      </x:c>
      <x:c r="M186" s="16" t="n">
        <x:v>10</x:v>
      </x:c>
      <x:c r="N186" s="16" t="n">
        <x:v>0</x:v>
      </x:c>
      <x:c r="O186" s="16" t="n">
        <x:v>10</x:v>
      </x:c>
      <x:c r="P186" s="16" t="n">
        <x:v>20</x:v>
      </x:c>
      <x:c r="Q186" s="16" t="n">
        <x:v>0</x:v>
      </x:c>
      <x:c r="R186" s="16" t="n">
        <x:v>20</x:v>
      </x:c>
      <x:c r="S186" s="14" t="str">
        <x:v>NONE</x:v>
      </x:c>
      <x:c r="T186" s="2" t="str">
        <x:v>COMMON</x:v>
      </x:c>
      <x:c r="U186" s="14" t="str">
        <x:v>SELECTED_PENDING_REVIEW_A</x:v>
      </x:c>
      <x:c r="V186" s="17" t="str">
        <x:v>Authorized or traceable tier-1 channel</x:v>
      </x:c>
      <x:c r="W186" s="17" t="str">
        <x:v>Marking MPN package orientation electrical functional sample</x:v>
      </x:c>
      <x:c r="X186" s="17" t="str">
        <x:v>MAIN-AUTH-010 exact capture authority; physical pins: 1=Q3_BASE;2=GND_MODEM; Preserves U13 High-Z at reset</x:v>
      </x:c>
      <x:c r="Y186" s="2" t="str">
        <x:v>100 kOhm 1%</x:v>
      </x:c>
      <x:c r="Z186" s="2" t="str">
        <x:v>ELECTRICAL_COMPONENT</x:v>
      </x:c>
      <x:c r="AA186" s="2" t="str">
        <x:v>FITTED</x:v>
      </x:c>
      <x:c r="AB186" s="2" t="str">
        <x:v>-55..155</x:v>
      </x:c>
      <x:c r="AC186" s="14" t="str">
        <x:v>CONTROLLED_PENDING_VERIFICATION</x:v>
      </x:c>
    </x:row>
    <x:row r="187">
      <x:c r="A187" s="2" t="str">
        <x:v>MAIN-010-R48</x:v>
      </x:c>
      <x:c r="B187" s="2" t="str">
        <x:v>PCB-MAIN</x:v>
      </x:c>
      <x:c r="C187" s="14" t="str">
        <x:v>R48</x:v>
      </x:c>
      <x:c r="D187" s="2" t="str">
        <x:v>Resistor</x:v>
      </x:c>
      <x:c r="E187" s="17" t="str">
        <x:v>J6 card-detect pull-up</x:v>
      </x:c>
      <x:c r="F187" s="2" t="str">
        <x:v>Panasonic</x:v>
      </x:c>
      <x:c r="G187" s="2" t="str">
        <x:v>ERJ-2RKF1002X</x:v>
      </x:c>
      <x:c r="H187" s="2" t="str">
        <x:v>0402</x:v>
      </x:c>
      <x:c r="I187" s="16" t="n">
        <x:v>1</x:v>
      </x:c>
      <x:c r="J187" s="16" t="n">
        <x:v>4</x:v>
      </x:c>
      <x:c r="K187" s="16" t="n">
        <x:v>0</x:v>
      </x:c>
      <x:c r="L187" s="16" t="n">
        <x:v>4</x:v>
      </x:c>
      <x:c r="M187" s="16" t="n">
        <x:v>10</x:v>
      </x:c>
      <x:c r="N187" s="16" t="n">
        <x:v>0</x:v>
      </x:c>
      <x:c r="O187" s="16" t="n">
        <x:v>10</x:v>
      </x:c>
      <x:c r="P187" s="16" t="n">
        <x:v>20</x:v>
      </x:c>
      <x:c r="Q187" s="16" t="n">
        <x:v>0</x:v>
      </x:c>
      <x:c r="R187" s="16" t="n">
        <x:v>20</x:v>
      </x:c>
      <x:c r="S187" s="14" t="str">
        <x:v>NONE</x:v>
      </x:c>
      <x:c r="T187" s="2" t="str">
        <x:v>COMMON</x:v>
      </x:c>
      <x:c r="U187" s="14" t="str">
        <x:v>SELECTED_PENDING_REVIEW_A</x:v>
      </x:c>
      <x:c r="V187" s="17" t="str">
        <x:v>Authorized or traceable tier-1 channel</x:v>
      </x:c>
      <x:c r="W187" s="17" t="str">
        <x:v>Marking MPN package orientation electrical functional sample</x:v>
      </x:c>
      <x:c r="X187" s="17" t="str">
        <x:v>MAIN-AUTH-010 exact capture authority; physical pins: 1=3V3_DIGITAL;2=SIM1_DET; No card reads LOW through grounded switch</x:v>
      </x:c>
      <x:c r="Y187" s="2" t="str">
        <x:v>10 kOhm 1%</x:v>
      </x:c>
      <x:c r="Z187" s="2" t="str">
        <x:v>ELECTRICAL_COMPONENT</x:v>
      </x:c>
      <x:c r="AA187" s="2" t="str">
        <x:v>FITTED</x:v>
      </x:c>
      <x:c r="AB187" s="2" t="str">
        <x:v>-55..155</x:v>
      </x:c>
      <x:c r="AC187" s="14" t="str">
        <x:v>CONTROLLED_PENDING_VERIFICATION</x:v>
      </x:c>
    </x:row>
    <x:row r="188">
      <x:c r="A188" s="2" t="str">
        <x:v>MAIN-010-R49</x:v>
      </x:c>
      <x:c r="B188" s="2" t="str">
        <x:v>PCB-MAIN</x:v>
      </x:c>
      <x:c r="C188" s="14" t="str">
        <x:v>R49</x:v>
      </x:c>
      <x:c r="D188" s="2" t="str">
        <x:v>Resistor</x:v>
      </x:c>
      <x:c r="E188" s="17" t="str">
        <x:v>J7 card-detect pull-up</x:v>
      </x:c>
      <x:c r="F188" s="2" t="str">
        <x:v>Panasonic</x:v>
      </x:c>
      <x:c r="G188" s="2" t="str">
        <x:v>ERJ-2RKF1002X</x:v>
      </x:c>
      <x:c r="H188" s="2" t="str">
        <x:v>0402</x:v>
      </x:c>
      <x:c r="I188" s="16" t="n">
        <x:v>1</x:v>
      </x:c>
      <x:c r="J188" s="16" t="n">
        <x:v>4</x:v>
      </x:c>
      <x:c r="K188" s="16" t="n">
        <x:v>0</x:v>
      </x:c>
      <x:c r="L188" s="16" t="n">
        <x:v>4</x:v>
      </x:c>
      <x:c r="M188" s="16" t="n">
        <x:v>10</x:v>
      </x:c>
      <x:c r="N188" s="16" t="n">
        <x:v>0</x:v>
      </x:c>
      <x:c r="O188" s="16" t="n">
        <x:v>10</x:v>
      </x:c>
      <x:c r="P188" s="16" t="n">
        <x:v>20</x:v>
      </x:c>
      <x:c r="Q188" s="16" t="n">
        <x:v>0</x:v>
      </x:c>
      <x:c r="R188" s="16" t="n">
        <x:v>20</x:v>
      </x:c>
      <x:c r="S188" s="14" t="str">
        <x:v>NONE</x:v>
      </x:c>
      <x:c r="T188" s="2" t="str">
        <x:v>COMMON</x:v>
      </x:c>
      <x:c r="U188" s="14" t="str">
        <x:v>SELECTED_PENDING_REVIEW_A</x:v>
      </x:c>
      <x:c r="V188" s="17" t="str">
        <x:v>Authorized or traceable tier-1 channel</x:v>
      </x:c>
      <x:c r="W188" s="17" t="str">
        <x:v>Marking MPN package orientation electrical functional sample</x:v>
      </x:c>
      <x:c r="X188" s="17" t="str">
        <x:v>MAIN-AUTH-010 exact capture authority; physical pins: 1=3V3_DIGITAL;2=SIM2_DET; No card reads LOW through grounded switch</x:v>
      </x:c>
      <x:c r="Y188" s="2" t="str">
        <x:v>10 kOhm 1%</x:v>
      </x:c>
      <x:c r="Z188" s="2" t="str">
        <x:v>ELECTRICAL_COMPONENT</x:v>
      </x:c>
      <x:c r="AA188" s="2" t="str">
        <x:v>FITTED</x:v>
      </x:c>
      <x:c r="AB188" s="2" t="str">
        <x:v>-55..155</x:v>
      </x:c>
      <x:c r="AC188" s="14" t="str">
        <x:v>CONTROLLED_PENDING_VERIFICATION</x:v>
      </x:c>
    </x:row>
    <x:row r="189">
      <x:c r="A189" s="2" t="str">
        <x:v>MAIN-010-R50</x:v>
      </x:c>
      <x:c r="B189" s="2" t="str">
        <x:v>PCB-MAIN</x:v>
      </x:c>
      <x:c r="C189" s="14" t="str">
        <x:v>R50</x:v>
      </x:c>
      <x:c r="D189" s="2" t="str">
        <x:v>Resistor</x:v>
      </x:c>
      <x:c r="E189" s="17" t="str">
        <x:v>J6 reset series tuning link</x:v>
      </x:c>
      <x:c r="F189" s="2" t="str">
        <x:v>Panasonic</x:v>
      </x:c>
      <x:c r="G189" s="2" t="str">
        <x:v>ERJ-2GE0R00X</x:v>
      </x:c>
      <x:c r="H189" s="2" t="str">
        <x:v>0402</x:v>
      </x:c>
      <x:c r="I189" s="16" t="n">
        <x:v>1</x:v>
      </x:c>
      <x:c r="J189" s="16" t="n">
        <x:v>4</x:v>
      </x:c>
      <x:c r="K189" s="16" t="n">
        <x:v>0</x:v>
      </x:c>
      <x:c r="L189" s="16" t="n">
        <x:v>4</x:v>
      </x:c>
      <x:c r="M189" s="16" t="n">
        <x:v>10</x:v>
      </x:c>
      <x:c r="N189" s="16" t="n">
        <x:v>0</x:v>
      </x:c>
      <x:c r="O189" s="16" t="n">
        <x:v>10</x:v>
      </x:c>
      <x:c r="P189" s="16" t="n">
        <x:v>20</x:v>
      </x:c>
      <x:c r="Q189" s="16" t="n">
        <x:v>0</x:v>
      </x:c>
      <x:c r="R189" s="16" t="n">
        <x:v>20</x:v>
      </x:c>
      <x:c r="S189" s="14" t="str">
        <x:v>NONE</x:v>
      </x:c>
      <x:c r="T189" s="2" t="str">
        <x:v>COMMON</x:v>
      </x:c>
      <x:c r="U189" s="14" t="str">
        <x:v>SELECTED_PENDING_REVIEW_A</x:v>
      </x:c>
      <x:c r="V189" s="17" t="str">
        <x:v>Authorized or traceable tier-1 channel</x:v>
      </x:c>
      <x:c r="W189" s="17" t="str">
        <x:v>Marking MPN package orientation electrical functional sample</x:v>
      </x:c>
      <x:c r="X189" s="17" t="str">
        <x:v>MAIN-AUTH-010 exact capture authority; physical pins: 1=SIM1_RST_MUX;2=SIM1_RST_CONN; U14 protection is connector-side</x:v>
      </x:c>
      <x:c r="Y189" s="2" t="str">
        <x:v>0 Ohm</x:v>
      </x:c>
      <x:c r="Z189" s="2" t="str">
        <x:v>ELECTRICAL_COMPONENT</x:v>
      </x:c>
      <x:c r="AA189" s="2" t="str">
        <x:v>FITTED</x:v>
      </x:c>
      <x:c r="AB189" s="2" t="str">
        <x:v>-55..155</x:v>
      </x:c>
      <x:c r="AC189" s="14" t="str">
        <x:v>CONTROLLED_PENDING_VERIFICATION</x:v>
      </x:c>
    </x:row>
    <x:row r="190">
      <x:c r="A190" s="2" t="str">
        <x:v>MAIN-010-R51</x:v>
      </x:c>
      <x:c r="B190" s="2" t="str">
        <x:v>PCB-MAIN</x:v>
      </x:c>
      <x:c r="C190" s="14" t="str">
        <x:v>R51</x:v>
      </x:c>
      <x:c r="D190" s="2" t="str">
        <x:v>Resistor</x:v>
      </x:c>
      <x:c r="E190" s="17" t="str">
        <x:v>J6 clock series tuning link</x:v>
      </x:c>
      <x:c r="F190" s="2" t="str">
        <x:v>Panasonic</x:v>
      </x:c>
      <x:c r="G190" s="2" t="str">
        <x:v>ERJ-2GE0R00X</x:v>
      </x:c>
      <x:c r="H190" s="2" t="str">
        <x:v>0402</x:v>
      </x:c>
      <x:c r="I190" s="16" t="n">
        <x:v>1</x:v>
      </x:c>
      <x:c r="J190" s="16" t="n">
        <x:v>4</x:v>
      </x:c>
      <x:c r="K190" s="16" t="n">
        <x:v>0</x:v>
      </x:c>
      <x:c r="L190" s="16" t="n">
        <x:v>4</x:v>
      </x:c>
      <x:c r="M190" s="16" t="n">
        <x:v>10</x:v>
      </x:c>
      <x:c r="N190" s="16" t="n">
        <x:v>0</x:v>
      </x:c>
      <x:c r="O190" s="16" t="n">
        <x:v>10</x:v>
      </x:c>
      <x:c r="P190" s="16" t="n">
        <x:v>20</x:v>
      </x:c>
      <x:c r="Q190" s="16" t="n">
        <x:v>0</x:v>
      </x:c>
      <x:c r="R190" s="16" t="n">
        <x:v>20</x:v>
      </x:c>
      <x:c r="S190" s="14" t="str">
        <x:v>NONE</x:v>
      </x:c>
      <x:c r="T190" s="2" t="str">
        <x:v>COMMON</x:v>
      </x:c>
      <x:c r="U190" s="14" t="str">
        <x:v>SELECTED_PENDING_REVIEW_A</x:v>
      </x:c>
      <x:c r="V190" s="17" t="str">
        <x:v>Authorized or traceable tier-1 channel</x:v>
      </x:c>
      <x:c r="W190" s="17" t="str">
        <x:v>Marking MPN package orientation electrical functional sample</x:v>
      </x:c>
      <x:c r="X190" s="17" t="str">
        <x:v>MAIN-AUTH-010 exact capture authority; physical pins: 1=SIM1_CLK_MUX;2=SIM1_CLK_CONN; U14 protection is connector-side</x:v>
      </x:c>
      <x:c r="Y190" s="2" t="str">
        <x:v>0 Ohm</x:v>
      </x:c>
      <x:c r="Z190" s="2" t="str">
        <x:v>ELECTRICAL_COMPONENT</x:v>
      </x:c>
      <x:c r="AA190" s="2" t="str">
        <x:v>FITTED</x:v>
      </x:c>
      <x:c r="AB190" s="2" t="str">
        <x:v>-55..155</x:v>
      </x:c>
      <x:c r="AC190" s="14" t="str">
        <x:v>CONTROLLED_PENDING_VERIFICATION</x:v>
      </x:c>
    </x:row>
    <x:row r="191">
      <x:c r="A191" s="2" t="str">
        <x:v>MAIN-010-R52</x:v>
      </x:c>
      <x:c r="B191" s="2" t="str">
        <x:v>PCB-MAIN</x:v>
      </x:c>
      <x:c r="C191" s="14" t="str">
        <x:v>R52</x:v>
      </x:c>
      <x:c r="D191" s="2" t="str">
        <x:v>Resistor</x:v>
      </x:c>
      <x:c r="E191" s="17" t="str">
        <x:v>J6 data series tuning link</x:v>
      </x:c>
      <x:c r="F191" s="2" t="str">
        <x:v>Panasonic</x:v>
      </x:c>
      <x:c r="G191" s="2" t="str">
        <x:v>ERJ-2GE0R00X</x:v>
      </x:c>
      <x:c r="H191" s="2" t="str">
        <x:v>0402</x:v>
      </x:c>
      <x:c r="I191" s="16" t="n">
        <x:v>1</x:v>
      </x:c>
      <x:c r="J191" s="16" t="n">
        <x:v>4</x:v>
      </x:c>
      <x:c r="K191" s="16" t="n">
        <x:v>0</x:v>
      </x:c>
      <x:c r="L191" s="16" t="n">
        <x:v>4</x:v>
      </x:c>
      <x:c r="M191" s="16" t="n">
        <x:v>10</x:v>
      </x:c>
      <x:c r="N191" s="16" t="n">
        <x:v>0</x:v>
      </x:c>
      <x:c r="O191" s="16" t="n">
        <x:v>10</x:v>
      </x:c>
      <x:c r="P191" s="16" t="n">
        <x:v>20</x:v>
      </x:c>
      <x:c r="Q191" s="16" t="n">
        <x:v>0</x:v>
      </x:c>
      <x:c r="R191" s="16" t="n">
        <x:v>20</x:v>
      </x:c>
      <x:c r="S191" s="14" t="str">
        <x:v>NONE</x:v>
      </x:c>
      <x:c r="T191" s="2" t="str">
        <x:v>COMMON</x:v>
      </x:c>
      <x:c r="U191" s="14" t="str">
        <x:v>SELECTED_PENDING_REVIEW_A</x:v>
      </x:c>
      <x:c r="V191" s="17" t="str">
        <x:v>Authorized or traceable tier-1 channel</x:v>
      </x:c>
      <x:c r="W191" s="17" t="str">
        <x:v>Marking MPN package orientation electrical functional sample</x:v>
      </x:c>
      <x:c r="X191" s="17" t="str">
        <x:v>MAIN-AUTH-010 exact capture authority; physical pins: 1=SIM1_DATA_MUX;2=SIM1_DATA_CONN; U14 protection is connector-side</x:v>
      </x:c>
      <x:c r="Y191" s="2" t="str">
        <x:v>0 Ohm</x:v>
      </x:c>
      <x:c r="Z191" s="2" t="str">
        <x:v>ELECTRICAL_COMPONENT</x:v>
      </x:c>
      <x:c r="AA191" s="2" t="str">
        <x:v>FITTED</x:v>
      </x:c>
      <x:c r="AB191" s="2" t="str">
        <x:v>-55..155</x:v>
      </x:c>
      <x:c r="AC191" s="14" t="str">
        <x:v>CONTROLLED_PENDING_VERIFICATION</x:v>
      </x:c>
    </x:row>
    <x:row r="192">
      <x:c r="A192" s="2" t="str">
        <x:v>MAIN-010-R53</x:v>
      </x:c>
      <x:c r="B192" s="2" t="str">
        <x:v>PCB-MAIN</x:v>
      </x:c>
      <x:c r="C192" s="14" t="str">
        <x:v>R53</x:v>
      </x:c>
      <x:c r="D192" s="2" t="str">
        <x:v>Resistor</x:v>
      </x:c>
      <x:c r="E192" s="17" t="str">
        <x:v>J7 reset series tuning link</x:v>
      </x:c>
      <x:c r="F192" s="2" t="str">
        <x:v>Panasonic</x:v>
      </x:c>
      <x:c r="G192" s="2" t="str">
        <x:v>ERJ-2GE0R00X</x:v>
      </x:c>
      <x:c r="H192" s="2" t="str">
        <x:v>0402</x:v>
      </x:c>
      <x:c r="I192" s="16" t="n">
        <x:v>1</x:v>
      </x:c>
      <x:c r="J192" s="16" t="n">
        <x:v>4</x:v>
      </x:c>
      <x:c r="K192" s="16" t="n">
        <x:v>0</x:v>
      </x:c>
      <x:c r="L192" s="16" t="n">
        <x:v>4</x:v>
      </x:c>
      <x:c r="M192" s="16" t="n">
        <x:v>10</x:v>
      </x:c>
      <x:c r="N192" s="16" t="n">
        <x:v>0</x:v>
      </x:c>
      <x:c r="O192" s="16" t="n">
        <x:v>10</x:v>
      </x:c>
      <x:c r="P192" s="16" t="n">
        <x:v>20</x:v>
      </x:c>
      <x:c r="Q192" s="16" t="n">
        <x:v>0</x:v>
      </x:c>
      <x:c r="R192" s="16" t="n">
        <x:v>20</x:v>
      </x:c>
      <x:c r="S192" s="14" t="str">
        <x:v>NONE</x:v>
      </x:c>
      <x:c r="T192" s="2" t="str">
        <x:v>COMMON</x:v>
      </x:c>
      <x:c r="U192" s="14" t="str">
        <x:v>SELECTED_PENDING_REVIEW_A</x:v>
      </x:c>
      <x:c r="V192" s="17" t="str">
        <x:v>Authorized or traceable tier-1 channel</x:v>
      </x:c>
      <x:c r="W192" s="17" t="str">
        <x:v>Marking MPN package orientation electrical functional sample</x:v>
      </x:c>
      <x:c r="X192" s="17" t="str">
        <x:v>MAIN-AUTH-010 exact capture authority; physical pins: 1=SIM2_RST_MUX;2=SIM2_RST_CONN; U15 protection is connector-side</x:v>
      </x:c>
      <x:c r="Y192" s="2" t="str">
        <x:v>0 Ohm</x:v>
      </x:c>
      <x:c r="Z192" s="2" t="str">
        <x:v>ELECTRICAL_COMPONENT</x:v>
      </x:c>
      <x:c r="AA192" s="2" t="str">
        <x:v>FITTED</x:v>
      </x:c>
      <x:c r="AB192" s="2" t="str">
        <x:v>-55..155</x:v>
      </x:c>
      <x:c r="AC192" s="14" t="str">
        <x:v>CONTROLLED_PENDING_VERIFICATION</x:v>
      </x:c>
    </x:row>
    <x:row r="193">
      <x:c r="A193" s="2" t="str">
        <x:v>MAIN-010-R54</x:v>
      </x:c>
      <x:c r="B193" s="2" t="str">
        <x:v>PCB-MAIN</x:v>
      </x:c>
      <x:c r="C193" s="14" t="str">
        <x:v>R54</x:v>
      </x:c>
      <x:c r="D193" s="2" t="str">
        <x:v>Resistor</x:v>
      </x:c>
      <x:c r="E193" s="17" t="str">
        <x:v>J7 clock series tuning link</x:v>
      </x:c>
      <x:c r="F193" s="2" t="str">
        <x:v>Panasonic</x:v>
      </x:c>
      <x:c r="G193" s="2" t="str">
        <x:v>ERJ-2GE0R00X</x:v>
      </x:c>
      <x:c r="H193" s="2" t="str">
        <x:v>0402</x:v>
      </x:c>
      <x:c r="I193" s="16" t="n">
        <x:v>1</x:v>
      </x:c>
      <x:c r="J193" s="16" t="n">
        <x:v>4</x:v>
      </x:c>
      <x:c r="K193" s="16" t="n">
        <x:v>0</x:v>
      </x:c>
      <x:c r="L193" s="16" t="n">
        <x:v>4</x:v>
      </x:c>
      <x:c r="M193" s="16" t="n">
        <x:v>10</x:v>
      </x:c>
      <x:c r="N193" s="16" t="n">
        <x:v>0</x:v>
      </x:c>
      <x:c r="O193" s="16" t="n">
        <x:v>10</x:v>
      </x:c>
      <x:c r="P193" s="16" t="n">
        <x:v>20</x:v>
      </x:c>
      <x:c r="Q193" s="16" t="n">
        <x:v>0</x:v>
      </x:c>
      <x:c r="R193" s="16" t="n">
        <x:v>20</x:v>
      </x:c>
      <x:c r="S193" s="14" t="str">
        <x:v>NONE</x:v>
      </x:c>
      <x:c r="T193" s="2" t="str">
        <x:v>COMMON</x:v>
      </x:c>
      <x:c r="U193" s="14" t="str">
        <x:v>SELECTED_PENDING_REVIEW_A</x:v>
      </x:c>
      <x:c r="V193" s="17" t="str">
        <x:v>Authorized or traceable tier-1 channel</x:v>
      </x:c>
      <x:c r="W193" s="17" t="str">
        <x:v>Marking MPN package orientation electrical functional sample</x:v>
      </x:c>
      <x:c r="X193" s="17" t="str">
        <x:v>MAIN-AUTH-010 exact capture authority; physical pins: 1=SIM2_CLK_MUX;2=SIM2_CLK_CONN; U15 protection is connector-side</x:v>
      </x:c>
      <x:c r="Y193" s="2" t="str">
        <x:v>0 Ohm</x:v>
      </x:c>
      <x:c r="Z193" s="2" t="str">
        <x:v>ELECTRICAL_COMPONENT</x:v>
      </x:c>
      <x:c r="AA193" s="2" t="str">
        <x:v>FITTED</x:v>
      </x:c>
      <x:c r="AB193" s="2" t="str">
        <x:v>-55..155</x:v>
      </x:c>
      <x:c r="AC193" s="14" t="str">
        <x:v>CONTROLLED_PENDING_VERIFICATION</x:v>
      </x:c>
    </x:row>
    <x:row r="194">
      <x:c r="A194" s="2" t="str">
        <x:v>MAIN-010-R55</x:v>
      </x:c>
      <x:c r="B194" s="2" t="str">
        <x:v>PCB-MAIN</x:v>
      </x:c>
      <x:c r="C194" s="14" t="str">
        <x:v>R55</x:v>
      </x:c>
      <x:c r="D194" s="2" t="str">
        <x:v>Resistor</x:v>
      </x:c>
      <x:c r="E194" s="17" t="str">
        <x:v>J7 data series tuning link</x:v>
      </x:c>
      <x:c r="F194" s="2" t="str">
        <x:v>Panasonic</x:v>
      </x:c>
      <x:c r="G194" s="2" t="str">
        <x:v>ERJ-2GE0R00X</x:v>
      </x:c>
      <x:c r="H194" s="2" t="str">
        <x:v>0402</x:v>
      </x:c>
      <x:c r="I194" s="16" t="n">
        <x:v>1</x:v>
      </x:c>
      <x:c r="J194" s="16" t="n">
        <x:v>4</x:v>
      </x:c>
      <x:c r="K194" s="16" t="n">
        <x:v>0</x:v>
      </x:c>
      <x:c r="L194" s="16" t="n">
        <x:v>4</x:v>
      </x:c>
      <x:c r="M194" s="16" t="n">
        <x:v>10</x:v>
      </x:c>
      <x:c r="N194" s="16" t="n">
        <x:v>0</x:v>
      </x:c>
      <x:c r="O194" s="16" t="n">
        <x:v>10</x:v>
      </x:c>
      <x:c r="P194" s="16" t="n">
        <x:v>20</x:v>
      </x:c>
      <x:c r="Q194" s="16" t="n">
        <x:v>0</x:v>
      </x:c>
      <x:c r="R194" s="16" t="n">
        <x:v>20</x:v>
      </x:c>
      <x:c r="S194" s="14" t="str">
        <x:v>NONE</x:v>
      </x:c>
      <x:c r="T194" s="2" t="str">
        <x:v>COMMON</x:v>
      </x:c>
      <x:c r="U194" s="14" t="str">
        <x:v>SELECTED_PENDING_REVIEW_A</x:v>
      </x:c>
      <x:c r="V194" s="17" t="str">
        <x:v>Authorized or traceable tier-1 channel</x:v>
      </x:c>
      <x:c r="W194" s="17" t="str">
        <x:v>Marking MPN package orientation electrical functional sample</x:v>
      </x:c>
      <x:c r="X194" s="17" t="str">
        <x:v>MAIN-AUTH-010 exact capture authority; physical pins: 1=SIM2_DATA_MUX;2=SIM2_DATA_CONN; U15 protection is connector-side</x:v>
      </x:c>
      <x:c r="Y194" s="2" t="str">
        <x:v>0 Ohm</x:v>
      </x:c>
      <x:c r="Z194" s="2" t="str">
        <x:v>ELECTRICAL_COMPONENT</x:v>
      </x:c>
      <x:c r="AA194" s="2" t="str">
        <x:v>FITTED</x:v>
      </x:c>
      <x:c r="AB194" s="2" t="str">
        <x:v>-55..155</x:v>
      </x:c>
      <x:c r="AC194" s="14" t="str">
        <x:v>CONTROLLED_PENDING_VERIFICATION</x:v>
      </x:c>
    </x:row>
    <x:row r="195">
      <x:c r="A195" s="2" t="str">
        <x:v>MAIN-010-R56</x:v>
      </x:c>
      <x:c r="B195" s="2" t="str">
        <x:v>PCB-MAIN</x:v>
      </x:c>
      <x:c r="C195" s="14" t="str">
        <x:v>R56</x:v>
      </x:c>
      <x:c r="D195" s="2" t="str">
        <x:v>Resistor</x:v>
      </x:c>
      <x:c r="E195" s="17" t="str">
        <x:v>U9 TX source-series damping</x:v>
      </x:c>
      <x:c r="F195" s="2" t="str">
        <x:v>Panasonic</x:v>
      </x:c>
      <x:c r="G195" s="2" t="str">
        <x:v>ERJ-2RKF22R0X</x:v>
      </x:c>
      <x:c r="H195" s="2" t="str">
        <x:v>0402</x:v>
      </x:c>
      <x:c r="I195" s="16" t="n">
        <x:v>1</x:v>
      </x:c>
      <x:c r="J195" s="16" t="n">
        <x:v>4</x:v>
      </x:c>
      <x:c r="K195" s="16" t="n">
        <x:v>0</x:v>
      </x:c>
      <x:c r="L195" s="16" t="n">
        <x:v>4</x:v>
      </x:c>
      <x:c r="M195" s="16" t="n">
        <x:v>10</x:v>
      </x:c>
      <x:c r="N195" s="16" t="n">
        <x:v>0</x:v>
      </x:c>
      <x:c r="O195" s="16" t="n">
        <x:v>10</x:v>
      </x:c>
      <x:c r="P195" s="16" t="n">
        <x:v>20</x:v>
      </x:c>
      <x:c r="Q195" s="16" t="n">
        <x:v>0</x:v>
      </x:c>
      <x:c r="R195" s="16" t="n">
        <x:v>20</x:v>
      </x:c>
      <x:c r="S195" s="14" t="str">
        <x:v>NONE</x:v>
      </x:c>
      <x:c r="T195" s="2" t="str">
        <x:v>COMMON</x:v>
      </x:c>
      <x:c r="U195" s="14" t="str">
        <x:v>SELECTED_PENDING_REVIEW_A</x:v>
      </x:c>
      <x:c r="V195" s="17" t="str">
        <x:v>Authorized or traceable tier-1 channel</x:v>
      </x:c>
      <x:c r="W195" s="17" t="str">
        <x:v>Marking MPN package orientation electrical functional sample</x:v>
      </x:c>
      <x:c r="X195" s="17" t="str">
        <x:v>MAIN-AUTH-010 exact capture authority; physical pins: 1=GNSS_RX_U9;2=GNSS_RX_U1; No pull resistor allowed</x:v>
      </x:c>
      <x:c r="Y195" s="2" t="str">
        <x:v>22 Ohm 1%</x:v>
      </x:c>
      <x:c r="Z195" s="2" t="str">
        <x:v>ELECTRICAL_COMPONENT</x:v>
      </x:c>
      <x:c r="AA195" s="2" t="str">
        <x:v>FITTED</x:v>
      </x:c>
      <x:c r="AB195" s="2" t="str">
        <x:v>-55..155</x:v>
      </x:c>
      <x:c r="AC195" s="14" t="str">
        <x:v>CONTROLLED_PENDING_VERIFICATION</x:v>
      </x:c>
    </x:row>
    <x:row r="196">
      <x:c r="A196" s="2" t="str">
        <x:v>MAIN-010-R57</x:v>
      </x:c>
      <x:c r="B196" s="2" t="str">
        <x:v>PCB-MAIN</x:v>
      </x:c>
      <x:c r="C196" s="14" t="str">
        <x:v>R57</x:v>
      </x:c>
      <x:c r="D196" s="2" t="str">
        <x:v>Resistor</x:v>
      </x:c>
      <x:c r="E196" s="17" t="str">
        <x:v>U1 TX source-series damping</x:v>
      </x:c>
      <x:c r="F196" s="2" t="str">
        <x:v>Panasonic</x:v>
      </x:c>
      <x:c r="G196" s="2" t="str">
        <x:v>ERJ-2RKF22R0X</x:v>
      </x:c>
      <x:c r="H196" s="2" t="str">
        <x:v>0402</x:v>
      </x:c>
      <x:c r="I196" s="16" t="n">
        <x:v>1</x:v>
      </x:c>
      <x:c r="J196" s="16" t="n">
        <x:v>4</x:v>
      </x:c>
      <x:c r="K196" s="16" t="n">
        <x:v>0</x:v>
      </x:c>
      <x:c r="L196" s="16" t="n">
        <x:v>4</x:v>
      </x:c>
      <x:c r="M196" s="16" t="n">
        <x:v>10</x:v>
      </x:c>
      <x:c r="N196" s="16" t="n">
        <x:v>0</x:v>
      </x:c>
      <x:c r="O196" s="16" t="n">
        <x:v>10</x:v>
      </x:c>
      <x:c r="P196" s="16" t="n">
        <x:v>20</x:v>
      </x:c>
      <x:c r="Q196" s="16" t="n">
        <x:v>0</x:v>
      </x:c>
      <x:c r="R196" s="16" t="n">
        <x:v>20</x:v>
      </x:c>
      <x:c r="S196" s="14" t="str">
        <x:v>NONE</x:v>
      </x:c>
      <x:c r="T196" s="2" t="str">
        <x:v>COMMON</x:v>
      </x:c>
      <x:c r="U196" s="14" t="str">
        <x:v>SELECTED_PENDING_REVIEW_A</x:v>
      </x:c>
      <x:c r="V196" s="17" t="str">
        <x:v>Authorized or traceable tier-1 channel</x:v>
      </x:c>
      <x:c r="W196" s="17" t="str">
        <x:v>Marking MPN package orientation electrical functional sample</x:v>
      </x:c>
      <x:c r="X196" s="17" t="str">
        <x:v>MAIN-AUTH-010 exact capture authority; physical pins: 1=GNSS_TX_U1;2=GNSS_TX_U9; No pull resistor allowed</x:v>
      </x:c>
      <x:c r="Y196" s="2" t="str">
        <x:v>22 Ohm 1%</x:v>
      </x:c>
      <x:c r="Z196" s="2" t="str">
        <x:v>ELECTRICAL_COMPONENT</x:v>
      </x:c>
      <x:c r="AA196" s="2" t="str">
        <x:v>FITTED</x:v>
      </x:c>
      <x:c r="AB196" s="2" t="str">
        <x:v>-55..155</x:v>
      </x:c>
      <x:c r="AC196" s="14" t="str">
        <x:v>CONTROLLED_PENDING_VERIFICATION</x:v>
      </x:c>
    </x:row>
    <x:row r="197">
      <x:c r="A197" s="2" t="str">
        <x:v>MAIN-010-R58</x:v>
      </x:c>
      <x:c r="B197" s="2" t="str">
        <x:v>PCB-MAIN</x:v>
      </x:c>
      <x:c r="C197" s="14" t="str">
        <x:v>R58</x:v>
      </x:c>
      <x:c r="D197" s="2" t="str">
        <x:v>Resistor</x:v>
      </x:c>
      <x:c r="E197" s="17" t="str">
        <x:v>U9 TIMEPULSE source-series damping</x:v>
      </x:c>
      <x:c r="F197" s="2" t="str">
        <x:v>Panasonic</x:v>
      </x:c>
      <x:c r="G197" s="2" t="str">
        <x:v>ERJ-2RKF22R0X</x:v>
      </x:c>
      <x:c r="H197" s="2" t="str">
        <x:v>0402</x:v>
      </x:c>
      <x:c r="I197" s="16" t="n">
        <x:v>1</x:v>
      </x:c>
      <x:c r="J197" s="16" t="n">
        <x:v>4</x:v>
      </x:c>
      <x:c r="K197" s="16" t="n">
        <x:v>0</x:v>
      </x:c>
      <x:c r="L197" s="16" t="n">
        <x:v>4</x:v>
      </x:c>
      <x:c r="M197" s="16" t="n">
        <x:v>10</x:v>
      </x:c>
      <x:c r="N197" s="16" t="n">
        <x:v>0</x:v>
      </x:c>
      <x:c r="O197" s="16" t="n">
        <x:v>10</x:v>
      </x:c>
      <x:c r="P197" s="16" t="n">
        <x:v>20</x:v>
      </x:c>
      <x:c r="Q197" s="16" t="n">
        <x:v>0</x:v>
      </x:c>
      <x:c r="R197" s="16" t="n">
        <x:v>20</x:v>
      </x:c>
      <x:c r="S197" s="14" t="str">
        <x:v>NONE</x:v>
      </x:c>
      <x:c r="T197" s="2" t="str">
        <x:v>COMMON</x:v>
      </x:c>
      <x:c r="U197" s="14" t="str">
        <x:v>SELECTED_PENDING_REVIEW_A</x:v>
      </x:c>
      <x:c r="V197" s="17" t="str">
        <x:v>Authorized or traceable tier-1 channel</x:v>
      </x:c>
      <x:c r="W197" s="17" t="str">
        <x:v>Marking MPN package orientation electrical functional sample</x:v>
      </x:c>
      <x:c r="X197" s="17" t="str">
        <x:v>MAIN-AUTH-010 exact capture authority; physical pins: 1=GNSS_PPS_U9;2=GNSS_PPS_U1; Do not load LOW at startup</x:v>
      </x:c>
      <x:c r="Y197" s="2" t="str">
        <x:v>22 Ohm 1%</x:v>
      </x:c>
      <x:c r="Z197" s="2" t="str">
        <x:v>ELECTRICAL_COMPONENT</x:v>
      </x:c>
      <x:c r="AA197" s="2" t="str">
        <x:v>FITTED</x:v>
      </x:c>
      <x:c r="AB197" s="2" t="str">
        <x:v>-55..155</x:v>
      </x:c>
      <x:c r="AC197" s="14" t="str">
        <x:v>CONTROLLED_PENDING_VERIFICATION</x:v>
      </x:c>
    </x:row>
    <x:row r="198">
      <x:c r="A198" s="2" t="str">
        <x:v>MAIN-010-R59</x:v>
      </x:c>
      <x:c r="B198" s="2" t="str">
        <x:v>PCB-MAIN</x:v>
      </x:c>
      <x:c r="C198" s="14" t="str">
        <x:v>R59</x:v>
      </x:c>
      <x:c r="D198" s="2" t="str">
        <x:v>Resistor</x:v>
      </x:c>
      <x:c r="E198" s="17" t="str">
        <x:v>Figure 38 voltage-divider upper resistor R5</x:v>
      </x:c>
      <x:c r="F198" s="2" t="str">
        <x:v>Panasonic</x:v>
      </x:c>
      <x:c r="G198" s="2" t="str">
        <x:v>ERJ-2GEJ561X</x:v>
      </x:c>
      <x:c r="H198" s="2" t="str">
        <x:v>0402</x:v>
      </x:c>
      <x:c r="I198" s="16" t="n">
        <x:v>1</x:v>
      </x:c>
      <x:c r="J198" s="16" t="n">
        <x:v>4</x:v>
      </x:c>
      <x:c r="K198" s="16" t="n">
        <x:v>0</x:v>
      </x:c>
      <x:c r="L198" s="16" t="n">
        <x:v>4</x:v>
      </x:c>
      <x:c r="M198" s="16" t="n">
        <x:v>10</x:v>
      </x:c>
      <x:c r="N198" s="16" t="n">
        <x:v>0</x:v>
      </x:c>
      <x:c r="O198" s="16" t="n">
        <x:v>10</x:v>
      </x:c>
      <x:c r="P198" s="16" t="n">
        <x:v>20</x:v>
      </x:c>
      <x:c r="Q198" s="16" t="n">
        <x:v>0</x:v>
      </x:c>
      <x:c r="R198" s="16" t="n">
        <x:v>20</x:v>
      </x:c>
      <x:c r="S198" s="14" t="str">
        <x:v>NONE</x:v>
      </x:c>
      <x:c r="T198" s="2" t="str">
        <x:v>COMMON</x:v>
      </x:c>
      <x:c r="U198" s="14" t="str">
        <x:v>SELECTED_PENDING_REVIEW_A</x:v>
      </x:c>
      <x:c r="V198" s="17" t="str">
        <x:v>Authorized or traceable tier-1 channel</x:v>
      </x:c>
      <x:c r="W198" s="17" t="str">
        <x:v>Marking MPN package orientation electrical functional sample</x:v>
      </x:c>
      <x:c r="X198" s="17" t="str">
        <x:v>MAIN-AUTH-010 exact capture authority; physical pins: 1=GNSS_ANT_SWITCHED;2=GNSS_ANT_DIV; Feeds U5 non-inverting input</x:v>
      </x:c>
      <x:c r="Y198" s="2" t="str">
        <x:v>560 Ohm 5% 0.1 W</x:v>
      </x:c>
      <x:c r="Z198" s="2" t="str">
        <x:v>ELECTRICAL_COMPONENT</x:v>
      </x:c>
      <x:c r="AA198" s="2" t="str">
        <x:v>FITTED</x:v>
      </x:c>
      <x:c r="AB198" s="2" t="str">
        <x:v>-55..155</x:v>
      </x:c>
      <x:c r="AC198" s="14" t="str">
        <x:v>CONTROLLED_PENDING_VERIFICATION</x:v>
      </x:c>
    </x:row>
    <x:row r="199">
      <x:c r="A199" s="2" t="str">
        <x:v>MAIN-010-R60</x:v>
      </x:c>
      <x:c r="B199" s="2" t="str">
        <x:v>PCB-MAIN</x:v>
      </x:c>
      <x:c r="C199" s="14" t="str">
        <x:v>R60</x:v>
      </x:c>
      <x:c r="D199" s="2" t="str">
        <x:v>Resistor</x:v>
      </x:c>
      <x:c r="E199" s="17" t="str">
        <x:v>Figure 38 voltage-divider lower resistor R6</x:v>
      </x:c>
      <x:c r="F199" s="2" t="str">
        <x:v>Panasonic</x:v>
      </x:c>
      <x:c r="G199" s="2" t="str">
        <x:v>ERJ-2GEJ104X</x:v>
      </x:c>
      <x:c r="H199" s="2" t="str">
        <x:v>0402</x:v>
      </x:c>
      <x:c r="I199" s="16" t="n">
        <x:v>1</x:v>
      </x:c>
      <x:c r="J199" s="16" t="n">
        <x:v>4</x:v>
      </x:c>
      <x:c r="K199" s="16" t="n">
        <x:v>0</x:v>
      </x:c>
      <x:c r="L199" s="16" t="n">
        <x:v>4</x:v>
      </x:c>
      <x:c r="M199" s="16" t="n">
        <x:v>10</x:v>
      </x:c>
      <x:c r="N199" s="16" t="n">
        <x:v>0</x:v>
      </x:c>
      <x:c r="O199" s="16" t="n">
        <x:v>10</x:v>
      </x:c>
      <x:c r="P199" s="16" t="n">
        <x:v>20</x:v>
      </x:c>
      <x:c r="Q199" s="16" t="n">
        <x:v>0</x:v>
      </x:c>
      <x:c r="R199" s="16" t="n">
        <x:v>20</x:v>
      </x:c>
      <x:c r="S199" s="14" t="str">
        <x:v>NONE</x:v>
      </x:c>
      <x:c r="T199" s="2" t="str">
        <x:v>COMMON</x:v>
      </x:c>
      <x:c r="U199" s="14" t="str">
        <x:v>SELECTED_PENDING_REVIEW_A</x:v>
      </x:c>
      <x:c r="V199" s="17" t="str">
        <x:v>Authorized or traceable tier-1 channel</x:v>
      </x:c>
      <x:c r="W199" s="17" t="str">
        <x:v>Marking MPN package orientation electrical functional sample</x:v>
      </x:c>
      <x:c r="X199" s="17" t="str">
        <x:v>MAIN-AUTH-010 exact capture authority; physical pins: 1=GNSS_ANT_DIV;2=GND; Sets open-detect threshold with R59</x:v>
      </x:c>
      <x:c r="Y199" s="2" t="str">
        <x:v>100 kOhm 5% 0.1 W</x:v>
      </x:c>
      <x:c r="Z199" s="2" t="str">
        <x:v>ELECTRICAL_COMPONENT</x:v>
      </x:c>
      <x:c r="AA199" s="2" t="str">
        <x:v>FITTED</x:v>
      </x:c>
      <x:c r="AB199" s="2" t="str">
        <x:v>-55..155</x:v>
      </x:c>
      <x:c r="AC199" s="14" t="str">
        <x:v>CONTROLLED_PENDING_VERIFICATION</x:v>
      </x:c>
    </x:row>
    <x:row r="200">
      <x:c r="A200" s="2" t="str">
        <x:v>MAIN-010-R61</x:v>
      </x:c>
      <x:c r="B200" s="2" t="str">
        <x:v>PCB-MAIN</x:v>
      </x:c>
      <x:c r="C200" s="14" t="str">
        <x:v>R61</x:v>
      </x:c>
      <x:c r="D200" s="2" t="str">
        <x:v>Resistor</x:v>
      </x:c>
      <x:c r="E200" s="17" t="str">
        <x:v>Figure 38 P-channel gate pull-up R7</x:v>
      </x:c>
      <x:c r="F200" s="2" t="str">
        <x:v>Panasonic</x:v>
      </x:c>
      <x:c r="G200" s="2" t="str">
        <x:v>ERJ-2GEJ104X</x:v>
      </x:c>
      <x:c r="H200" s="2" t="str">
        <x:v>0402</x:v>
      </x:c>
      <x:c r="I200" s="16" t="n">
        <x:v>1</x:v>
      </x:c>
      <x:c r="J200" s="16" t="n">
        <x:v>4</x:v>
      </x:c>
      <x:c r="K200" s="16" t="n">
        <x:v>0</x:v>
      </x:c>
      <x:c r="L200" s="16" t="n">
        <x:v>4</x:v>
      </x:c>
      <x:c r="M200" s="16" t="n">
        <x:v>10</x:v>
      </x:c>
      <x:c r="N200" s="16" t="n">
        <x:v>0</x:v>
      </x:c>
      <x:c r="O200" s="16" t="n">
        <x:v>10</x:v>
      </x:c>
      <x:c r="P200" s="16" t="n">
        <x:v>20</x:v>
      </x:c>
      <x:c r="Q200" s="16" t="n">
        <x:v>0</x:v>
      </x:c>
      <x:c r="R200" s="16" t="n">
        <x:v>20</x:v>
      </x:c>
      <x:c r="S200" s="14" t="str">
        <x:v>NONE</x:v>
      </x:c>
      <x:c r="T200" s="2" t="str">
        <x:v>COMMON</x:v>
      </x:c>
      <x:c r="U200" s="14" t="str">
        <x:v>SELECTED_PENDING_REVIEW_A</x:v>
      </x:c>
      <x:c r="V200" s="17" t="str">
        <x:v>Authorized or traceable tier-1 channel</x:v>
      </x:c>
      <x:c r="W200" s="17" t="str">
        <x:v>Marking MPN package orientation electrical functional sample</x:v>
      </x:c>
      <x:c r="X200" s="17" t="str">
        <x:v>MAIN-AUTH-010 exact capture authority; physical pins: 1=GNSS_ANT_BIAS_RAW;2=GNSS_ANT_GATE; Antenna supply defaults off</x:v>
      </x:c>
      <x:c r="Y200" s="2" t="str">
        <x:v>100 kOhm 5% 0.1 W</x:v>
      </x:c>
      <x:c r="Z200" s="2" t="str">
        <x:v>ELECTRICAL_COMPONENT</x:v>
      </x:c>
      <x:c r="AA200" s="2" t="str">
        <x:v>FITTED</x:v>
      </x:c>
      <x:c r="AB200" s="2" t="str">
        <x:v>-55..155</x:v>
      </x:c>
      <x:c r="AC200" s="14" t="str">
        <x:v>CONTROLLED_PENDING_VERIFICATION</x:v>
      </x:c>
    </x:row>
    <x:row r="201">
      <x:c r="A201" s="2" t="str">
        <x:v>MAIN-010-R62</x:v>
      </x:c>
      <x:c r="B201" s="2" t="str">
        <x:v>PCB-MAIN</x:v>
      </x:c>
      <x:c r="C201" s="14" t="str">
        <x:v>R62</x:v>
      </x:c>
      <x:c r="D201" s="2" t="str">
        <x:v>Resistor</x:v>
      </x:c>
      <x:c r="E201" s="17" t="str">
        <x:v>Figure 38 current limiter and shunt R8</x:v>
      </x:c>
      <x:c r="F201" s="2" t="str">
        <x:v>Panasonic</x:v>
      </x:c>
      <x:c r="G201" s="2" t="str">
        <x:v>ERJ-8GEYJ100V</x:v>
      </x:c>
      <x:c r="H201" s="2" t="str">
        <x:v>1206</x:v>
      </x:c>
      <x:c r="I201" s="16" t="n">
        <x:v>1</x:v>
      </x:c>
      <x:c r="J201" s="16" t="n">
        <x:v>4</x:v>
      </x:c>
      <x:c r="K201" s="16" t="n">
        <x:v>0</x:v>
      </x:c>
      <x:c r="L201" s="16" t="n">
        <x:v>4</x:v>
      </x:c>
      <x:c r="M201" s="16" t="n">
        <x:v>10</x:v>
      </x:c>
      <x:c r="N201" s="16" t="n">
        <x:v>0</x:v>
      </x:c>
      <x:c r="O201" s="16" t="n">
        <x:v>10</x:v>
      </x:c>
      <x:c r="P201" s="16" t="n">
        <x:v>20</x:v>
      </x:c>
      <x:c r="Q201" s="16" t="n">
        <x:v>0</x:v>
      </x:c>
      <x:c r="R201" s="16" t="n">
        <x:v>20</x:v>
      </x:c>
      <x:c r="S201" s="14" t="str">
        <x:v>NONE</x:v>
      </x:c>
      <x:c r="T201" s="2" t="str">
        <x:v>COMMON</x:v>
      </x:c>
      <x:c r="U201" s="14" t="str">
        <x:v>SELECTED_PENDING_REVIEW_A</x:v>
      </x:c>
      <x:c r="V201" s="17" t="str">
        <x:v>Authorized or traceable tier-1 channel</x:v>
      </x:c>
      <x:c r="W201" s="17" t="str">
        <x:v>Marking MPN package orientation electrical functional sample</x:v>
      </x:c>
      <x:c r="X201" s="17" t="str">
        <x:v>MAIN-AUTH-010 exact capture authority; physical pins: 1=GNSS_ANT_SWITCHED;2=GNSS_ANT_SHORT_N; PIO3 senses active-LOW short directly</x:v>
      </x:c>
      <x:c r="Y201" s="2" t="str">
        <x:v>10 Ohm 5% 0.25 W</x:v>
      </x:c>
      <x:c r="Z201" s="2" t="str">
        <x:v>ELECTRICAL_COMPONENT</x:v>
      </x:c>
      <x:c r="AA201" s="2" t="str">
        <x:v>FITTED</x:v>
      </x:c>
      <x:c r="AB201" s="2" t="str">
        <x:v>-55..155</x:v>
      </x:c>
      <x:c r="AC201" s="14" t="str">
        <x:v>CONTROLLED_PENDING_VERIFICATION</x:v>
      </x:c>
    </x:row>
    <x:row r="202">
      <x:c r="A202" s="2" t="str">
        <x:v>MAIN-010-R63</x:v>
      </x:c>
      <x:c r="B202" s="2" t="str">
        <x:v>PCB-MAIN</x:v>
      </x:c>
      <x:c r="C202" s="14" t="str">
        <x:v>R63</x:v>
      </x:c>
      <x:c r="D202" s="2" t="str">
        <x:v>Resistor</x:v>
      </x:c>
      <x:c r="E202" s="17" t="str">
        <x:v>U10 TXEN fail-closed pull-down</x:v>
      </x:c>
      <x:c r="F202" s="2" t="str">
        <x:v>Panasonic</x:v>
      </x:c>
      <x:c r="G202" s="2" t="str">
        <x:v>ERJ-2RKF1003X</x:v>
      </x:c>
      <x:c r="H202" s="2" t="str">
        <x:v>0402</x:v>
      </x:c>
      <x:c r="I202" s="16" t="n">
        <x:v>1</x:v>
      </x:c>
      <x:c r="J202" s="16" t="n">
        <x:v>4</x:v>
      </x:c>
      <x:c r="K202" s="16" t="n">
        <x:v>0</x:v>
      </x:c>
      <x:c r="L202" s="16" t="n">
        <x:v>4</x:v>
      </x:c>
      <x:c r="M202" s="16" t="n">
        <x:v>10</x:v>
      </x:c>
      <x:c r="N202" s="16" t="n">
        <x:v>0</x:v>
      </x:c>
      <x:c r="O202" s="16" t="n">
        <x:v>10</x:v>
      </x:c>
      <x:c r="P202" s="16" t="n">
        <x:v>20</x:v>
      </x:c>
      <x:c r="Q202" s="16" t="n">
        <x:v>0</x:v>
      </x:c>
      <x:c r="R202" s="16" t="n">
        <x:v>20</x:v>
      </x:c>
      <x:c r="S202" s="14" t="str">
        <x:v>NONE</x:v>
      </x:c>
      <x:c r="T202" s="2" t="str">
        <x:v>COMMON</x:v>
      </x:c>
      <x:c r="U202" s="14" t="str">
        <x:v>SELECTED_PENDING_REVIEW_A</x:v>
      </x:c>
      <x:c r="V202" s="17" t="str">
        <x:v>Authorized or traceable tier-1 channel</x:v>
      </x:c>
      <x:c r="W202" s="17" t="str">
        <x:v>Marking MPN package orientation electrical functional sample</x:v>
      </x:c>
      <x:c r="X202" s="17" t="str">
        <x:v>MAIN-AUTH-010 exact capture authority; physical pins: 1=LORA_TXEN;2=GND; TXEN and RXEN HIGH together is forbidden</x:v>
      </x:c>
      <x:c r="Y202" s="2" t="str">
        <x:v>100 kOhm 1%</x:v>
      </x:c>
      <x:c r="Z202" s="2" t="str">
        <x:v>ELECTRICAL_COMPONENT</x:v>
      </x:c>
      <x:c r="AA202" s="2" t="str">
        <x:v>FITTED</x:v>
      </x:c>
      <x:c r="AB202" s="2" t="str">
        <x:v>-55..155</x:v>
      </x:c>
      <x:c r="AC202" s="14" t="str">
        <x:v>CONTROLLED_PENDING_VERIFICATION</x:v>
      </x:c>
    </x:row>
    <x:row r="203">
      <x:c r="A203" s="2" t="str">
        <x:v>MAIN-010-R64</x:v>
      </x:c>
      <x:c r="B203" s="2" t="str">
        <x:v>PCB-MAIN</x:v>
      </x:c>
      <x:c r="C203" s="14" t="str">
        <x:v>R64</x:v>
      </x:c>
      <x:c r="D203" s="2" t="str">
        <x:v>Resistor</x:v>
      </x:c>
      <x:c r="E203" s="17" t="str">
        <x:v>U10 RXEN fail-closed pull-down</x:v>
      </x:c>
      <x:c r="F203" s="2" t="str">
        <x:v>Panasonic</x:v>
      </x:c>
      <x:c r="G203" s="2" t="str">
        <x:v>ERJ-2RKF1003X</x:v>
      </x:c>
      <x:c r="H203" s="2" t="str">
        <x:v>0402</x:v>
      </x:c>
      <x:c r="I203" s="16" t="n">
        <x:v>1</x:v>
      </x:c>
      <x:c r="J203" s="16" t="n">
        <x:v>4</x:v>
      </x:c>
      <x:c r="K203" s="16" t="n">
        <x:v>0</x:v>
      </x:c>
      <x:c r="L203" s="16" t="n">
        <x:v>4</x:v>
      </x:c>
      <x:c r="M203" s="16" t="n">
        <x:v>10</x:v>
      </x:c>
      <x:c r="N203" s="16" t="n">
        <x:v>0</x:v>
      </x:c>
      <x:c r="O203" s="16" t="n">
        <x:v>10</x:v>
      </x:c>
      <x:c r="P203" s="16" t="n">
        <x:v>20</x:v>
      </x:c>
      <x:c r="Q203" s="16" t="n">
        <x:v>0</x:v>
      </x:c>
      <x:c r="R203" s="16" t="n">
        <x:v>20</x:v>
      </x:c>
      <x:c r="S203" s="14" t="str">
        <x:v>NONE</x:v>
      </x:c>
      <x:c r="T203" s="2" t="str">
        <x:v>COMMON</x:v>
      </x:c>
      <x:c r="U203" s="14" t="str">
        <x:v>SELECTED_PENDING_REVIEW_A</x:v>
      </x:c>
      <x:c r="V203" s="17" t="str">
        <x:v>Authorized or traceable tier-1 channel</x:v>
      </x:c>
      <x:c r="W203" s="17" t="str">
        <x:v>Marking MPN package orientation electrical functional sample</x:v>
      </x:c>
      <x:c r="X203" s="17" t="str">
        <x:v>MAIN-AUTH-010 exact capture authority; physical pins: 1=LORA_RXEN;2=GND; TXEN and RXEN HIGH together is forbidden</x:v>
      </x:c>
      <x:c r="Y203" s="2" t="str">
        <x:v>100 kOhm 1%</x:v>
      </x:c>
      <x:c r="Z203" s="2" t="str">
        <x:v>ELECTRICAL_COMPONENT</x:v>
      </x:c>
      <x:c r="AA203" s="2" t="str">
        <x:v>FITTED</x:v>
      </x:c>
      <x:c r="AB203" s="2" t="str">
        <x:v>-55..155</x:v>
      </x:c>
      <x:c r="AC203" s="14" t="str">
        <x:v>CONTROLLED_PENDING_VERIFICATION</x:v>
      </x:c>
    </x:row>
    <x:row r="204">
      <x:c r="A204" s="2" t="str">
        <x:v>MAIN-010-R65</x:v>
      </x:c>
      <x:c r="B204" s="2" t="str">
        <x:v>PCB-MAIN</x:v>
      </x:c>
      <x:c r="C204" s="14" t="str">
        <x:v>R65</x:v>
      </x:c>
      <x:c r="D204" s="2" t="str">
        <x:v>Resistor</x:v>
      </x:c>
      <x:c r="E204" s="17" t="str">
        <x:v>U10 DIO1 inactive-state pull-down</x:v>
      </x:c>
      <x:c r="F204" s="2" t="str">
        <x:v>Panasonic</x:v>
      </x:c>
      <x:c r="G204" s="2" t="str">
        <x:v>ERJ-2RKF1003X</x:v>
      </x:c>
      <x:c r="H204" s="2" t="str">
        <x:v>0402</x:v>
      </x:c>
      <x:c r="I204" s="16" t="n">
        <x:v>1</x:v>
      </x:c>
      <x:c r="J204" s="16" t="n">
        <x:v>4</x:v>
      </x:c>
      <x:c r="K204" s="16" t="n">
        <x:v>0</x:v>
      </x:c>
      <x:c r="L204" s="16" t="n">
        <x:v>4</x:v>
      </x:c>
      <x:c r="M204" s="16" t="n">
        <x:v>10</x:v>
      </x:c>
      <x:c r="N204" s="16" t="n">
        <x:v>0</x:v>
      </x:c>
      <x:c r="O204" s="16" t="n">
        <x:v>10</x:v>
      </x:c>
      <x:c r="P204" s="16" t="n">
        <x:v>20</x:v>
      </x:c>
      <x:c r="Q204" s="16" t="n">
        <x:v>0</x:v>
      </x:c>
      <x:c r="R204" s="16" t="n">
        <x:v>20</x:v>
      </x:c>
      <x:c r="S204" s="14" t="str">
        <x:v>NONE</x:v>
      </x:c>
      <x:c r="T204" s="2" t="str">
        <x:v>COMMON</x:v>
      </x:c>
      <x:c r="U204" s="14" t="str">
        <x:v>SELECTED_PENDING_REVIEW_A</x:v>
      </x:c>
      <x:c r="V204" s="17" t="str">
        <x:v>Authorized or traceable tier-1 channel</x:v>
      </x:c>
      <x:c r="W204" s="17" t="str">
        <x:v>Marking MPN package orientation electrical functional sample</x:v>
      </x:c>
      <x:c r="X204" s="17" t="str">
        <x:v>MAIN-AUTH-010 exact capture authority; physical pins: 1=LORA_DIO1;2=GND; MCU input remains deterministic</x:v>
      </x:c>
      <x:c r="Y204" s="2" t="str">
        <x:v>100 kOhm 1%</x:v>
      </x:c>
      <x:c r="Z204" s="2" t="str">
        <x:v>ELECTRICAL_COMPONENT</x:v>
      </x:c>
      <x:c r="AA204" s="2" t="str">
        <x:v>FITTED</x:v>
      </x:c>
      <x:c r="AB204" s="2" t="str">
        <x:v>-55..155</x:v>
      </x:c>
      <x:c r="AC204" s="14" t="str">
        <x:v>CONTROLLED_PENDING_VERIFICATION</x:v>
      </x:c>
    </x:row>
    <x:row r="205">
      <x:c r="A205" s="2" t="str">
        <x:v>MAIN-010-R66</x:v>
      </x:c>
      <x:c r="B205" s="2" t="str">
        <x:v>PCB-MAIN</x:v>
      </x:c>
      <x:c r="C205" s="14" t="str">
        <x:v>R66</x:v>
      </x:c>
      <x:c r="D205" s="2" t="str">
        <x:v>Resistor</x:v>
      </x:c>
      <x:c r="E205" s="17" t="str">
        <x:v>U10 BUSY inactive-state pull-down</x:v>
      </x:c>
      <x:c r="F205" s="2" t="str">
        <x:v>Panasonic</x:v>
      </x:c>
      <x:c r="G205" s="2" t="str">
        <x:v>ERJ-2RKF1003X</x:v>
      </x:c>
      <x:c r="H205" s="2" t="str">
        <x:v>0402</x:v>
      </x:c>
      <x:c r="I205" s="16" t="n">
        <x:v>1</x:v>
      </x:c>
      <x:c r="J205" s="16" t="n">
        <x:v>4</x:v>
      </x:c>
      <x:c r="K205" s="16" t="n">
        <x:v>0</x:v>
      </x:c>
      <x:c r="L205" s="16" t="n">
        <x:v>4</x:v>
      </x:c>
      <x:c r="M205" s="16" t="n">
        <x:v>10</x:v>
      </x:c>
      <x:c r="N205" s="16" t="n">
        <x:v>0</x:v>
      </x:c>
      <x:c r="O205" s="16" t="n">
        <x:v>10</x:v>
      </x:c>
      <x:c r="P205" s="16" t="n">
        <x:v>20</x:v>
      </x:c>
      <x:c r="Q205" s="16" t="n">
        <x:v>0</x:v>
      </x:c>
      <x:c r="R205" s="16" t="n">
        <x:v>20</x:v>
      </x:c>
      <x:c r="S205" s="14" t="str">
        <x:v>NONE</x:v>
      </x:c>
      <x:c r="T205" s="2" t="str">
        <x:v>COMMON</x:v>
      </x:c>
      <x:c r="U205" s="14" t="str">
        <x:v>SELECTED_PENDING_REVIEW_A</x:v>
      </x:c>
      <x:c r="V205" s="17" t="str">
        <x:v>Authorized or traceable tier-1 channel</x:v>
      </x:c>
      <x:c r="W205" s="17" t="str">
        <x:v>Marking MPN package orientation electrical functional sample</x:v>
      </x:c>
      <x:c r="X205" s="17" t="str">
        <x:v>MAIN-AUTH-010 exact capture authority; physical pins: 1=LORA_BUSY;2=GND; MCU input remains deterministic</x:v>
      </x:c>
      <x:c r="Y205" s="2" t="str">
        <x:v>100 kOhm 1%</x:v>
      </x:c>
      <x:c r="Z205" s="2" t="str">
        <x:v>ELECTRICAL_COMPONENT</x:v>
      </x:c>
      <x:c r="AA205" s="2" t="str">
        <x:v>FITTED</x:v>
      </x:c>
      <x:c r="AB205" s="2" t="str">
        <x:v>-55..155</x:v>
      </x:c>
      <x:c r="AC205" s="14" t="str">
        <x:v>CONTROLLED_PENDING_VERIFICATION</x:v>
      </x:c>
    </x:row>
    <x:row r="206">
      <x:c r="A206" s="2" t="str">
        <x:v>MAIN-010-R67</x:v>
      </x:c>
      <x:c r="B206" s="2" t="str">
        <x:v>PCB-MAIN</x:v>
      </x:c>
      <x:c r="C206" s="14" t="str">
        <x:v>R67</x:v>
      </x:c>
      <x:c r="D206" s="2" t="str">
        <x:v>Resistor</x:v>
      </x:c>
      <x:c r="E206" s="17" t="str">
        <x:v>U10 reset pull-up</x:v>
      </x:c>
      <x:c r="F206" s="2" t="str">
        <x:v>Panasonic</x:v>
      </x:c>
      <x:c r="G206" s="2" t="str">
        <x:v>ERJ-2RKF1002X</x:v>
      </x:c>
      <x:c r="H206" s="2" t="str">
        <x:v>0402</x:v>
      </x:c>
      <x:c r="I206" s="16" t="n">
        <x:v>1</x:v>
      </x:c>
      <x:c r="J206" s="16" t="n">
        <x:v>4</x:v>
      </x:c>
      <x:c r="K206" s="16" t="n">
        <x:v>0</x:v>
      </x:c>
      <x:c r="L206" s="16" t="n">
        <x:v>4</x:v>
      </x:c>
      <x:c r="M206" s="16" t="n">
        <x:v>10</x:v>
      </x:c>
      <x:c r="N206" s="16" t="n">
        <x:v>0</x:v>
      </x:c>
      <x:c r="O206" s="16" t="n">
        <x:v>10</x:v>
      </x:c>
      <x:c r="P206" s="16" t="n">
        <x:v>20</x:v>
      </x:c>
      <x:c r="Q206" s="16" t="n">
        <x:v>0</x:v>
      </x:c>
      <x:c r="R206" s="16" t="n">
        <x:v>20</x:v>
      </x:c>
      <x:c r="S206" s="14" t="str">
        <x:v>NONE</x:v>
      </x:c>
      <x:c r="T206" s="2" t="str">
        <x:v>COMMON</x:v>
      </x:c>
      <x:c r="U206" s="14" t="str">
        <x:v>SELECTED_PENDING_REVIEW_A</x:v>
      </x:c>
      <x:c r="V206" s="17" t="str">
        <x:v>Authorized or traceable tier-1 channel</x:v>
      </x:c>
      <x:c r="W206" s="17" t="str">
        <x:v>Marking MPN package orientation electrical functional sample</x:v>
      </x:c>
      <x:c r="X206" s="17" t="str">
        <x:v>MAIN-AUTH-010 exact capture authority; physical pins: 1=3V3_DIGITAL;2=LORA_RESET_N; Works with C68</x:v>
      </x:c>
      <x:c r="Y206" s="2" t="str">
        <x:v>10 kOhm 1%</x:v>
      </x:c>
      <x:c r="Z206" s="2" t="str">
        <x:v>ELECTRICAL_COMPONENT</x:v>
      </x:c>
      <x:c r="AA206" s="2" t="str">
        <x:v>FITTED</x:v>
      </x:c>
      <x:c r="AB206" s="2" t="str">
        <x:v>-55..155</x:v>
      </x:c>
      <x:c r="AC206" s="14" t="str">
        <x:v>CONTROLLED_PENDING_VERIFICATION</x:v>
      </x:c>
    </x:row>
    <x:row r="207">
      <x:c r="A207" s="2" t="str">
        <x:v>MAIN-010-R68</x:v>
      </x:c>
      <x:c r="B207" s="2" t="str">
        <x:v>PCB-MAIN</x:v>
      </x:c>
      <x:c r="C207" s="14" t="str">
        <x:v>R68</x:v>
      </x:c>
      <x:c r="D207" s="2" t="str">
        <x:v>Resistor</x:v>
      </x:c>
      <x:c r="E207" s="17" t="str">
        <x:v>U10 chip-select safe-state pull-up</x:v>
      </x:c>
      <x:c r="F207" s="2" t="str">
        <x:v>Panasonic</x:v>
      </x:c>
      <x:c r="G207" s="2" t="str">
        <x:v>ERJ-2RKF1002X</x:v>
      </x:c>
      <x:c r="H207" s="2" t="str">
        <x:v>0402</x:v>
      </x:c>
      <x:c r="I207" s="16" t="n">
        <x:v>1</x:v>
      </x:c>
      <x:c r="J207" s="16" t="n">
        <x:v>4</x:v>
      </x:c>
      <x:c r="K207" s="16" t="n">
        <x:v>0</x:v>
      </x:c>
      <x:c r="L207" s="16" t="n">
        <x:v>4</x:v>
      </x:c>
      <x:c r="M207" s="16" t="n">
        <x:v>10</x:v>
      </x:c>
      <x:c r="N207" s="16" t="n">
        <x:v>0</x:v>
      </x:c>
      <x:c r="O207" s="16" t="n">
        <x:v>10</x:v>
      </x:c>
      <x:c r="P207" s="16" t="n">
        <x:v>20</x:v>
      </x:c>
      <x:c r="Q207" s="16" t="n">
        <x:v>0</x:v>
      </x:c>
      <x:c r="R207" s="16" t="n">
        <x:v>20</x:v>
      </x:c>
      <x:c r="S207" s="14" t="str">
        <x:v>NONE</x:v>
      </x:c>
      <x:c r="T207" s="2" t="str">
        <x:v>COMMON</x:v>
      </x:c>
      <x:c r="U207" s="14" t="str">
        <x:v>SELECTED_PENDING_REVIEW_A</x:v>
      </x:c>
      <x:c r="V207" s="17" t="str">
        <x:v>Authorized or traceable tier-1 channel</x:v>
      </x:c>
      <x:c r="W207" s="17" t="str">
        <x:v>Marking MPN package orientation electrical functional sample</x:v>
      </x:c>
      <x:c r="X207" s="17" t="str">
        <x:v>MAIN-AUTH-010 exact capture authority; physical pins: 1=3V3_DIGITAL;2=LORA_NSS_U10; Radio remains deselected during MCU reset</x:v>
      </x:c>
      <x:c r="Y207" s="2" t="str">
        <x:v>10 kOhm 1%</x:v>
      </x:c>
      <x:c r="Z207" s="2" t="str">
        <x:v>ELECTRICAL_COMPONENT</x:v>
      </x:c>
      <x:c r="AA207" s="2" t="str">
        <x:v>FITTED</x:v>
      </x:c>
      <x:c r="AB207" s="2" t="str">
        <x:v>-55..155</x:v>
      </x:c>
      <x:c r="AC207" s="14" t="str">
        <x:v>CONTROLLED_PENDING_VERIFICATION</x:v>
      </x:c>
    </x:row>
    <x:row r="208">
      <x:c r="A208" s="2" t="str">
        <x:v>MAIN-010-R69</x:v>
      </x:c>
      <x:c r="B208" s="2" t="str">
        <x:v>PCB-MAIN</x:v>
      </x:c>
      <x:c r="C208" s="14" t="str">
        <x:v>R69</x:v>
      </x:c>
      <x:c r="D208" s="2" t="str">
        <x:v>Resistor</x:v>
      </x:c>
      <x:c r="E208" s="17" t="str">
        <x:v>U1 NSS source-series damping</x:v>
      </x:c>
      <x:c r="F208" s="2" t="str">
        <x:v>Panasonic</x:v>
      </x:c>
      <x:c r="G208" s="2" t="str">
        <x:v>ERJ-2RKF22R0X</x:v>
      </x:c>
      <x:c r="H208" s="2" t="str">
        <x:v>0402</x:v>
      </x:c>
      <x:c r="I208" s="16" t="n">
        <x:v>1</x:v>
      </x:c>
      <x:c r="J208" s="16" t="n">
        <x:v>4</x:v>
      </x:c>
      <x:c r="K208" s="16" t="n">
        <x:v>0</x:v>
      </x:c>
      <x:c r="L208" s="16" t="n">
        <x:v>4</x:v>
      </x:c>
      <x:c r="M208" s="16" t="n">
        <x:v>10</x:v>
      </x:c>
      <x:c r="N208" s="16" t="n">
        <x:v>0</x:v>
      </x:c>
      <x:c r="O208" s="16" t="n">
        <x:v>10</x:v>
      </x:c>
      <x:c r="P208" s="16" t="n">
        <x:v>20</x:v>
      </x:c>
      <x:c r="Q208" s="16" t="n">
        <x:v>0</x:v>
      </x:c>
      <x:c r="R208" s="16" t="n">
        <x:v>20</x:v>
      </x:c>
      <x:c r="S208" s="14" t="str">
        <x:v>NONE</x:v>
      </x:c>
      <x:c r="T208" s="2" t="str">
        <x:v>COMMON</x:v>
      </x:c>
      <x:c r="U208" s="14" t="str">
        <x:v>SELECTED_PENDING_REVIEW_A</x:v>
      </x:c>
      <x:c r="V208" s="17" t="str">
        <x:v>Authorized or traceable tier-1 channel</x:v>
      </x:c>
      <x:c r="W208" s="17" t="str">
        <x:v>Marking MPN package orientation electrical functional sample</x:v>
      </x:c>
      <x:c r="X208" s="17" t="str">
        <x:v>MAIN-AUTH-010 exact capture authority; physical pins: 1=LORA_NSS_U1;2=LORA_NSS_U10; Place adjacent to U1</x:v>
      </x:c>
      <x:c r="Y208" s="2" t="str">
        <x:v>22 Ohm 1%</x:v>
      </x:c>
      <x:c r="Z208" s="2" t="str">
        <x:v>ELECTRICAL_COMPONENT</x:v>
      </x:c>
      <x:c r="AA208" s="2" t="str">
        <x:v>FITTED</x:v>
      </x:c>
      <x:c r="AB208" s="2" t="str">
        <x:v>-55..155</x:v>
      </x:c>
      <x:c r="AC208" s="14" t="str">
        <x:v>CONTROLLED_PENDING_VERIFICATION</x:v>
      </x:c>
    </x:row>
    <x:row r="209">
      <x:c r="A209" s="2" t="str">
        <x:v>MAIN-010-R70</x:v>
      </x:c>
      <x:c r="B209" s="2" t="str">
        <x:v>PCB-MAIN</x:v>
      </x:c>
      <x:c r="C209" s="14" t="str">
        <x:v>R70</x:v>
      </x:c>
      <x:c r="D209" s="2" t="str">
        <x:v>Resistor</x:v>
      </x:c>
      <x:c r="E209" s="17" t="str">
        <x:v>U1 SCK source-series damping</x:v>
      </x:c>
      <x:c r="F209" s="2" t="str">
        <x:v>Panasonic</x:v>
      </x:c>
      <x:c r="G209" s="2" t="str">
        <x:v>ERJ-2RKF22R0X</x:v>
      </x:c>
      <x:c r="H209" s="2" t="str">
        <x:v>0402</x:v>
      </x:c>
      <x:c r="I209" s="16" t="n">
        <x:v>1</x:v>
      </x:c>
      <x:c r="J209" s="16" t="n">
        <x:v>4</x:v>
      </x:c>
      <x:c r="K209" s="16" t="n">
        <x:v>0</x:v>
      </x:c>
      <x:c r="L209" s="16" t="n">
        <x:v>4</x:v>
      </x:c>
      <x:c r="M209" s="16" t="n">
        <x:v>10</x:v>
      </x:c>
      <x:c r="N209" s="16" t="n">
        <x:v>0</x:v>
      </x:c>
      <x:c r="O209" s="16" t="n">
        <x:v>10</x:v>
      </x:c>
      <x:c r="P209" s="16" t="n">
        <x:v>20</x:v>
      </x:c>
      <x:c r="Q209" s="16" t="n">
        <x:v>0</x:v>
      </x:c>
      <x:c r="R209" s="16" t="n">
        <x:v>20</x:v>
      </x:c>
      <x:c r="S209" s="14" t="str">
        <x:v>NONE</x:v>
      </x:c>
      <x:c r="T209" s="2" t="str">
        <x:v>COMMON</x:v>
      </x:c>
      <x:c r="U209" s="14" t="str">
        <x:v>SELECTED_PENDING_REVIEW_A</x:v>
      </x:c>
      <x:c r="V209" s="17" t="str">
        <x:v>Authorized or traceable tier-1 channel</x:v>
      </x:c>
      <x:c r="W209" s="17" t="str">
        <x:v>Marking MPN package orientation electrical functional sample</x:v>
      </x:c>
      <x:c r="X209" s="17" t="str">
        <x:v>MAIN-AUTH-010 exact capture authority; physical pins: 1=LORA_SCK_U1;2=LORA_SCK_U10; Place adjacent to U1</x:v>
      </x:c>
      <x:c r="Y209" s="2" t="str">
        <x:v>22 Ohm 1%</x:v>
      </x:c>
      <x:c r="Z209" s="2" t="str">
        <x:v>ELECTRICAL_COMPONENT</x:v>
      </x:c>
      <x:c r="AA209" s="2" t="str">
        <x:v>FITTED</x:v>
      </x:c>
      <x:c r="AB209" s="2" t="str">
        <x:v>-55..155</x:v>
      </x:c>
      <x:c r="AC209" s="14" t="str">
        <x:v>CONTROLLED_PENDING_VERIFICATION</x:v>
      </x:c>
    </x:row>
    <x:row r="210">
      <x:c r="A210" s="2" t="str">
        <x:v>MAIN-010-R71</x:v>
      </x:c>
      <x:c r="B210" s="2" t="str">
        <x:v>PCB-MAIN</x:v>
      </x:c>
      <x:c r="C210" s="14" t="str">
        <x:v>R71</x:v>
      </x:c>
      <x:c r="D210" s="2" t="str">
        <x:v>Resistor</x:v>
      </x:c>
      <x:c r="E210" s="17" t="str">
        <x:v>U1 MOSI source-series damping</x:v>
      </x:c>
      <x:c r="F210" s="2" t="str">
        <x:v>Panasonic</x:v>
      </x:c>
      <x:c r="G210" s="2" t="str">
        <x:v>ERJ-2RKF22R0X</x:v>
      </x:c>
      <x:c r="H210" s="2" t="str">
        <x:v>0402</x:v>
      </x:c>
      <x:c r="I210" s="16" t="n">
        <x:v>1</x:v>
      </x:c>
      <x:c r="J210" s="16" t="n">
        <x:v>4</x:v>
      </x:c>
      <x:c r="K210" s="16" t="n">
        <x:v>0</x:v>
      </x:c>
      <x:c r="L210" s="16" t="n">
        <x:v>4</x:v>
      </x:c>
      <x:c r="M210" s="16" t="n">
        <x:v>10</x:v>
      </x:c>
      <x:c r="N210" s="16" t="n">
        <x:v>0</x:v>
      </x:c>
      <x:c r="O210" s="16" t="n">
        <x:v>10</x:v>
      </x:c>
      <x:c r="P210" s="16" t="n">
        <x:v>20</x:v>
      </x:c>
      <x:c r="Q210" s="16" t="n">
        <x:v>0</x:v>
      </x:c>
      <x:c r="R210" s="16" t="n">
        <x:v>20</x:v>
      </x:c>
      <x:c r="S210" s="14" t="str">
        <x:v>NONE</x:v>
      </x:c>
      <x:c r="T210" s="2" t="str">
        <x:v>COMMON</x:v>
      </x:c>
      <x:c r="U210" s="14" t="str">
        <x:v>SELECTED_PENDING_REVIEW_A</x:v>
      </x:c>
      <x:c r="V210" s="17" t="str">
        <x:v>Authorized or traceable tier-1 channel</x:v>
      </x:c>
      <x:c r="W210" s="17" t="str">
        <x:v>Marking MPN package orientation electrical functional sample</x:v>
      </x:c>
      <x:c r="X210" s="17" t="str">
        <x:v>MAIN-AUTH-010 exact capture authority; physical pins: 1=LORA_MOSI_U1;2=LORA_MOSI_U10; Place adjacent to U1</x:v>
      </x:c>
      <x:c r="Y210" s="2" t="str">
        <x:v>22 Ohm 1%</x:v>
      </x:c>
      <x:c r="Z210" s="2" t="str">
        <x:v>ELECTRICAL_COMPONENT</x:v>
      </x:c>
      <x:c r="AA210" s="2" t="str">
        <x:v>FITTED</x:v>
      </x:c>
      <x:c r="AB210" s="2" t="str">
        <x:v>-55..155</x:v>
      </x:c>
      <x:c r="AC210" s="14" t="str">
        <x:v>CONTROLLED_PENDING_VERIFICATION</x:v>
      </x:c>
    </x:row>
    <x:row r="211">
      <x:c r="A211" s="2" t="str">
        <x:v>MAIN-010-R72</x:v>
      </x:c>
      <x:c r="B211" s="2" t="str">
        <x:v>PCB-MAIN</x:v>
      </x:c>
      <x:c r="C211" s="14" t="str">
        <x:v>R72</x:v>
      </x:c>
      <x:c r="D211" s="2" t="str">
        <x:v>Resistor</x:v>
      </x:c>
      <x:c r="E211" s="17" t="str">
        <x:v>U10 MISO source-series damping</x:v>
      </x:c>
      <x:c r="F211" s="2" t="str">
        <x:v>Panasonic</x:v>
      </x:c>
      <x:c r="G211" s="2" t="str">
        <x:v>ERJ-2RKF22R0X</x:v>
      </x:c>
      <x:c r="H211" s="2" t="str">
        <x:v>0402</x:v>
      </x:c>
      <x:c r="I211" s="16" t="n">
        <x:v>1</x:v>
      </x:c>
      <x:c r="J211" s="16" t="n">
        <x:v>4</x:v>
      </x:c>
      <x:c r="K211" s="16" t="n">
        <x:v>0</x:v>
      </x:c>
      <x:c r="L211" s="16" t="n">
        <x:v>4</x:v>
      </x:c>
      <x:c r="M211" s="16" t="n">
        <x:v>10</x:v>
      </x:c>
      <x:c r="N211" s="16" t="n">
        <x:v>0</x:v>
      </x:c>
      <x:c r="O211" s="16" t="n">
        <x:v>10</x:v>
      </x:c>
      <x:c r="P211" s="16" t="n">
        <x:v>20</x:v>
      </x:c>
      <x:c r="Q211" s="16" t="n">
        <x:v>0</x:v>
      </x:c>
      <x:c r="R211" s="16" t="n">
        <x:v>20</x:v>
      </x:c>
      <x:c r="S211" s="14" t="str">
        <x:v>NONE</x:v>
      </x:c>
      <x:c r="T211" s="2" t="str">
        <x:v>COMMON</x:v>
      </x:c>
      <x:c r="U211" s="14" t="str">
        <x:v>SELECTED_PENDING_REVIEW_A</x:v>
      </x:c>
      <x:c r="V211" s="17" t="str">
        <x:v>Authorized or traceable tier-1 channel</x:v>
      </x:c>
      <x:c r="W211" s="17" t="str">
        <x:v>Marking MPN package orientation electrical functional sample</x:v>
      </x:c>
      <x:c r="X211" s="17" t="str">
        <x:v>MAIN-AUTH-010 exact capture authority; physical pins: 1=LORA_MISO_U10;2=LORA_MISO_U1; Place adjacent to U10</x:v>
      </x:c>
      <x:c r="Y211" s="2" t="str">
        <x:v>22 Ohm 1%</x:v>
      </x:c>
      <x:c r="Z211" s="2" t="str">
        <x:v>ELECTRICAL_COMPONENT</x:v>
      </x:c>
      <x:c r="AA211" s="2" t="str">
        <x:v>FITTED</x:v>
      </x:c>
      <x:c r="AB211" s="2" t="str">
        <x:v>-55..155</x:v>
      </x:c>
      <x:c r="AC211" s="14" t="str">
        <x:v>CONTROLLED_PENDING_VERIFICATION</x:v>
      </x:c>
    </x:row>
    <x:row r="212">
      <x:c r="A212" s="2" t="str">
        <x:v>MAIN-010-R73</x:v>
      </x:c>
      <x:c r="B212" s="2" t="str">
        <x:v>PCB-MAIN</x:v>
      </x:c>
      <x:c r="C212" s="14" t="str">
        <x:v>R73</x:v>
      </x:c>
      <x:c r="D212" s="2" t="str">
        <x:v>Resistor</x:v>
      </x:c>
      <x:c r="E212" s="17" t="str">
        <x:v>LoRa RF pi network series baseline</x:v>
      </x:c>
      <x:c r="F212" s="2" t="str">
        <x:v>Panasonic</x:v>
      </x:c>
      <x:c r="G212" s="2" t="str">
        <x:v>ERJ-2GE0R00X</x:v>
      </x:c>
      <x:c r="H212" s="2" t="str">
        <x:v>0402</x:v>
      </x:c>
      <x:c r="I212" s="16" t="n">
        <x:v>1</x:v>
      </x:c>
      <x:c r="J212" s="16" t="n">
        <x:v>4</x:v>
      </x:c>
      <x:c r="K212" s="16" t="n">
        <x:v>0</x:v>
      </x:c>
      <x:c r="L212" s="16" t="n">
        <x:v>4</x:v>
      </x:c>
      <x:c r="M212" s="16" t="n">
        <x:v>10</x:v>
      </x:c>
      <x:c r="N212" s="16" t="n">
        <x:v>0</x:v>
      </x:c>
      <x:c r="O212" s="16" t="n">
        <x:v>10</x:v>
      </x:c>
      <x:c r="P212" s="16" t="n">
        <x:v>20</x:v>
      </x:c>
      <x:c r="Q212" s="16" t="n">
        <x:v>0</x:v>
      </x:c>
      <x:c r="R212" s="16" t="n">
        <x:v>20</x:v>
      </x:c>
      <x:c r="S212" s="14" t="str">
        <x:v>NONE</x:v>
      </x:c>
      <x:c r="T212" s="2" t="str">
        <x:v>COMMON</x:v>
      </x:c>
      <x:c r="U212" s="14" t="str">
        <x:v>SELECTED_PENDING_REVIEW_A</x:v>
      </x:c>
      <x:c r="V212" s="17" t="str">
        <x:v>Authorized or traceable tier-1 channel</x:v>
      </x:c>
      <x:c r="W212" s="17" t="str">
        <x:v>Marking MPN package orientation electrical functional sample</x:v>
      </x:c>
      <x:c r="X212" s="17" t="str">
        <x:v>MAIN-AUTH-010 exact capture authority; physical pins: 1=LORA_RF_MODULE;2=LORA_RF_ANT; Change only from signed VNA evidence</x:v>
      </x:c>
      <x:c r="Y212" s="2" t="str">
        <x:v>0 Ohm</x:v>
      </x:c>
      <x:c r="Z212" s="2" t="str">
        <x:v>ELECTRICAL_COMPONENT</x:v>
      </x:c>
      <x:c r="AA212" s="2" t="str">
        <x:v>FITTED</x:v>
      </x:c>
      <x:c r="AB212" s="2" t="str">
        <x:v>-55..155</x:v>
      </x:c>
      <x:c r="AC212" s="14" t="str">
        <x:v>CONTROLLED_PENDING_VERIFICATION</x:v>
      </x:c>
    </x:row>
    <x:row r="213">
      <x:c r="A213" s="2" t="str">
        <x:v>MAIN-010-R74</x:v>
      </x:c>
      <x:c r="B213" s="2" t="str">
        <x:v>PCB-MAIN</x:v>
      </x:c>
      <x:c r="C213" s="14" t="str">
        <x:v>R74</x:v>
      </x:c>
      <x:c r="D213" s="2" t="str">
        <x:v>Resistor</x:v>
      </x:c>
      <x:c r="E213" s="17" t="str">
        <x:v>U11 UART TX source-series damping</x:v>
      </x:c>
      <x:c r="F213" s="2" t="str">
        <x:v>Panasonic</x:v>
      </x:c>
      <x:c r="G213" s="2" t="str">
        <x:v>ERJ-2RKF22R0X</x:v>
      </x:c>
      <x:c r="H213" s="2" t="str">
        <x:v>0402</x:v>
      </x:c>
      <x:c r="I213" s="16" t="n">
        <x:v>1</x:v>
      </x:c>
      <x:c r="J213" s="16" t="n">
        <x:v>4</x:v>
      </x:c>
      <x:c r="K213" s="16" t="n">
        <x:v>0</x:v>
      </x:c>
      <x:c r="L213" s="16" t="n">
        <x:v>4</x:v>
      </x:c>
      <x:c r="M213" s="16" t="n">
        <x:v>10</x:v>
      </x:c>
      <x:c r="N213" s="16" t="n">
        <x:v>0</x:v>
      </x:c>
      <x:c r="O213" s="16" t="n">
        <x:v>10</x:v>
      </x:c>
      <x:c r="P213" s="16" t="n">
        <x:v>20</x:v>
      </x:c>
      <x:c r="Q213" s="16" t="n">
        <x:v>0</x:v>
      </x:c>
      <x:c r="R213" s="16" t="n">
        <x:v>20</x:v>
      </x:c>
      <x:c r="S213" s="14" t="str">
        <x:v>NONE</x:v>
      </x:c>
      <x:c r="T213" s="2" t="str">
        <x:v>COMMON</x:v>
      </x:c>
      <x:c r="U213" s="14" t="str">
        <x:v>SELECTED_PENDING_REVIEW_A</x:v>
      </x:c>
      <x:c r="V213" s="17" t="str">
        <x:v>Authorized or traceable tier-1 channel</x:v>
      </x:c>
      <x:c r="W213" s="17" t="str">
        <x:v>Marking MPN package orientation electrical functional sample</x:v>
      </x:c>
      <x:c r="X213" s="17" t="str">
        <x:v>MAIN-AUTH-010 exact capture authority; physical pins: 1=BLE_RX_U11;2=BLE_RX_U1; Place adjacent to U11</x:v>
      </x:c>
      <x:c r="Y213" s="2" t="str">
        <x:v>22 Ohm 1%</x:v>
      </x:c>
      <x:c r="Z213" s="2" t="str">
        <x:v>ELECTRICAL_COMPONENT</x:v>
      </x:c>
      <x:c r="AA213" s="2" t="str">
        <x:v>FITTED</x:v>
      </x:c>
      <x:c r="AB213" s="2" t="str">
        <x:v>-55..155</x:v>
      </x:c>
      <x:c r="AC213" s="14" t="str">
        <x:v>CONTROLLED_PENDING_VERIFICATION</x:v>
      </x:c>
    </x:row>
    <x:row r="214">
      <x:c r="A214" s="2" t="str">
        <x:v>MAIN-010-R75</x:v>
      </x:c>
      <x:c r="B214" s="2" t="str">
        <x:v>PCB-MAIN</x:v>
      </x:c>
      <x:c r="C214" s="14" t="str">
        <x:v>R75</x:v>
      </x:c>
      <x:c r="D214" s="2" t="str">
        <x:v>Resistor</x:v>
      </x:c>
      <x:c r="E214" s="17" t="str">
        <x:v>U1 UART TX source-series damping</x:v>
      </x:c>
      <x:c r="F214" s="2" t="str">
        <x:v>Panasonic</x:v>
      </x:c>
      <x:c r="G214" s="2" t="str">
        <x:v>ERJ-2RKF22R0X</x:v>
      </x:c>
      <x:c r="H214" s="2" t="str">
        <x:v>0402</x:v>
      </x:c>
      <x:c r="I214" s="16" t="n">
        <x:v>1</x:v>
      </x:c>
      <x:c r="J214" s="16" t="n">
        <x:v>4</x:v>
      </x:c>
      <x:c r="K214" s="16" t="n">
        <x:v>0</x:v>
      </x:c>
      <x:c r="L214" s="16" t="n">
        <x:v>4</x:v>
      </x:c>
      <x:c r="M214" s="16" t="n">
        <x:v>10</x:v>
      </x:c>
      <x:c r="N214" s="16" t="n">
        <x:v>0</x:v>
      </x:c>
      <x:c r="O214" s="16" t="n">
        <x:v>10</x:v>
      </x:c>
      <x:c r="P214" s="16" t="n">
        <x:v>20</x:v>
      </x:c>
      <x:c r="Q214" s="16" t="n">
        <x:v>0</x:v>
      </x:c>
      <x:c r="R214" s="16" t="n">
        <x:v>20</x:v>
      </x:c>
      <x:c r="S214" s="14" t="str">
        <x:v>NONE</x:v>
      </x:c>
      <x:c r="T214" s="2" t="str">
        <x:v>COMMON</x:v>
      </x:c>
      <x:c r="U214" s="14" t="str">
        <x:v>SELECTED_PENDING_REVIEW_A</x:v>
      </x:c>
      <x:c r="V214" s="17" t="str">
        <x:v>Authorized or traceable tier-1 channel</x:v>
      </x:c>
      <x:c r="W214" s="17" t="str">
        <x:v>Marking MPN package orientation electrical functional sample</x:v>
      </x:c>
      <x:c r="X214" s="17" t="str">
        <x:v>MAIN-AUTH-010 exact capture authority; physical pins: 1=BLE_TX_U1;2=BLE_TX_U11; Place adjacent to U1</x:v>
      </x:c>
      <x:c r="Y214" s="2" t="str">
        <x:v>22 Ohm 1%</x:v>
      </x:c>
      <x:c r="Z214" s="2" t="str">
        <x:v>ELECTRICAL_COMPONENT</x:v>
      </x:c>
      <x:c r="AA214" s="2" t="str">
        <x:v>FITTED</x:v>
      </x:c>
      <x:c r="AB214" s="2" t="str">
        <x:v>-55..155</x:v>
      </x:c>
      <x:c r="AC214" s="14" t="str">
        <x:v>CONTROLLED_PENDING_VERIFICATION</x:v>
      </x:c>
    </x:row>
    <x:row r="215">
      <x:c r="A215" s="2" t="str">
        <x:v>MAIN-010-R76</x:v>
      </x:c>
      <x:c r="B215" s="2" t="str">
        <x:v>PCB-MAIN</x:v>
      </x:c>
      <x:c r="C215" s="14" t="str">
        <x:v>R76</x:v>
      </x:c>
      <x:c r="D215" s="2" t="str">
        <x:v>Resistor</x:v>
      </x:c>
      <x:c r="E215" s="17" t="str">
        <x:v>U11 application DFU request pull-up</x:v>
      </x:c>
      <x:c r="F215" s="2" t="str">
        <x:v>Panasonic</x:v>
      </x:c>
      <x:c r="G215" s="2" t="str">
        <x:v>ERJ-2RKF1002X</x:v>
      </x:c>
      <x:c r="H215" s="2" t="str">
        <x:v>0402</x:v>
      </x:c>
      <x:c r="I215" s="16" t="n">
        <x:v>1</x:v>
      </x:c>
      <x:c r="J215" s="16" t="n">
        <x:v>4</x:v>
      </x:c>
      <x:c r="K215" s="16" t="n">
        <x:v>0</x:v>
      </x:c>
      <x:c r="L215" s="16" t="n">
        <x:v>4</x:v>
      </x:c>
      <x:c r="M215" s="16" t="n">
        <x:v>10</x:v>
      </x:c>
      <x:c r="N215" s="16" t="n">
        <x:v>0</x:v>
      </x:c>
      <x:c r="O215" s="16" t="n">
        <x:v>10</x:v>
      </x:c>
      <x:c r="P215" s="16" t="n">
        <x:v>20</x:v>
      </x:c>
      <x:c r="Q215" s="16" t="n">
        <x:v>0</x:v>
      </x:c>
      <x:c r="R215" s="16" t="n">
        <x:v>20</x:v>
      </x:c>
      <x:c r="S215" s="14" t="str">
        <x:v>NONE</x:v>
      </x:c>
      <x:c r="T215" s="2" t="str">
        <x:v>COMMON</x:v>
      </x:c>
      <x:c r="U215" s="14" t="str">
        <x:v>SELECTED_PENDING_REVIEW_A</x:v>
      </x:c>
      <x:c r="V215" s="17" t="str">
        <x:v>Authorized or traceable tier-1 channel</x:v>
      </x:c>
      <x:c r="W215" s="17" t="str">
        <x:v>Marking MPN package orientation electrical functional sample</x:v>
      </x:c>
      <x:c r="X215" s="17" t="str">
        <x:v>MAIN-AUTH-010 exact capture authority; physical pins: 1=3V3_DIGITAL;2=BLE_DFU_REQ; U1 drives LOW only through open drain</x:v>
      </x:c>
      <x:c r="Y215" s="2" t="str">
        <x:v>10 kOhm 1%</x:v>
      </x:c>
      <x:c r="Z215" s="2" t="str">
        <x:v>ELECTRICAL_COMPONENT</x:v>
      </x:c>
      <x:c r="AA215" s="2" t="str">
        <x:v>FITTED</x:v>
      </x:c>
      <x:c r="AB215" s="2" t="str">
        <x:v>-55..155</x:v>
      </x:c>
      <x:c r="AC215" s="14" t="str">
        <x:v>CONTROLLED_PENDING_VERIFICATION</x:v>
      </x:c>
    </x:row>
    <x:row r="216">
      <x:c r="A216" s="2" t="str">
        <x:v>MAIN-010-R77</x:v>
      </x:c>
      <x:c r="B216" s="2" t="str">
        <x:v>PCB-MAIN</x:v>
      </x:c>
      <x:c r="C216" s="14" t="str">
        <x:v>R77</x:v>
      </x:c>
      <x:c r="D216" s="2" t="str">
        <x:v>Resistor</x:v>
      </x:c>
      <x:c r="E216" s="17" t="str">
        <x:v>U6 input fail-closed pull-down</x:v>
      </x:c>
      <x:c r="F216" s="2" t="str">
        <x:v>Panasonic</x:v>
      </x:c>
      <x:c r="G216" s="2" t="str">
        <x:v>ERJ-2RKF1003X</x:v>
      </x:c>
      <x:c r="H216" s="2" t="str">
        <x:v>0402</x:v>
      </x:c>
      <x:c r="I216" s="16" t="n">
        <x:v>1</x:v>
      </x:c>
      <x:c r="J216" s="16" t="n">
        <x:v>4</x:v>
      </x:c>
      <x:c r="K216" s="16" t="n">
        <x:v>0</x:v>
      </x:c>
      <x:c r="L216" s="16" t="n">
        <x:v>4</x:v>
      </x:c>
      <x:c r="M216" s="16" t="n">
        <x:v>10</x:v>
      </x:c>
      <x:c r="N216" s="16" t="n">
        <x:v>0</x:v>
      </x:c>
      <x:c r="O216" s="16" t="n">
        <x:v>10</x:v>
      </x:c>
      <x:c r="P216" s="16" t="n">
        <x:v>20</x:v>
      </x:c>
      <x:c r="Q216" s="16" t="n">
        <x:v>0</x:v>
      </x:c>
      <x:c r="R216" s="16" t="n">
        <x:v>20</x:v>
      </x:c>
      <x:c r="S216" s="14" t="str">
        <x:v>NONE</x:v>
      </x:c>
      <x:c r="T216" s="2" t="str">
        <x:v>COMMON</x:v>
      </x:c>
      <x:c r="U216" s="14" t="str">
        <x:v>SELECTED_PENDING_REVIEW_A</x:v>
      </x:c>
      <x:c r="V216" s="17" t="str">
        <x:v>Authorized or traceable tier-1 channel</x:v>
      </x:c>
      <x:c r="W216" s="17" t="str">
        <x:v>Marking MPN package orientation electrical functional sample</x:v>
      </x:c>
      <x:c r="X216" s="17" t="str">
        <x:v>MAIN-AUTH-010 exact capture authority; physical pins: 1=BLE_EN;2=GND; Holds nRF reset asserted during U1 reset</x:v>
      </x:c>
      <x:c r="Y216" s="2" t="str">
        <x:v>100 kOhm 1%</x:v>
      </x:c>
      <x:c r="Z216" s="2" t="str">
        <x:v>ELECTRICAL_COMPONENT</x:v>
      </x:c>
      <x:c r="AA216" s="2" t="str">
        <x:v>FITTED</x:v>
      </x:c>
      <x:c r="AB216" s="2" t="str">
        <x:v>-55..155</x:v>
      </x:c>
      <x:c r="AC216" s="14" t="str">
        <x:v>CONTROLLED_PENDING_VERIFICATION</x:v>
      </x:c>
    </x:row>
    <x:row r="217">
      <x:c r="A217" s="2" t="str">
        <x:v>MAIN-010-R78</x:v>
      </x:c>
      <x:c r="B217" s="2" t="str">
        <x:v>PCB-MAIN</x:v>
      </x:c>
      <x:c r="C217" s="14" t="str">
        <x:v>R78</x:v>
      </x:c>
      <x:c r="D217" s="2" t="str">
        <x:v>Resistor</x:v>
      </x:c>
      <x:c r="E217" s="17" t="str">
        <x:v>U6 open-drain output pull-up</x:v>
      </x:c>
      <x:c r="F217" s="2" t="str">
        <x:v>Panasonic</x:v>
      </x:c>
      <x:c r="G217" s="2" t="str">
        <x:v>ERJ-2RKF1002X</x:v>
      </x:c>
      <x:c r="H217" s="2" t="str">
        <x:v>0402</x:v>
      </x:c>
      <x:c r="I217" s="16" t="n">
        <x:v>1</x:v>
      </x:c>
      <x:c r="J217" s="16" t="n">
        <x:v>4</x:v>
      </x:c>
      <x:c r="K217" s="16" t="n">
        <x:v>0</x:v>
      </x:c>
      <x:c r="L217" s="16" t="n">
        <x:v>4</x:v>
      </x:c>
      <x:c r="M217" s="16" t="n">
        <x:v>10</x:v>
      </x:c>
      <x:c r="N217" s="16" t="n">
        <x:v>0</x:v>
      </x:c>
      <x:c r="O217" s="16" t="n">
        <x:v>10</x:v>
      </x:c>
      <x:c r="P217" s="16" t="n">
        <x:v>20</x:v>
      </x:c>
      <x:c r="Q217" s="16" t="n">
        <x:v>0</x:v>
      </x:c>
      <x:c r="R217" s="16" t="n">
        <x:v>20</x:v>
      </x:c>
      <x:c r="S217" s="14" t="str">
        <x:v>NONE</x:v>
      </x:c>
      <x:c r="T217" s="2" t="str">
        <x:v>COMMON</x:v>
      </x:c>
      <x:c r="U217" s="14" t="str">
        <x:v>SELECTED_PENDING_REVIEW_A</x:v>
      </x:c>
      <x:c r="V217" s="17" t="str">
        <x:v>Authorized or traceable tier-1 channel</x:v>
      </x:c>
      <x:c r="W217" s="17" t="str">
        <x:v>Marking MPN package orientation electrical functional sample</x:v>
      </x:c>
      <x:c r="X217" s="17" t="str">
        <x:v>MAIN-AUTH-010 exact capture authority; physical pins: 1=3V3_DIGITAL;2=NRF_RESET_N; U11 runs only when U6 releases output</x:v>
      </x:c>
      <x:c r="Y217" s="2" t="str">
        <x:v>10 kOhm 1%</x:v>
      </x:c>
      <x:c r="Z217" s="2" t="str">
        <x:v>ELECTRICAL_COMPONENT</x:v>
      </x:c>
      <x:c r="AA217" s="2" t="str">
        <x:v>FITTED</x:v>
      </x:c>
      <x:c r="AB217" s="2" t="str">
        <x:v>-55..155</x:v>
      </x:c>
      <x:c r="AC217" s="14" t="str">
        <x:v>CONTROLLED_PENDING_VERIFICATION</x:v>
      </x:c>
    </x:row>
    <x:row r="218">
      <x:c r="A218" s="2" t="str">
        <x:v>MAIN-010-R79</x:v>
      </x:c>
      <x:c r="B218" s="2" t="str">
        <x:v>PCB-MAIN</x:v>
      </x:c>
      <x:c r="C218" s="14" t="str">
        <x:v>R79</x:v>
      </x:c>
      <x:c r="D218" s="2" t="str">
        <x:v>Resistor</x:v>
      </x:c>
      <x:c r="E218" s="17" t="str">
        <x:v>U1 SDMMC clock source damping</x:v>
      </x:c>
      <x:c r="F218" s="2" t="str">
        <x:v>Panasonic</x:v>
      </x:c>
      <x:c r="G218" s="2" t="str">
        <x:v>ERJ-2RKF22R0X</x:v>
      </x:c>
      <x:c r="H218" s="2" t="str">
        <x:v>0402</x:v>
      </x:c>
      <x:c r="I218" s="16" t="n">
        <x:v>1</x:v>
      </x:c>
      <x:c r="J218" s="16" t="n">
        <x:v>4</x:v>
      </x:c>
      <x:c r="K218" s="16" t="n">
        <x:v>0</x:v>
      </x:c>
      <x:c r="L218" s="16" t="n">
        <x:v>4</x:v>
      </x:c>
      <x:c r="M218" s="16" t="n">
        <x:v>10</x:v>
      </x:c>
      <x:c r="N218" s="16" t="n">
        <x:v>0</x:v>
      </x:c>
      <x:c r="O218" s="16" t="n">
        <x:v>10</x:v>
      </x:c>
      <x:c r="P218" s="16" t="n">
        <x:v>20</x:v>
      </x:c>
      <x:c r="Q218" s="16" t="n">
        <x:v>0</x:v>
      </x:c>
      <x:c r="R218" s="16" t="n">
        <x:v>20</x:v>
      </x:c>
      <x:c r="S218" s="14" t="str">
        <x:v>NONE</x:v>
      </x:c>
      <x:c r="T218" s="2" t="str">
        <x:v>COMMON</x:v>
      </x:c>
      <x:c r="U218" s="14" t="str">
        <x:v>SELECTED_PENDING_REVIEW_A</x:v>
      </x:c>
      <x:c r="V218" s="17" t="str">
        <x:v>Authorized or traceable tier-1 channel</x:v>
      </x:c>
      <x:c r="W218" s="17" t="str">
        <x:v>Marking MPN package orientation electrical functional sample</x:v>
      </x:c>
      <x:c r="X218" s="17" t="str">
        <x:v>MAIN-AUTH-010 exact capture authority; physical pins: 1=SD_CK_U1;2=SD_CK_CARD; Place adjacent to U1</x:v>
      </x:c>
      <x:c r="Y218" s="2" t="str">
        <x:v>22 Ohm 1%</x:v>
      </x:c>
      <x:c r="Z218" s="2" t="str">
        <x:v>ELECTRICAL_COMPONENT</x:v>
      </x:c>
      <x:c r="AA218" s="2" t="str">
        <x:v>FITTED</x:v>
      </x:c>
      <x:c r="AB218" s="2" t="str">
        <x:v>-55..155</x:v>
      </x:c>
      <x:c r="AC218" s="14" t="str">
        <x:v>CONTROLLED_PENDING_VERIFICATION</x:v>
      </x:c>
    </x:row>
    <x:row r="219">
      <x:c r="A219" s="2" t="str">
        <x:v>MAIN-010-R80</x:v>
      </x:c>
      <x:c r="B219" s="2" t="str">
        <x:v>PCB-MAIN</x:v>
      </x:c>
      <x:c r="C219" s="14" t="str">
        <x:v>R80</x:v>
      </x:c>
      <x:c r="D219" s="2" t="str">
        <x:v>Resistor</x:v>
      </x:c>
      <x:c r="E219" s="17" t="str">
        <x:v>SDMMC command series damping</x:v>
      </x:c>
      <x:c r="F219" s="2" t="str">
        <x:v>Panasonic</x:v>
      </x:c>
      <x:c r="G219" s="2" t="str">
        <x:v>ERJ-2RKF22R0X</x:v>
      </x:c>
      <x:c r="H219" s="2" t="str">
        <x:v>0402</x:v>
      </x:c>
      <x:c r="I219" s="16" t="n">
        <x:v>1</x:v>
      </x:c>
      <x:c r="J219" s="16" t="n">
        <x:v>4</x:v>
      </x:c>
      <x:c r="K219" s="16" t="n">
        <x:v>0</x:v>
      </x:c>
      <x:c r="L219" s="16" t="n">
        <x:v>4</x:v>
      </x:c>
      <x:c r="M219" s="16" t="n">
        <x:v>10</x:v>
      </x:c>
      <x:c r="N219" s="16" t="n">
        <x:v>0</x:v>
      </x:c>
      <x:c r="O219" s="16" t="n">
        <x:v>10</x:v>
      </x:c>
      <x:c r="P219" s="16" t="n">
        <x:v>20</x:v>
      </x:c>
      <x:c r="Q219" s="16" t="n">
        <x:v>0</x:v>
      </x:c>
      <x:c r="R219" s="16" t="n">
        <x:v>20</x:v>
      </x:c>
      <x:c r="S219" s="14" t="str">
        <x:v>NONE</x:v>
      </x:c>
      <x:c r="T219" s="2" t="str">
        <x:v>COMMON</x:v>
      </x:c>
      <x:c r="U219" s="14" t="str">
        <x:v>SELECTED_PENDING_REVIEW_A</x:v>
      </x:c>
      <x:c r="V219" s="17" t="str">
        <x:v>Authorized or traceable tier-1 channel</x:v>
      </x:c>
      <x:c r="W219" s="17" t="str">
        <x:v>Marking MPN package orientation electrical functional sample</x:v>
      </x:c>
      <x:c r="X219" s="17" t="str">
        <x:v>MAIN-AUTH-010 exact capture authority; physical pins: 1=SD_CMD_U1;2=SD_CMD_CARD; Review A validates timing margin</x:v>
      </x:c>
      <x:c r="Y219" s="2" t="str">
        <x:v>22 Ohm 1%</x:v>
      </x:c>
      <x:c r="Z219" s="2" t="str">
        <x:v>ELECTRICAL_COMPONENT</x:v>
      </x:c>
      <x:c r="AA219" s="2" t="str">
        <x:v>FITTED</x:v>
      </x:c>
      <x:c r="AB219" s="2" t="str">
        <x:v>-55..155</x:v>
      </x:c>
      <x:c r="AC219" s="14" t="str">
        <x:v>CONTROLLED_PENDING_VERIFICATION</x:v>
      </x:c>
    </x:row>
    <x:row r="220">
      <x:c r="A220" s="2" t="str">
        <x:v>MAIN-010-R81</x:v>
      </x:c>
      <x:c r="B220" s="2" t="str">
        <x:v>PCB-MAIN</x:v>
      </x:c>
      <x:c r="C220" s="14" t="str">
        <x:v>R81</x:v>
      </x:c>
      <x:c r="D220" s="2" t="str">
        <x:v>Resistor</x:v>
      </x:c>
      <x:c r="E220" s="17" t="str">
        <x:v>SDMMC data zero series damping</x:v>
      </x:c>
      <x:c r="F220" s="2" t="str">
        <x:v>Panasonic</x:v>
      </x:c>
      <x:c r="G220" s="2" t="str">
        <x:v>ERJ-2RKF22R0X</x:v>
      </x:c>
      <x:c r="H220" s="2" t="str">
        <x:v>0402</x:v>
      </x:c>
      <x:c r="I220" s="16" t="n">
        <x:v>1</x:v>
      </x:c>
      <x:c r="J220" s="16" t="n">
        <x:v>4</x:v>
      </x:c>
      <x:c r="K220" s="16" t="n">
        <x:v>0</x:v>
      </x:c>
      <x:c r="L220" s="16" t="n">
        <x:v>4</x:v>
      </x:c>
      <x:c r="M220" s="16" t="n">
        <x:v>10</x:v>
      </x:c>
      <x:c r="N220" s="16" t="n">
        <x:v>0</x:v>
      </x:c>
      <x:c r="O220" s="16" t="n">
        <x:v>10</x:v>
      </x:c>
      <x:c r="P220" s="16" t="n">
        <x:v>20</x:v>
      </x:c>
      <x:c r="Q220" s="16" t="n">
        <x:v>0</x:v>
      </x:c>
      <x:c r="R220" s="16" t="n">
        <x:v>20</x:v>
      </x:c>
      <x:c r="S220" s="14" t="str">
        <x:v>NONE</x:v>
      </x:c>
      <x:c r="T220" s="2" t="str">
        <x:v>COMMON</x:v>
      </x:c>
      <x:c r="U220" s="14" t="str">
        <x:v>SELECTED_PENDING_REVIEW_A</x:v>
      </x:c>
      <x:c r="V220" s="17" t="str">
        <x:v>Authorized or traceable tier-1 channel</x:v>
      </x:c>
      <x:c r="W220" s="17" t="str">
        <x:v>Marking MPN package orientation electrical functional sample</x:v>
      </x:c>
      <x:c r="X220" s="17" t="str">
        <x:v>MAIN-AUTH-010 exact capture authority; physical pins: 1=SD_D0_U1;2=SD_D0_CARD; Review A validates timing margin</x:v>
      </x:c>
      <x:c r="Y220" s="2" t="str">
        <x:v>22 Ohm 1%</x:v>
      </x:c>
      <x:c r="Z220" s="2" t="str">
        <x:v>ELECTRICAL_COMPONENT</x:v>
      </x:c>
      <x:c r="AA220" s="2" t="str">
        <x:v>FITTED</x:v>
      </x:c>
      <x:c r="AB220" s="2" t="str">
        <x:v>-55..155</x:v>
      </x:c>
      <x:c r="AC220" s="14" t="str">
        <x:v>CONTROLLED_PENDING_VERIFICATION</x:v>
      </x:c>
    </x:row>
    <x:row r="221">
      <x:c r="A221" s="2" t="str">
        <x:v>MAIN-010-R82</x:v>
      </x:c>
      <x:c r="B221" s="2" t="str">
        <x:v>PCB-MAIN</x:v>
      </x:c>
      <x:c r="C221" s="14" t="str">
        <x:v>R82</x:v>
      </x:c>
      <x:c r="D221" s="2" t="str">
        <x:v>Resistor</x:v>
      </x:c>
      <x:c r="E221" s="17" t="str">
        <x:v>SDMMC data one series damping</x:v>
      </x:c>
      <x:c r="F221" s="2" t="str">
        <x:v>Panasonic</x:v>
      </x:c>
      <x:c r="G221" s="2" t="str">
        <x:v>ERJ-2RKF22R0X</x:v>
      </x:c>
      <x:c r="H221" s="2" t="str">
        <x:v>0402</x:v>
      </x:c>
      <x:c r="I221" s="16" t="n">
        <x:v>1</x:v>
      </x:c>
      <x:c r="J221" s="16" t="n">
        <x:v>4</x:v>
      </x:c>
      <x:c r="K221" s="16" t="n">
        <x:v>0</x:v>
      </x:c>
      <x:c r="L221" s="16" t="n">
        <x:v>4</x:v>
      </x:c>
      <x:c r="M221" s="16" t="n">
        <x:v>10</x:v>
      </x:c>
      <x:c r="N221" s="16" t="n">
        <x:v>0</x:v>
      </x:c>
      <x:c r="O221" s="16" t="n">
        <x:v>10</x:v>
      </x:c>
      <x:c r="P221" s="16" t="n">
        <x:v>20</x:v>
      </x:c>
      <x:c r="Q221" s="16" t="n">
        <x:v>0</x:v>
      </x:c>
      <x:c r="R221" s="16" t="n">
        <x:v>20</x:v>
      </x:c>
      <x:c r="S221" s="14" t="str">
        <x:v>NONE</x:v>
      </x:c>
      <x:c r="T221" s="2" t="str">
        <x:v>COMMON</x:v>
      </x:c>
      <x:c r="U221" s="14" t="str">
        <x:v>SELECTED_PENDING_REVIEW_A</x:v>
      </x:c>
      <x:c r="V221" s="17" t="str">
        <x:v>Authorized or traceable tier-1 channel</x:v>
      </x:c>
      <x:c r="W221" s="17" t="str">
        <x:v>Marking MPN package orientation electrical functional sample</x:v>
      </x:c>
      <x:c r="X221" s="17" t="str">
        <x:v>MAIN-AUTH-010 exact capture authority; physical pins: 1=SD_D1_U1;2=SD_D1_CARD; Review A validates timing margin</x:v>
      </x:c>
      <x:c r="Y221" s="2" t="str">
        <x:v>22 Ohm 1%</x:v>
      </x:c>
      <x:c r="Z221" s="2" t="str">
        <x:v>ELECTRICAL_COMPONENT</x:v>
      </x:c>
      <x:c r="AA221" s="2" t="str">
        <x:v>FITTED</x:v>
      </x:c>
      <x:c r="AB221" s="2" t="str">
        <x:v>-55..155</x:v>
      </x:c>
      <x:c r="AC221" s="14" t="str">
        <x:v>CONTROLLED_PENDING_VERIFICATION</x:v>
      </x:c>
    </x:row>
    <x:row r="222">
      <x:c r="A222" s="2" t="str">
        <x:v>MAIN-010-R83</x:v>
      </x:c>
      <x:c r="B222" s="2" t="str">
        <x:v>PCB-MAIN</x:v>
      </x:c>
      <x:c r="C222" s="14" t="str">
        <x:v>R83</x:v>
      </x:c>
      <x:c r="D222" s="2" t="str">
        <x:v>Resistor</x:v>
      </x:c>
      <x:c r="E222" s="17" t="str">
        <x:v>SDMMC data two series damping</x:v>
      </x:c>
      <x:c r="F222" s="2" t="str">
        <x:v>Panasonic</x:v>
      </x:c>
      <x:c r="G222" s="2" t="str">
        <x:v>ERJ-2RKF22R0X</x:v>
      </x:c>
      <x:c r="H222" s="2" t="str">
        <x:v>0402</x:v>
      </x:c>
      <x:c r="I222" s="16" t="n">
        <x:v>1</x:v>
      </x:c>
      <x:c r="J222" s="16" t="n">
        <x:v>4</x:v>
      </x:c>
      <x:c r="K222" s="16" t="n">
        <x:v>0</x:v>
      </x:c>
      <x:c r="L222" s="16" t="n">
        <x:v>4</x:v>
      </x:c>
      <x:c r="M222" s="16" t="n">
        <x:v>10</x:v>
      </x:c>
      <x:c r="N222" s="16" t="n">
        <x:v>0</x:v>
      </x:c>
      <x:c r="O222" s="16" t="n">
        <x:v>10</x:v>
      </x:c>
      <x:c r="P222" s="16" t="n">
        <x:v>20</x:v>
      </x:c>
      <x:c r="Q222" s="16" t="n">
        <x:v>0</x:v>
      </x:c>
      <x:c r="R222" s="16" t="n">
        <x:v>20</x:v>
      </x:c>
      <x:c r="S222" s="14" t="str">
        <x:v>NONE</x:v>
      </x:c>
      <x:c r="T222" s="2" t="str">
        <x:v>COMMON</x:v>
      </x:c>
      <x:c r="U222" s="14" t="str">
        <x:v>SELECTED_PENDING_REVIEW_A</x:v>
      </x:c>
      <x:c r="V222" s="17" t="str">
        <x:v>Authorized or traceable tier-1 channel</x:v>
      </x:c>
      <x:c r="W222" s="17" t="str">
        <x:v>Marking MPN package orientation electrical functional sample</x:v>
      </x:c>
      <x:c r="X222" s="17" t="str">
        <x:v>MAIN-AUTH-010 exact capture authority; physical pins: 1=SD_D2_U1;2=SD_D2_CARD; Review A validates timing margin</x:v>
      </x:c>
      <x:c r="Y222" s="2" t="str">
        <x:v>22 Ohm 1%</x:v>
      </x:c>
      <x:c r="Z222" s="2" t="str">
        <x:v>ELECTRICAL_COMPONENT</x:v>
      </x:c>
      <x:c r="AA222" s="2" t="str">
        <x:v>FITTED</x:v>
      </x:c>
      <x:c r="AB222" s="2" t="str">
        <x:v>-55..155</x:v>
      </x:c>
      <x:c r="AC222" s="14" t="str">
        <x:v>CONTROLLED_PENDING_VERIFICATION</x:v>
      </x:c>
    </x:row>
    <x:row r="223">
      <x:c r="A223" s="2" t="str">
        <x:v>MAIN-010-R84</x:v>
      </x:c>
      <x:c r="B223" s="2" t="str">
        <x:v>PCB-MAIN</x:v>
      </x:c>
      <x:c r="C223" s="14" t="str">
        <x:v>R84</x:v>
      </x:c>
      <x:c r="D223" s="2" t="str">
        <x:v>Resistor</x:v>
      </x:c>
      <x:c r="E223" s="17" t="str">
        <x:v>SDMMC data three series damping</x:v>
      </x:c>
      <x:c r="F223" s="2" t="str">
        <x:v>Panasonic</x:v>
      </x:c>
      <x:c r="G223" s="2" t="str">
        <x:v>ERJ-2RKF22R0X</x:v>
      </x:c>
      <x:c r="H223" s="2" t="str">
        <x:v>0402</x:v>
      </x:c>
      <x:c r="I223" s="16" t="n">
        <x:v>1</x:v>
      </x:c>
      <x:c r="J223" s="16" t="n">
        <x:v>4</x:v>
      </x:c>
      <x:c r="K223" s="16" t="n">
        <x:v>0</x:v>
      </x:c>
      <x:c r="L223" s="16" t="n">
        <x:v>4</x:v>
      </x:c>
      <x:c r="M223" s="16" t="n">
        <x:v>10</x:v>
      </x:c>
      <x:c r="N223" s="16" t="n">
        <x:v>0</x:v>
      </x:c>
      <x:c r="O223" s="16" t="n">
        <x:v>10</x:v>
      </x:c>
      <x:c r="P223" s="16" t="n">
        <x:v>20</x:v>
      </x:c>
      <x:c r="Q223" s="16" t="n">
        <x:v>0</x:v>
      </x:c>
      <x:c r="R223" s="16" t="n">
        <x:v>20</x:v>
      </x:c>
      <x:c r="S223" s="14" t="str">
        <x:v>NONE</x:v>
      </x:c>
      <x:c r="T223" s="2" t="str">
        <x:v>COMMON</x:v>
      </x:c>
      <x:c r="U223" s="14" t="str">
        <x:v>SELECTED_PENDING_REVIEW_A</x:v>
      </x:c>
      <x:c r="V223" s="17" t="str">
        <x:v>Authorized or traceable tier-1 channel</x:v>
      </x:c>
      <x:c r="W223" s="17" t="str">
        <x:v>Marking MPN package orientation electrical functional sample</x:v>
      </x:c>
      <x:c r="X223" s="17" t="str">
        <x:v>MAIN-AUTH-010 exact capture authority; physical pins: 1=SD_D3_U1;2=SD_D3_CARD; Review A validates timing margin</x:v>
      </x:c>
      <x:c r="Y223" s="2" t="str">
        <x:v>22 Ohm 1%</x:v>
      </x:c>
      <x:c r="Z223" s="2" t="str">
        <x:v>ELECTRICAL_COMPONENT</x:v>
      </x:c>
      <x:c r="AA223" s="2" t="str">
        <x:v>FITTED</x:v>
      </x:c>
      <x:c r="AB223" s="2" t="str">
        <x:v>-55..155</x:v>
      </x:c>
      <x:c r="AC223" s="14" t="str">
        <x:v>CONTROLLED_PENDING_VERIFICATION</x:v>
      </x:c>
    </x:row>
    <x:row r="224">
      <x:c r="A224" s="2" t="str">
        <x:v>MAIN-010-R85</x:v>
      </x:c>
      <x:c r="B224" s="2" t="str">
        <x:v>PCB-MAIN</x:v>
      </x:c>
      <x:c r="C224" s="14" t="str">
        <x:v>R85</x:v>
      </x:c>
      <x:c r="D224" s="2" t="str">
        <x:v>Resistor</x:v>
      </x:c>
      <x:c r="E224" s="17" t="str">
        <x:v>microSD command pull-up</x:v>
      </x:c>
      <x:c r="F224" s="2" t="str">
        <x:v>Panasonic</x:v>
      </x:c>
      <x:c r="G224" s="2" t="str">
        <x:v>ERJ-2RKF1002X</x:v>
      </x:c>
      <x:c r="H224" s="2" t="str">
        <x:v>0402</x:v>
      </x:c>
      <x:c r="I224" s="16" t="n">
        <x:v>1</x:v>
      </x:c>
      <x:c r="J224" s="16" t="n">
        <x:v>4</x:v>
      </x:c>
      <x:c r="K224" s="16" t="n">
        <x:v>0</x:v>
      </x:c>
      <x:c r="L224" s="16" t="n">
        <x:v>4</x:v>
      </x:c>
      <x:c r="M224" s="16" t="n">
        <x:v>10</x:v>
      </x:c>
      <x:c r="N224" s="16" t="n">
        <x:v>0</x:v>
      </x:c>
      <x:c r="O224" s="16" t="n">
        <x:v>10</x:v>
      </x:c>
      <x:c r="P224" s="16" t="n">
        <x:v>20</x:v>
      </x:c>
      <x:c r="Q224" s="16" t="n">
        <x:v>0</x:v>
      </x:c>
      <x:c r="R224" s="16" t="n">
        <x:v>20</x:v>
      </x:c>
      <x:c r="S224" s="14" t="str">
        <x:v>NONE</x:v>
      </x:c>
      <x:c r="T224" s="2" t="str">
        <x:v>COMMON</x:v>
      </x:c>
      <x:c r="U224" s="14" t="str">
        <x:v>SELECTED_PENDING_REVIEW_A</x:v>
      </x:c>
      <x:c r="V224" s="17" t="str">
        <x:v>Authorized or traceable tier-1 channel</x:v>
      </x:c>
      <x:c r="W224" s="17" t="str">
        <x:v>Marking MPN package orientation electrical functional sample</x:v>
      </x:c>
      <x:c r="X224" s="17" t="str">
        <x:v>MAIN-AUTH-010 exact capture authority; physical pins: 1=3V3_DIGITAL;2=SD_CMD_CARD; Connector-side of R80</x:v>
      </x:c>
      <x:c r="Y224" s="2" t="str">
        <x:v>10 kOhm 1%</x:v>
      </x:c>
      <x:c r="Z224" s="2" t="str">
        <x:v>ELECTRICAL_COMPONENT</x:v>
      </x:c>
      <x:c r="AA224" s="2" t="str">
        <x:v>FITTED</x:v>
      </x:c>
      <x:c r="AB224" s="2" t="str">
        <x:v>-55..155</x:v>
      </x:c>
      <x:c r="AC224" s="14" t="str">
        <x:v>CONTROLLED_PENDING_VERIFICATION</x:v>
      </x:c>
    </x:row>
    <x:row r="225">
      <x:c r="A225" s="2" t="str">
        <x:v>MAIN-010-R86</x:v>
      </x:c>
      <x:c r="B225" s="2" t="str">
        <x:v>PCB-MAIN</x:v>
      </x:c>
      <x:c r="C225" s="14" t="str">
        <x:v>R86</x:v>
      </x:c>
      <x:c r="D225" s="2" t="str">
        <x:v>Resistor</x:v>
      </x:c>
      <x:c r="E225" s="17" t="str">
        <x:v>microSD data zero pull-up</x:v>
      </x:c>
      <x:c r="F225" s="2" t="str">
        <x:v>Panasonic</x:v>
      </x:c>
      <x:c r="G225" s="2" t="str">
        <x:v>ERJ-2RKF1002X</x:v>
      </x:c>
      <x:c r="H225" s="2" t="str">
        <x:v>0402</x:v>
      </x:c>
      <x:c r="I225" s="16" t="n">
        <x:v>1</x:v>
      </x:c>
      <x:c r="J225" s="16" t="n">
        <x:v>4</x:v>
      </x:c>
      <x:c r="K225" s="16" t="n">
        <x:v>0</x:v>
      </x:c>
      <x:c r="L225" s="16" t="n">
        <x:v>4</x:v>
      </x:c>
      <x:c r="M225" s="16" t="n">
        <x:v>10</x:v>
      </x:c>
      <x:c r="N225" s="16" t="n">
        <x:v>0</x:v>
      </x:c>
      <x:c r="O225" s="16" t="n">
        <x:v>10</x:v>
      </x:c>
      <x:c r="P225" s="16" t="n">
        <x:v>20</x:v>
      </x:c>
      <x:c r="Q225" s="16" t="n">
        <x:v>0</x:v>
      </x:c>
      <x:c r="R225" s="16" t="n">
        <x:v>20</x:v>
      </x:c>
      <x:c r="S225" s="14" t="str">
        <x:v>NONE</x:v>
      </x:c>
      <x:c r="T225" s="2" t="str">
        <x:v>COMMON</x:v>
      </x:c>
      <x:c r="U225" s="14" t="str">
        <x:v>SELECTED_PENDING_REVIEW_A</x:v>
      </x:c>
      <x:c r="V225" s="17" t="str">
        <x:v>Authorized or traceable tier-1 channel</x:v>
      </x:c>
      <x:c r="W225" s="17" t="str">
        <x:v>Marking MPN package orientation electrical functional sample</x:v>
      </x:c>
      <x:c r="X225" s="17" t="str">
        <x:v>MAIN-AUTH-010 exact capture authority; physical pins: 1=3V3_DIGITAL;2=SD_D0_CARD; Connector-side of R81</x:v>
      </x:c>
      <x:c r="Y225" s="2" t="str">
        <x:v>10 kOhm 1%</x:v>
      </x:c>
      <x:c r="Z225" s="2" t="str">
        <x:v>ELECTRICAL_COMPONENT</x:v>
      </x:c>
      <x:c r="AA225" s="2" t="str">
        <x:v>FITTED</x:v>
      </x:c>
      <x:c r="AB225" s="2" t="str">
        <x:v>-55..155</x:v>
      </x:c>
      <x:c r="AC225" s="14" t="str">
        <x:v>CONTROLLED_PENDING_VERIFICATION</x:v>
      </x:c>
    </x:row>
    <x:row r="226">
      <x:c r="A226" s="2" t="str">
        <x:v>MAIN-010-R87</x:v>
      </x:c>
      <x:c r="B226" s="2" t="str">
        <x:v>PCB-MAIN</x:v>
      </x:c>
      <x:c r="C226" s="14" t="str">
        <x:v>R87</x:v>
      </x:c>
      <x:c r="D226" s="2" t="str">
        <x:v>Resistor</x:v>
      </x:c>
      <x:c r="E226" s="17" t="str">
        <x:v>microSD data one pull-up</x:v>
      </x:c>
      <x:c r="F226" s="2" t="str">
        <x:v>Panasonic</x:v>
      </x:c>
      <x:c r="G226" s="2" t="str">
        <x:v>ERJ-2RKF1002X</x:v>
      </x:c>
      <x:c r="H226" s="2" t="str">
        <x:v>0402</x:v>
      </x:c>
      <x:c r="I226" s="16" t="n">
        <x:v>1</x:v>
      </x:c>
      <x:c r="J226" s="16" t="n">
        <x:v>4</x:v>
      </x:c>
      <x:c r="K226" s="16" t="n">
        <x:v>0</x:v>
      </x:c>
      <x:c r="L226" s="16" t="n">
        <x:v>4</x:v>
      </x:c>
      <x:c r="M226" s="16" t="n">
        <x:v>10</x:v>
      </x:c>
      <x:c r="N226" s="16" t="n">
        <x:v>0</x:v>
      </x:c>
      <x:c r="O226" s="16" t="n">
        <x:v>10</x:v>
      </x:c>
      <x:c r="P226" s="16" t="n">
        <x:v>20</x:v>
      </x:c>
      <x:c r="Q226" s="16" t="n">
        <x:v>0</x:v>
      </x:c>
      <x:c r="R226" s="16" t="n">
        <x:v>20</x:v>
      </x:c>
      <x:c r="S226" s="14" t="str">
        <x:v>NONE</x:v>
      </x:c>
      <x:c r="T226" s="2" t="str">
        <x:v>COMMON</x:v>
      </x:c>
      <x:c r="U226" s="14" t="str">
        <x:v>SELECTED_PENDING_REVIEW_A</x:v>
      </x:c>
      <x:c r="V226" s="17" t="str">
        <x:v>Authorized or traceable tier-1 channel</x:v>
      </x:c>
      <x:c r="W226" s="17" t="str">
        <x:v>Marking MPN package orientation electrical functional sample</x:v>
      </x:c>
      <x:c r="X226" s="17" t="str">
        <x:v>MAIN-AUTH-010 exact capture authority; physical pins: 1=3V3_DIGITAL;2=SD_D1_CARD; Connector-side of R82</x:v>
      </x:c>
      <x:c r="Y226" s="2" t="str">
        <x:v>10 kOhm 1%</x:v>
      </x:c>
      <x:c r="Z226" s="2" t="str">
        <x:v>ELECTRICAL_COMPONENT</x:v>
      </x:c>
      <x:c r="AA226" s="2" t="str">
        <x:v>FITTED</x:v>
      </x:c>
      <x:c r="AB226" s="2" t="str">
        <x:v>-55..155</x:v>
      </x:c>
      <x:c r="AC226" s="14" t="str">
        <x:v>CONTROLLED_PENDING_VERIFICATION</x:v>
      </x:c>
    </x:row>
    <x:row r="227">
      <x:c r="A227" s="2" t="str">
        <x:v>MAIN-010-R88</x:v>
      </x:c>
      <x:c r="B227" s="2" t="str">
        <x:v>PCB-MAIN</x:v>
      </x:c>
      <x:c r="C227" s="14" t="str">
        <x:v>R88</x:v>
      </x:c>
      <x:c r="D227" s="2" t="str">
        <x:v>Resistor</x:v>
      </x:c>
      <x:c r="E227" s="17" t="str">
        <x:v>microSD data two pull-up</x:v>
      </x:c>
      <x:c r="F227" s="2" t="str">
        <x:v>Panasonic</x:v>
      </x:c>
      <x:c r="G227" s="2" t="str">
        <x:v>ERJ-2RKF1002X</x:v>
      </x:c>
      <x:c r="H227" s="2" t="str">
        <x:v>0402</x:v>
      </x:c>
      <x:c r="I227" s="16" t="n">
        <x:v>1</x:v>
      </x:c>
      <x:c r="J227" s="16" t="n">
        <x:v>4</x:v>
      </x:c>
      <x:c r="K227" s="16" t="n">
        <x:v>0</x:v>
      </x:c>
      <x:c r="L227" s="16" t="n">
        <x:v>4</x:v>
      </x:c>
      <x:c r="M227" s="16" t="n">
        <x:v>10</x:v>
      </x:c>
      <x:c r="N227" s="16" t="n">
        <x:v>0</x:v>
      </x:c>
      <x:c r="O227" s="16" t="n">
        <x:v>10</x:v>
      </x:c>
      <x:c r="P227" s="16" t="n">
        <x:v>20</x:v>
      </x:c>
      <x:c r="Q227" s="16" t="n">
        <x:v>0</x:v>
      </x:c>
      <x:c r="R227" s="16" t="n">
        <x:v>20</x:v>
      </x:c>
      <x:c r="S227" s="14" t="str">
        <x:v>NONE</x:v>
      </x:c>
      <x:c r="T227" s="2" t="str">
        <x:v>COMMON</x:v>
      </x:c>
      <x:c r="U227" s="14" t="str">
        <x:v>SELECTED_PENDING_REVIEW_A</x:v>
      </x:c>
      <x:c r="V227" s="17" t="str">
        <x:v>Authorized or traceable tier-1 channel</x:v>
      </x:c>
      <x:c r="W227" s="17" t="str">
        <x:v>Marking MPN package orientation electrical functional sample</x:v>
      </x:c>
      <x:c r="X227" s="17" t="str">
        <x:v>MAIN-AUTH-010 exact capture authority; physical pins: 1=3V3_DIGITAL;2=SD_D2_CARD; Connector-side of R83</x:v>
      </x:c>
      <x:c r="Y227" s="2" t="str">
        <x:v>10 kOhm 1%</x:v>
      </x:c>
      <x:c r="Z227" s="2" t="str">
        <x:v>ELECTRICAL_COMPONENT</x:v>
      </x:c>
      <x:c r="AA227" s="2" t="str">
        <x:v>FITTED</x:v>
      </x:c>
      <x:c r="AB227" s="2" t="str">
        <x:v>-55..155</x:v>
      </x:c>
      <x:c r="AC227" s="14" t="str">
        <x:v>CONTROLLED_PENDING_VERIFICATION</x:v>
      </x:c>
    </x:row>
    <x:row r="228">
      <x:c r="A228" s="2" t="str">
        <x:v>MAIN-010-R89</x:v>
      </x:c>
      <x:c r="B228" s="2" t="str">
        <x:v>PCB-MAIN</x:v>
      </x:c>
      <x:c r="C228" s="14" t="str">
        <x:v>R89</x:v>
      </x:c>
      <x:c r="D228" s="2" t="str">
        <x:v>Resistor</x:v>
      </x:c>
      <x:c r="E228" s="17" t="str">
        <x:v>microSD data three pull-up</x:v>
      </x:c>
      <x:c r="F228" s="2" t="str">
        <x:v>Panasonic</x:v>
      </x:c>
      <x:c r="G228" s="2" t="str">
        <x:v>ERJ-2RKF1002X</x:v>
      </x:c>
      <x:c r="H228" s="2" t="str">
        <x:v>0402</x:v>
      </x:c>
      <x:c r="I228" s="16" t="n">
        <x:v>1</x:v>
      </x:c>
      <x:c r="J228" s="16" t="n">
        <x:v>4</x:v>
      </x:c>
      <x:c r="K228" s="16" t="n">
        <x:v>0</x:v>
      </x:c>
      <x:c r="L228" s="16" t="n">
        <x:v>4</x:v>
      </x:c>
      <x:c r="M228" s="16" t="n">
        <x:v>10</x:v>
      </x:c>
      <x:c r="N228" s="16" t="n">
        <x:v>0</x:v>
      </x:c>
      <x:c r="O228" s="16" t="n">
        <x:v>10</x:v>
      </x:c>
      <x:c r="P228" s="16" t="n">
        <x:v>20</x:v>
      </x:c>
      <x:c r="Q228" s="16" t="n">
        <x:v>0</x:v>
      </x:c>
      <x:c r="R228" s="16" t="n">
        <x:v>20</x:v>
      </x:c>
      <x:c r="S228" s="14" t="str">
        <x:v>NONE</x:v>
      </x:c>
      <x:c r="T228" s="2" t="str">
        <x:v>COMMON</x:v>
      </x:c>
      <x:c r="U228" s="14" t="str">
        <x:v>SELECTED_PENDING_REVIEW_A</x:v>
      </x:c>
      <x:c r="V228" s="17" t="str">
        <x:v>Authorized or traceable tier-1 channel</x:v>
      </x:c>
      <x:c r="W228" s="17" t="str">
        <x:v>Marking MPN package orientation electrical functional sample</x:v>
      </x:c>
      <x:c r="X228" s="17" t="str">
        <x:v>MAIN-AUTH-010 exact capture authority; physical pins: 1=3V3_DIGITAL;2=SD_D3_CARD; Connector-side of R84</x:v>
      </x:c>
      <x:c r="Y228" s="2" t="str">
        <x:v>10 kOhm 1%</x:v>
      </x:c>
      <x:c r="Z228" s="2" t="str">
        <x:v>ELECTRICAL_COMPONENT</x:v>
      </x:c>
      <x:c r="AA228" s="2" t="str">
        <x:v>FITTED</x:v>
      </x:c>
      <x:c r="AB228" s="2" t="str">
        <x:v>-55..155</x:v>
      </x:c>
      <x:c r="AC228" s="14" t="str">
        <x:v>CONTROLLED_PENDING_VERIFICATION</x:v>
      </x:c>
    </x:row>
    <x:row r="229">
      <x:c r="A229" s="2" t="str">
        <x:v>MAIN-010-R90</x:v>
      </x:c>
      <x:c r="B229" s="2" t="str">
        <x:v>PCB-MAIN</x:v>
      </x:c>
      <x:c r="C229" s="14" t="str">
        <x:v>R90</x:v>
      </x:c>
      <x:c r="D229" s="2" t="str">
        <x:v>Resistor</x:v>
      </x:c>
      <x:c r="E229" s="17" t="str">
        <x:v>J12 normally-open card-detect pull-up</x:v>
      </x:c>
      <x:c r="F229" s="2" t="str">
        <x:v>Panasonic</x:v>
      </x:c>
      <x:c r="G229" s="2" t="str">
        <x:v>ERJ-2RKF1002X</x:v>
      </x:c>
      <x:c r="H229" s="2" t="str">
        <x:v>0402</x:v>
      </x:c>
      <x:c r="I229" s="16" t="n">
        <x:v>1</x:v>
      </x:c>
      <x:c r="J229" s="16" t="n">
        <x:v>4</x:v>
      </x:c>
      <x:c r="K229" s="16" t="n">
        <x:v>0</x:v>
      </x:c>
      <x:c r="L229" s="16" t="n">
        <x:v>4</x:v>
      </x:c>
      <x:c r="M229" s="16" t="n">
        <x:v>10</x:v>
      </x:c>
      <x:c r="N229" s="16" t="n">
        <x:v>0</x:v>
      </x:c>
      <x:c r="O229" s="16" t="n">
        <x:v>10</x:v>
      </x:c>
      <x:c r="P229" s="16" t="n">
        <x:v>20</x:v>
      </x:c>
      <x:c r="Q229" s="16" t="n">
        <x:v>0</x:v>
      </x:c>
      <x:c r="R229" s="16" t="n">
        <x:v>20</x:v>
      </x:c>
      <x:c r="S229" s="14" t="str">
        <x:v>NONE</x:v>
      </x:c>
      <x:c r="T229" s="2" t="str">
        <x:v>COMMON</x:v>
      </x:c>
      <x:c r="U229" s="14" t="str">
        <x:v>SELECTED_PENDING_REVIEW_A</x:v>
      </x:c>
      <x:c r="V229" s="17" t="str">
        <x:v>Authorized or traceable tier-1 channel</x:v>
      </x:c>
      <x:c r="W229" s="17" t="str">
        <x:v>Marking MPN package orientation electrical functional sample</x:v>
      </x:c>
      <x:c r="X229" s="17" t="str">
        <x:v>MAIN-AUTH-010 exact capture authority; physical pins: 1=3V3_DIGITAL;2=SD_DET; Card insertion closes detect to GND</x:v>
      </x:c>
      <x:c r="Y229" s="2" t="str">
        <x:v>10 kOhm 1%</x:v>
      </x:c>
      <x:c r="Z229" s="2" t="str">
        <x:v>ELECTRICAL_COMPONENT</x:v>
      </x:c>
      <x:c r="AA229" s="2" t="str">
        <x:v>FITTED</x:v>
      </x:c>
      <x:c r="AB229" s="2" t="str">
        <x:v>-55..155</x:v>
      </x:c>
      <x:c r="AC229" s="14" t="str">
        <x:v>CONTROLLED_PENDING_VERIFICATION</x:v>
      </x:c>
    </x:row>
    <x:row r="230">
      <x:c r="A230" s="2" t="str">
        <x:v>MAIN-010-R91</x:v>
      </x:c>
      <x:c r="B230" s="2" t="str">
        <x:v>PCB-MAIN</x:v>
      </x:c>
      <x:c r="C230" s="14" t="str">
        <x:v>R91</x:v>
      </x:c>
      <x:c r="D230" s="2" t="str">
        <x:v>Resistor</x:v>
      </x:c>
      <x:c r="E230" s="17" t="str">
        <x:v>U1 USB D+ source-series damping</x:v>
      </x:c>
      <x:c r="F230" s="2" t="str">
        <x:v>Panasonic</x:v>
      </x:c>
      <x:c r="G230" s="2" t="str">
        <x:v>ERJ-2RKF22R0X</x:v>
      </x:c>
      <x:c r="H230" s="2" t="str">
        <x:v>0402</x:v>
      </x:c>
      <x:c r="I230" s="16" t="n">
        <x:v>1</x:v>
      </x:c>
      <x:c r="J230" s="16" t="n">
        <x:v>4</x:v>
      </x:c>
      <x:c r="K230" s="16" t="n">
        <x:v>0</x:v>
      </x:c>
      <x:c r="L230" s="16" t="n">
        <x:v>4</x:v>
      </x:c>
      <x:c r="M230" s="16" t="n">
        <x:v>10</x:v>
      </x:c>
      <x:c r="N230" s="16" t="n">
        <x:v>0</x:v>
      </x:c>
      <x:c r="O230" s="16" t="n">
        <x:v>10</x:v>
      </x:c>
      <x:c r="P230" s="16" t="n">
        <x:v>20</x:v>
      </x:c>
      <x:c r="Q230" s="16" t="n">
        <x:v>0</x:v>
      </x:c>
      <x:c r="R230" s="16" t="n">
        <x:v>20</x:v>
      </x:c>
      <x:c r="S230" s="14" t="str">
        <x:v>NONE</x:v>
      </x:c>
      <x:c r="T230" s="2" t="str">
        <x:v>COMMON</x:v>
      </x:c>
      <x:c r="U230" s="14" t="str">
        <x:v>SELECTED_PENDING_REVIEW_A</x:v>
      </x:c>
      <x:c r="V230" s="17" t="str">
        <x:v>Authorized or traceable tier-1 channel</x:v>
      </x:c>
      <x:c r="W230" s="17" t="str">
        <x:v>Marking MPN package orientation electrical functional sample</x:v>
      </x:c>
      <x:c r="X230" s="17" t="str">
        <x:v>MAIN-AUTH-010 exact capture authority; physical pins: 1=USB_DP_U1;2=USB_DP_CONN; Place adjacent to U1 PA12</x:v>
      </x:c>
      <x:c r="Y230" s="2" t="str">
        <x:v>22 Ohm 1%</x:v>
      </x:c>
      <x:c r="Z230" s="2" t="str">
        <x:v>ELECTRICAL_COMPONENT</x:v>
      </x:c>
      <x:c r="AA230" s="2" t="str">
        <x:v>FITTED</x:v>
      </x:c>
      <x:c r="AB230" s="2" t="str">
        <x:v>-55..155</x:v>
      </x:c>
      <x:c r="AC230" s="14" t="str">
        <x:v>CONTROLLED_PENDING_VERIFICATION</x:v>
      </x:c>
    </x:row>
    <x:row r="231">
      <x:c r="A231" s="2" t="str">
        <x:v>MAIN-010-R92</x:v>
      </x:c>
      <x:c r="B231" s="2" t="str">
        <x:v>PCB-MAIN</x:v>
      </x:c>
      <x:c r="C231" s="14" t="str">
        <x:v>R92</x:v>
      </x:c>
      <x:c r="D231" s="2" t="str">
        <x:v>Resistor</x:v>
      </x:c>
      <x:c r="E231" s="17" t="str">
        <x:v>U1 USB D- source-series damping</x:v>
      </x:c>
      <x:c r="F231" s="2" t="str">
        <x:v>Panasonic</x:v>
      </x:c>
      <x:c r="G231" s="2" t="str">
        <x:v>ERJ-2RKF22R0X</x:v>
      </x:c>
      <x:c r="H231" s="2" t="str">
        <x:v>0402</x:v>
      </x:c>
      <x:c r="I231" s="16" t="n">
        <x:v>1</x:v>
      </x:c>
      <x:c r="J231" s="16" t="n">
        <x:v>4</x:v>
      </x:c>
      <x:c r="K231" s="16" t="n">
        <x:v>0</x:v>
      </x:c>
      <x:c r="L231" s="16" t="n">
        <x:v>4</x:v>
      </x:c>
      <x:c r="M231" s="16" t="n">
        <x:v>10</x:v>
      </x:c>
      <x:c r="N231" s="16" t="n">
        <x:v>0</x:v>
      </x:c>
      <x:c r="O231" s="16" t="n">
        <x:v>10</x:v>
      </x:c>
      <x:c r="P231" s="16" t="n">
        <x:v>20</x:v>
      </x:c>
      <x:c r="Q231" s="16" t="n">
        <x:v>0</x:v>
      </x:c>
      <x:c r="R231" s="16" t="n">
        <x:v>20</x:v>
      </x:c>
      <x:c r="S231" s="14" t="str">
        <x:v>NONE</x:v>
      </x:c>
      <x:c r="T231" s="2" t="str">
        <x:v>COMMON</x:v>
      </x:c>
      <x:c r="U231" s="14" t="str">
        <x:v>SELECTED_PENDING_REVIEW_A</x:v>
      </x:c>
      <x:c r="V231" s="17" t="str">
        <x:v>Authorized or traceable tier-1 channel</x:v>
      </x:c>
      <x:c r="W231" s="17" t="str">
        <x:v>Marking MPN package orientation electrical functional sample</x:v>
      </x:c>
      <x:c r="X231" s="17" t="str">
        <x:v>MAIN-AUTH-010 exact capture authority; physical pins: 1=USB_DM_U1;2=USB_DM_CONN; Place adjacent to U1 PA11</x:v>
      </x:c>
      <x:c r="Y231" s="2" t="str">
        <x:v>22 Ohm 1%</x:v>
      </x:c>
      <x:c r="Z231" s="2" t="str">
        <x:v>ELECTRICAL_COMPONENT</x:v>
      </x:c>
      <x:c r="AA231" s="2" t="str">
        <x:v>FITTED</x:v>
      </x:c>
      <x:c r="AB231" s="2" t="str">
        <x:v>-55..155</x:v>
      </x:c>
      <x:c r="AC231" s="14" t="str">
        <x:v>CONTROLLED_PENDING_VERIFICATION</x:v>
      </x:c>
    </x:row>
    <x:row r="232">
      <x:c r="A232" s="2" t="str">
        <x:v>MAIN-010-R93</x:v>
      </x:c>
      <x:c r="B232" s="2" t="str">
        <x:v>PCB-MAIN</x:v>
      </x:c>
      <x:c r="C232" s="14" t="str">
        <x:v>R93</x:v>
      </x:c>
      <x:c r="D232" s="2" t="str">
        <x:v>Resistor</x:v>
      </x:c>
      <x:c r="E232" s="17" t="str">
        <x:v>USB-C device-mode CC1 Rd</x:v>
      </x:c>
      <x:c r="F232" s="2" t="str">
        <x:v>Panasonic</x:v>
      </x:c>
      <x:c r="G232" s="2" t="str">
        <x:v>ERJ-2RKF5101X</x:v>
      </x:c>
      <x:c r="H232" s="2" t="str">
        <x:v>0402</x:v>
      </x:c>
      <x:c r="I232" s="16" t="n">
        <x:v>1</x:v>
      </x:c>
      <x:c r="J232" s="16" t="n">
        <x:v>4</x:v>
      </x:c>
      <x:c r="K232" s="16" t="n">
        <x:v>0</x:v>
      </x:c>
      <x:c r="L232" s="16" t="n">
        <x:v>4</x:v>
      </x:c>
      <x:c r="M232" s="16" t="n">
        <x:v>10</x:v>
      </x:c>
      <x:c r="N232" s="16" t="n">
        <x:v>0</x:v>
      </x:c>
      <x:c r="O232" s="16" t="n">
        <x:v>10</x:v>
      </x:c>
      <x:c r="P232" s="16" t="n">
        <x:v>20</x:v>
      </x:c>
      <x:c r="Q232" s="16" t="n">
        <x:v>0</x:v>
      </x:c>
      <x:c r="R232" s="16" t="n">
        <x:v>20</x:v>
      </x:c>
      <x:c r="S232" s="14" t="str">
        <x:v>NONE</x:v>
      </x:c>
      <x:c r="T232" s="2" t="str">
        <x:v>COMMON</x:v>
      </x:c>
      <x:c r="U232" s="14" t="str">
        <x:v>SELECTED_PENDING_REVIEW_A</x:v>
      </x:c>
      <x:c r="V232" s="17" t="str">
        <x:v>Authorized or traceable tier-1 channel</x:v>
      </x:c>
      <x:c r="W232" s="17" t="str">
        <x:v>Marking MPN package orientation electrical functional sample</x:v>
      </x:c>
      <x:c r="X232" s="17" t="str">
        <x:v>MAIN-AUTH-010 exact capture authority; physical pins: 1=USB_CC1;2=GND; CC1 and CC2 remain independent</x:v>
      </x:c>
      <x:c r="Y232" s="2" t="str">
        <x:v>5.1 kOhm 1%</x:v>
      </x:c>
      <x:c r="Z232" s="2" t="str">
        <x:v>ELECTRICAL_COMPONENT</x:v>
      </x:c>
      <x:c r="AA232" s="2" t="str">
        <x:v>FITTED</x:v>
      </x:c>
      <x:c r="AB232" s="2" t="str">
        <x:v>-55..155</x:v>
      </x:c>
      <x:c r="AC232" s="14" t="str">
        <x:v>CONTROLLED_PENDING_VERIFICATION</x:v>
      </x:c>
    </x:row>
    <x:row r="233">
      <x:c r="A233" s="2" t="str">
        <x:v>MAIN-010-R94</x:v>
      </x:c>
      <x:c r="B233" s="2" t="str">
        <x:v>PCB-MAIN</x:v>
      </x:c>
      <x:c r="C233" s="14" t="str">
        <x:v>R94</x:v>
      </x:c>
      <x:c r="D233" s="2" t="str">
        <x:v>Resistor</x:v>
      </x:c>
      <x:c r="E233" s="17" t="str">
        <x:v>USB-C device-mode CC2 Rd</x:v>
      </x:c>
      <x:c r="F233" s="2" t="str">
        <x:v>Panasonic</x:v>
      </x:c>
      <x:c r="G233" s="2" t="str">
        <x:v>ERJ-2RKF5101X</x:v>
      </x:c>
      <x:c r="H233" s="2" t="str">
        <x:v>0402</x:v>
      </x:c>
      <x:c r="I233" s="16" t="n">
        <x:v>1</x:v>
      </x:c>
      <x:c r="J233" s="16" t="n">
        <x:v>4</x:v>
      </x:c>
      <x:c r="K233" s="16" t="n">
        <x:v>0</x:v>
      </x:c>
      <x:c r="L233" s="16" t="n">
        <x:v>4</x:v>
      </x:c>
      <x:c r="M233" s="16" t="n">
        <x:v>10</x:v>
      </x:c>
      <x:c r="N233" s="16" t="n">
        <x:v>0</x:v>
      </x:c>
      <x:c r="O233" s="16" t="n">
        <x:v>10</x:v>
      </x:c>
      <x:c r="P233" s="16" t="n">
        <x:v>20</x:v>
      </x:c>
      <x:c r="Q233" s="16" t="n">
        <x:v>0</x:v>
      </x:c>
      <x:c r="R233" s="16" t="n">
        <x:v>20</x:v>
      </x:c>
      <x:c r="S233" s="14" t="str">
        <x:v>NONE</x:v>
      </x:c>
      <x:c r="T233" s="2" t="str">
        <x:v>COMMON</x:v>
      </x:c>
      <x:c r="U233" s="14" t="str">
        <x:v>SELECTED_PENDING_REVIEW_A</x:v>
      </x:c>
      <x:c r="V233" s="17" t="str">
        <x:v>Authorized or traceable tier-1 channel</x:v>
      </x:c>
      <x:c r="W233" s="17" t="str">
        <x:v>Marking MPN package orientation electrical functional sample</x:v>
      </x:c>
      <x:c r="X233" s="17" t="str">
        <x:v>MAIN-AUTH-010 exact capture authority; physical pins: 1=USB_CC2;2=GND; CC1 and CC2 remain independent</x:v>
      </x:c>
      <x:c r="Y233" s="2" t="str">
        <x:v>5.1 kOhm 1%</x:v>
      </x:c>
      <x:c r="Z233" s="2" t="str">
        <x:v>ELECTRICAL_COMPONENT</x:v>
      </x:c>
      <x:c r="AA233" s="2" t="str">
        <x:v>FITTED</x:v>
      </x:c>
      <x:c r="AB233" s="2" t="str">
        <x:v>-55..155</x:v>
      </x:c>
      <x:c r="AC233" s="14" t="str">
        <x:v>CONTROLLED_PENDING_VERIFICATION</x:v>
      </x:c>
    </x:row>
    <x:row r="234">
      <x:c r="A234" s="2" t="str">
        <x:v>MAIN-010-R95</x:v>
      </x:c>
      <x:c r="B234" s="2" t="str">
        <x:v>PCB-MAIN</x:v>
      </x:c>
      <x:c r="C234" s="14" t="str">
        <x:v>R95</x:v>
      </x:c>
      <x:c r="D234" s="2" t="str">
        <x:v>Resistor</x:v>
      </x:c>
      <x:c r="E234" s="17" t="str">
        <x:v>U1 PA9 protected high-impedance VBUS sense series limiter</x:v>
      </x:c>
      <x:c r="F234" s="2" t="str">
        <x:v>Panasonic</x:v>
      </x:c>
      <x:c r="G234" s="2" t="str">
        <x:v>ERJ-2RKF1001X</x:v>
      </x:c>
      <x:c r="H234" s="2" t="str">
        <x:v>0402</x:v>
      </x:c>
      <x:c r="I234" s="16" t="n">
        <x:v>1</x:v>
      </x:c>
      <x:c r="J234" s="16" t="n">
        <x:v>4</x:v>
      </x:c>
      <x:c r="K234" s="16" t="n">
        <x:v>0</x:v>
      </x:c>
      <x:c r="L234" s="16" t="n">
        <x:v>4</x:v>
      </x:c>
      <x:c r="M234" s="16" t="n">
        <x:v>10</x:v>
      </x:c>
      <x:c r="N234" s="16" t="n">
        <x:v>0</x:v>
      </x:c>
      <x:c r="O234" s="16" t="n">
        <x:v>10</x:v>
      </x:c>
      <x:c r="P234" s="16" t="n">
        <x:v>20</x:v>
      </x:c>
      <x:c r="Q234" s="16" t="n">
        <x:v>0</x:v>
      </x:c>
      <x:c r="R234" s="16" t="n">
        <x:v>20</x:v>
      </x:c>
      <x:c r="S234" s="14" t="str">
        <x:v>NONE</x:v>
      </x:c>
      <x:c r="T234" s="2" t="str">
        <x:v>COMMON</x:v>
      </x:c>
      <x:c r="U234" s="14" t="str">
        <x:v>SELECTED_PENDING_REVIEW_A</x:v>
      </x:c>
      <x:c r="V234" s="17" t="str">
        <x:v>Authorized or traceable tier-1 channel</x:v>
      </x:c>
      <x:c r="W234" s="17" t="str">
        <x:v>Marking MPN package orientation electrical functional sample</x:v>
      </x:c>
      <x:c r="X234" s="17" t="str">
        <x:v>MAIN-AUTH-010 exact capture authority; physical pins: 1=USB_VBUS_CONN;2=USB_VBUS_SENSE; No station power path through J11</x:v>
      </x:c>
      <x:c r="Y234" s="2" t="str">
        <x:v>1 kOhm 1%</x:v>
      </x:c>
      <x:c r="Z234" s="2" t="str">
        <x:v>ELECTRICAL_COMPONENT</x:v>
      </x:c>
      <x:c r="AA234" s="2" t="str">
        <x:v>FITTED</x:v>
      </x:c>
      <x:c r="AB234" s="2" t="str">
        <x:v>-55..155</x:v>
      </x:c>
      <x:c r="AC234" s="14" t="str">
        <x:v>CONTROLLED_PENDING_VERIFICATION</x:v>
      </x:c>
    </x:row>
    <x:row r="235">
      <x:c r="A235" s="2" t="str">
        <x:v>MAIN-010-R96</x:v>
      </x:c>
      <x:c r="B235" s="2" t="str">
        <x:v>PCB-MAIN</x:v>
      </x:c>
      <x:c r="C235" s="14" t="str">
        <x:v>R96</x:v>
      </x:c>
      <x:c r="D235" s="2" t="str">
        <x:v>Resistor</x:v>
      </x:c>
      <x:c r="E235" s="17" t="str">
        <x:v>U1 PA9 disconnected-state pull-down</x:v>
      </x:c>
      <x:c r="F235" s="2" t="str">
        <x:v>Panasonic</x:v>
      </x:c>
      <x:c r="G235" s="2" t="str">
        <x:v>ERJ-2RKF1003X</x:v>
      </x:c>
      <x:c r="H235" s="2" t="str">
        <x:v>0402</x:v>
      </x:c>
      <x:c r="I235" s="16" t="n">
        <x:v>1</x:v>
      </x:c>
      <x:c r="J235" s="16" t="n">
        <x:v>4</x:v>
      </x:c>
      <x:c r="K235" s="16" t="n">
        <x:v>0</x:v>
      </x:c>
      <x:c r="L235" s="16" t="n">
        <x:v>4</x:v>
      </x:c>
      <x:c r="M235" s="16" t="n">
        <x:v>10</x:v>
      </x:c>
      <x:c r="N235" s="16" t="n">
        <x:v>0</x:v>
      </x:c>
      <x:c r="O235" s="16" t="n">
        <x:v>10</x:v>
      </x:c>
      <x:c r="P235" s="16" t="n">
        <x:v>20</x:v>
      </x:c>
      <x:c r="Q235" s="16" t="n">
        <x:v>0</x:v>
      </x:c>
      <x:c r="R235" s="16" t="n">
        <x:v>20</x:v>
      </x:c>
      <x:c r="S235" s="14" t="str">
        <x:v>NONE</x:v>
      </x:c>
      <x:c r="T235" s="2" t="str">
        <x:v>COMMON</x:v>
      </x:c>
      <x:c r="U235" s="14" t="str">
        <x:v>SELECTED_PENDING_REVIEW_A</x:v>
      </x:c>
      <x:c r="V235" s="17" t="str">
        <x:v>Authorized or traceable tier-1 channel</x:v>
      </x:c>
      <x:c r="W235" s="17" t="str">
        <x:v>Marking MPN package orientation electrical functional sample</x:v>
      </x:c>
      <x:c r="X235" s="17" t="str">
        <x:v>MAIN-AUTH-010 exact capture authority; physical pins: 1=USB_VBUS_SENSE;2=GND; PA9 remains the dedicated OTG_FS_VBUS endpoint</x:v>
      </x:c>
      <x:c r="Y235" s="2" t="str">
        <x:v>100 kOhm 1%</x:v>
      </x:c>
      <x:c r="Z235" s="2" t="str">
        <x:v>ELECTRICAL_COMPONENT</x:v>
      </x:c>
      <x:c r="AA235" s="2" t="str">
        <x:v>FITTED</x:v>
      </x:c>
      <x:c r="AB235" s="2" t="str">
        <x:v>-55..155</x:v>
      </x:c>
      <x:c r="AC235" s="14" t="str">
        <x:v>CONTROLLED_PENDING_VERIFICATION</x:v>
      </x:c>
    </x:row>
    <x:row r="236">
      <x:c r="A236" s="2" t="str">
        <x:v>MAIN-010-R97</x:v>
      </x:c>
      <x:c r="B236" s="2" t="str">
        <x:v>PCB-MAIN</x:v>
      </x:c>
      <x:c r="C236" s="14" t="str">
        <x:v>R97</x:v>
      </x:c>
      <x:c r="D236" s="2" t="str">
        <x:v>Resistor</x:v>
      </x:c>
      <x:c r="E236" s="17" t="str">
        <x:v>Controlled USB shield DC bleed</x:v>
      </x:c>
      <x:c r="F236" s="2" t="str">
        <x:v>Panasonic</x:v>
      </x:c>
      <x:c r="G236" s="2" t="str">
        <x:v>ERJ-2RKF1004X</x:v>
      </x:c>
      <x:c r="H236" s="2" t="str">
        <x:v>0402</x:v>
      </x:c>
      <x:c r="I236" s="16" t="n">
        <x:v>1</x:v>
      </x:c>
      <x:c r="J236" s="16" t="n">
        <x:v>4</x:v>
      </x:c>
      <x:c r="K236" s="16" t="n">
        <x:v>0</x:v>
      </x:c>
      <x:c r="L236" s="16" t="n">
        <x:v>4</x:v>
      </x:c>
      <x:c r="M236" s="16" t="n">
        <x:v>10</x:v>
      </x:c>
      <x:c r="N236" s="16" t="n">
        <x:v>0</x:v>
      </x:c>
      <x:c r="O236" s="16" t="n">
        <x:v>10</x:v>
      </x:c>
      <x:c r="P236" s="16" t="n">
        <x:v>20</x:v>
      </x:c>
      <x:c r="Q236" s="16" t="n">
        <x:v>0</x:v>
      </x:c>
      <x:c r="R236" s="16" t="n">
        <x:v>20</x:v>
      </x:c>
      <x:c r="S236" s="14" t="str">
        <x:v>NONE</x:v>
      </x:c>
      <x:c r="T236" s="2" t="str">
        <x:v>COMMON</x:v>
      </x:c>
      <x:c r="U236" s="14" t="str">
        <x:v>SELECTED_PENDING_REVIEW_A</x:v>
      </x:c>
      <x:c r="V236" s="17" t="str">
        <x:v>Authorized or traceable tier-1 channel</x:v>
      </x:c>
      <x:c r="W236" s="17" t="str">
        <x:v>Marking MPN package orientation electrical functional sample</x:v>
      </x:c>
      <x:c r="X236" s="17" t="str">
        <x:v>MAIN-AUTH-010 exact capture authority; physical pins: 1=USB_SHIELD;2=GND; Parallel with C77</x:v>
      </x:c>
      <x:c r="Y236" s="2" t="str">
        <x:v>1 MOhm 1%</x:v>
      </x:c>
      <x:c r="Z236" s="2" t="str">
        <x:v>ELECTRICAL_COMPONENT</x:v>
      </x:c>
      <x:c r="AA236" s="2" t="str">
        <x:v>FITTED</x:v>
      </x:c>
      <x:c r="AB236" s="2" t="str">
        <x:v>-55..155</x:v>
      </x:c>
      <x:c r="AC236" s="14" t="str">
        <x:v>CONTROLLED_PENDING_VERIFICATION</x:v>
      </x:c>
    </x:row>
    <x:row r="237">
      <x:c r="A237" s="2" t="str">
        <x:v>MAIN-010-R98</x:v>
      </x:c>
      <x:c r="B237" s="2" t="str">
        <x:v>PCB-MAIN</x:v>
      </x:c>
      <x:c r="C237" s="14" t="str">
        <x:v>R98</x:v>
      </x:c>
      <x:c r="D237" s="2" t="str">
        <x:v>Resistor</x:v>
      </x:c>
      <x:c r="E237" s="17" t="str">
        <x:v>Optional hard shield bond</x:v>
      </x:c>
      <x:c r="F237" s="2" t="str">
        <x:v>Panasonic</x:v>
      </x:c>
      <x:c r="G237" s="2" t="str">
        <x:v>ERJ-2GE0R00X</x:v>
      </x:c>
      <x:c r="H237" s="2" t="str">
        <x:v>0402</x:v>
      </x:c>
      <x:c r="I237" s="16" t="n">
        <x:v>0</x:v>
      </x:c>
      <x:c r="J237" s="16" t="n">
        <x:v>0</x:v>
      </x:c>
      <x:c r="K237" s="16" t="n">
        <x:v>0</x:v>
      </x:c>
      <x:c r="L237" s="16" t="n">
        <x:v>0</x:v>
      </x:c>
      <x:c r="M237" s="16" t="n">
        <x:v>0</x:v>
      </x:c>
      <x:c r="N237" s="16" t="n">
        <x:v>0</x:v>
      </x:c>
      <x:c r="O237" s="16" t="n">
        <x:v>0</x:v>
      </x:c>
      <x:c r="P237" s="16" t="n">
        <x:v>0</x:v>
      </x:c>
      <x:c r="Q237" s="16" t="n">
        <x:v>0</x:v>
      </x:c>
      <x:c r="R237" s="16" t="n">
        <x:v>0</x:v>
      </x:c>
      <x:c r="S237" s="14" t="str">
        <x:v>NONE</x:v>
      </x:c>
      <x:c r="T237" s="2" t="str">
        <x:v>COMMON</x:v>
      </x:c>
      <x:c r="U237" s="14" t="str">
        <x:v>CONTROLLED_DNP</x:v>
      </x:c>
      <x:c r="V237" s="17" t="str">
        <x:v>Authorized or traceable tier-1 channel</x:v>
      </x:c>
      <x:c r="W237" s="17" t="str">
        <x:v>Marking MPN package orientation electrical functional sample</x:v>
      </x:c>
      <x:c r="X237" s="17" t="str">
        <x:v>MAIN-AUTH-010 exact capture authority; physical pins: 1=USB_SHIELD;2=GND; Populate only from signed EMC evidence</x:v>
      </x:c>
      <x:c r="Y237" s="2" t="str">
        <x:v>0 Ohm</x:v>
      </x:c>
      <x:c r="Z237" s="2" t="str">
        <x:v>ELECTRICAL_COMPONENT</x:v>
      </x:c>
      <x:c r="AA237" s="2" t="str">
        <x:v>DNP</x:v>
      </x:c>
      <x:c r="AB237" s="2" t="str">
        <x:v>-55..155</x:v>
      </x:c>
      <x:c r="AC237" s="14" t="str">
        <x:v>CONTROLLED_DNP</x:v>
      </x:c>
    </x:row>
    <x:row r="238">
      <x:c r="A238" s="2" t="str">
        <x:v>MAIN-010-R99</x:v>
      </x:c>
      <x:c r="B238" s="2" t="str">
        <x:v>PCB-MAIN</x:v>
      </x:c>
      <x:c r="C238" s="14" t="str">
        <x:v>R99</x:v>
      </x:c>
      <x:c r="D238" s="2" t="str">
        <x:v>Resistor</x:v>
      </x:c>
      <x:c r="E238" s="17" t="str">
        <x:v>Normally-closed tamper loop pull-up</x:v>
      </x:c>
      <x:c r="F238" s="2" t="str">
        <x:v>Panasonic</x:v>
      </x:c>
      <x:c r="G238" s="2" t="str">
        <x:v>ERJ-2RKF1002X</x:v>
      </x:c>
      <x:c r="H238" s="2" t="str">
        <x:v>0402</x:v>
      </x:c>
      <x:c r="I238" s="16" t="n">
        <x:v>1</x:v>
      </x:c>
      <x:c r="J238" s="16" t="n">
        <x:v>4</x:v>
      </x:c>
      <x:c r="K238" s="16" t="n">
        <x:v>0</x:v>
      </x:c>
      <x:c r="L238" s="16" t="n">
        <x:v>4</x:v>
      </x:c>
      <x:c r="M238" s="16" t="n">
        <x:v>10</x:v>
      </x:c>
      <x:c r="N238" s="16" t="n">
        <x:v>0</x:v>
      </x:c>
      <x:c r="O238" s="16" t="n">
        <x:v>10</x:v>
      </x:c>
      <x:c r="P238" s="16" t="n">
        <x:v>20</x:v>
      </x:c>
      <x:c r="Q238" s="16" t="n">
        <x:v>0</x:v>
      </x:c>
      <x:c r="R238" s="16" t="n">
        <x:v>20</x:v>
      </x:c>
      <x:c r="S238" s="14" t="str">
        <x:v>NONE</x:v>
      </x:c>
      <x:c r="T238" s="2" t="str">
        <x:v>COMMON</x:v>
      </x:c>
      <x:c r="U238" s="14" t="str">
        <x:v>SELECTED_PENDING_REVIEW_A</x:v>
      </x:c>
      <x:c r="V238" s="17" t="str">
        <x:v>Authorized or traceable tier-1 channel</x:v>
      </x:c>
      <x:c r="W238" s="17" t="str">
        <x:v>Marking MPN package orientation electrical functional sample</x:v>
      </x:c>
      <x:c r="X238" s="17" t="str">
        <x:v>MAIN-AUTH-010 exact capture authority; physical pins: 1=3V3_DIGITAL;2=TAMPER_IN_CONN; Open loop is alarm or cable fault</x:v>
      </x:c>
      <x:c r="Y238" s="2" t="str">
        <x:v>10 kOhm 1%</x:v>
      </x:c>
      <x:c r="Z238" s="2" t="str">
        <x:v>ELECTRICAL_COMPONENT</x:v>
      </x:c>
      <x:c r="AA238" s="2" t="str">
        <x:v>FITTED</x:v>
      </x:c>
      <x:c r="AB238" s="2" t="str">
        <x:v>-55..155</x:v>
      </x:c>
      <x:c r="AC238" s="14" t="str">
        <x:v>CONTROLLED_PENDING_VERIFICATION</x:v>
      </x:c>
    </x:row>
    <x:row r="239">
      <x:c r="A239" s="2" t="str">
        <x:v>MAIN-010-R100</x:v>
      </x:c>
      <x:c r="B239" s="2" t="str">
        <x:v>PCB-MAIN</x:v>
      </x:c>
      <x:c r="C239" s="14" t="str">
        <x:v>R100</x:v>
      </x:c>
      <x:c r="D239" s="2" t="str">
        <x:v>Resistor</x:v>
      </x:c>
      <x:c r="E239" s="17" t="str">
        <x:v>Tamper input series protection and filter resistor</x:v>
      </x:c>
      <x:c r="F239" s="2" t="str">
        <x:v>Panasonic</x:v>
      </x:c>
      <x:c r="G239" s="2" t="str">
        <x:v>ERJ-2RKF1001X</x:v>
      </x:c>
      <x:c r="H239" s="2" t="str">
        <x:v>0402</x:v>
      </x:c>
      <x:c r="I239" s="16" t="n">
        <x:v>1</x:v>
      </x:c>
      <x:c r="J239" s="16" t="n">
        <x:v>4</x:v>
      </x:c>
      <x:c r="K239" s="16" t="n">
        <x:v>0</x:v>
      </x:c>
      <x:c r="L239" s="16" t="n">
        <x:v>4</x:v>
      </x:c>
      <x:c r="M239" s="16" t="n">
        <x:v>10</x:v>
      </x:c>
      <x:c r="N239" s="16" t="n">
        <x:v>0</x:v>
      </x:c>
      <x:c r="O239" s="16" t="n">
        <x:v>10</x:v>
      </x:c>
      <x:c r="P239" s="16" t="n">
        <x:v>20</x:v>
      </x:c>
      <x:c r="Q239" s="16" t="n">
        <x:v>0</x:v>
      </x:c>
      <x:c r="R239" s="16" t="n">
        <x:v>20</x:v>
      </x:c>
      <x:c r="S239" s="14" t="str">
        <x:v>NONE</x:v>
      </x:c>
      <x:c r="T239" s="2" t="str">
        <x:v>COMMON</x:v>
      </x:c>
      <x:c r="U239" s="14" t="str">
        <x:v>SELECTED_PENDING_REVIEW_A</x:v>
      </x:c>
      <x:c r="V239" s="17" t="str">
        <x:v>Authorized or traceable tier-1 channel</x:v>
      </x:c>
      <x:c r="W239" s="17" t="str">
        <x:v>Marking MPN package orientation electrical functional sample</x:v>
      </x:c>
      <x:c r="X239" s="17" t="str">
        <x:v>MAIN-AUTH-010 exact capture authority; physical pins: 1=TAMPER_IN_CONN;2=TAMPER_IN_U1; C78 is U1-side filter capacitor</x:v>
      </x:c>
      <x:c r="Y239" s="2" t="str">
        <x:v>1 kOhm 1%</x:v>
      </x:c>
      <x:c r="Z239" s="2" t="str">
        <x:v>ELECTRICAL_COMPONENT</x:v>
      </x:c>
      <x:c r="AA239" s="2" t="str">
        <x:v>FITTED</x:v>
      </x:c>
      <x:c r="AB239" s="2" t="str">
        <x:v>-55..155</x:v>
      </x:c>
      <x:c r="AC239" s="14" t="str">
        <x:v>CONTROLLED_PENDING_VERIFICATION</x:v>
      </x:c>
    </x:row>
    <x:row r="240">
      <x:c r="A240" s="2" t="str">
        <x:v>MAIN-010-R101</x:v>
      </x:c>
      <x:c r="B240" s="2" t="str">
        <x:v>PCB-MAIN</x:v>
      </x:c>
      <x:c r="C240" s="14" t="str">
        <x:v>R101</x:v>
      </x:c>
      <x:c r="D240" s="2" t="str">
        <x:v>Resistor</x:v>
      </x:c>
      <x:c r="E240" s="17" t="str">
        <x:v>EOL UART DUT-TX source damping</x:v>
      </x:c>
      <x:c r="F240" s="2" t="str">
        <x:v>Panasonic</x:v>
      </x:c>
      <x:c r="G240" s="2" t="str">
        <x:v>ERJ-2RKF22R0X</x:v>
      </x:c>
      <x:c r="H240" s="2" t="str">
        <x:v>0402</x:v>
      </x:c>
      <x:c r="I240" s="16" t="n">
        <x:v>1</x:v>
      </x:c>
      <x:c r="J240" s="16" t="n">
        <x:v>4</x:v>
      </x:c>
      <x:c r="K240" s="16" t="n">
        <x:v>0</x:v>
      </x:c>
      <x:c r="L240" s="16" t="n">
        <x:v>4</x:v>
      </x:c>
      <x:c r="M240" s="16" t="n">
        <x:v>10</x:v>
      </x:c>
      <x:c r="N240" s="16" t="n">
        <x:v>0</x:v>
      </x:c>
      <x:c r="O240" s="16" t="n">
        <x:v>10</x:v>
      </x:c>
      <x:c r="P240" s="16" t="n">
        <x:v>20</x:v>
      </x:c>
      <x:c r="Q240" s="16" t="n">
        <x:v>0</x:v>
      </x:c>
      <x:c r="R240" s="16" t="n">
        <x:v>20</x:v>
      </x:c>
      <x:c r="S240" s="14" t="str">
        <x:v>NONE</x:v>
      </x:c>
      <x:c r="T240" s="2" t="str">
        <x:v>COMMON</x:v>
      </x:c>
      <x:c r="U240" s="14" t="str">
        <x:v>SELECTED_PENDING_REVIEW_A</x:v>
      </x:c>
      <x:c r="V240" s="17" t="str">
        <x:v>Authorized or traceable tier-1 channel</x:v>
      </x:c>
      <x:c r="W240" s="17" t="str">
        <x:v>Marking MPN package orientation electrical functional sample</x:v>
      </x:c>
      <x:c r="X240" s="17" t="str">
        <x:v>MAIN-AUTH-010 exact capture authority; physical pins: 1=TEST_UART_TX_U1;2=TEST_UART_TX_TP; Fixture input is protected externally</x:v>
      </x:c>
      <x:c r="Y240" s="2" t="str">
        <x:v>22 Ohm 1%</x:v>
      </x:c>
      <x:c r="Z240" s="2" t="str">
        <x:v>ELECTRICAL_COMPONENT</x:v>
      </x:c>
      <x:c r="AA240" s="2" t="str">
        <x:v>FITTED</x:v>
      </x:c>
      <x:c r="AB240" s="2" t="str">
        <x:v>-55..155</x:v>
      </x:c>
      <x:c r="AC240" s="14" t="str">
        <x:v>CONTROLLED_PENDING_VERIFICATION</x:v>
      </x:c>
    </x:row>
    <x:row r="241">
      <x:c r="A241" s="2" t="str">
        <x:v>MAIN-010-R102</x:v>
      </x:c>
      <x:c r="B241" s="2" t="str">
        <x:v>PCB-MAIN</x:v>
      </x:c>
      <x:c r="C241" s="14" t="str">
        <x:v>R102</x:v>
      </x:c>
      <x:c r="D241" s="2" t="str">
        <x:v>Resistor</x:v>
      </x:c>
      <x:c r="E241" s="17" t="str">
        <x:v>EOL UART DUT-RX current limiter</x:v>
      </x:c>
      <x:c r="F241" s="2" t="str">
        <x:v>Panasonic</x:v>
      </x:c>
      <x:c r="G241" s="2" t="str">
        <x:v>ERJ-2RKF1001X</x:v>
      </x:c>
      <x:c r="H241" s="2" t="str">
        <x:v>0402</x:v>
      </x:c>
      <x:c r="I241" s="16" t="n">
        <x:v>1</x:v>
      </x:c>
      <x:c r="J241" s="16" t="n">
        <x:v>4</x:v>
      </x:c>
      <x:c r="K241" s="16" t="n">
        <x:v>0</x:v>
      </x:c>
      <x:c r="L241" s="16" t="n">
        <x:v>4</x:v>
      </x:c>
      <x:c r="M241" s="16" t="n">
        <x:v>10</x:v>
      </x:c>
      <x:c r="N241" s="16" t="n">
        <x:v>0</x:v>
      </x:c>
      <x:c r="O241" s="16" t="n">
        <x:v>10</x:v>
      </x:c>
      <x:c r="P241" s="16" t="n">
        <x:v>20</x:v>
      </x:c>
      <x:c r="Q241" s="16" t="n">
        <x:v>0</x:v>
      </x:c>
      <x:c r="R241" s="16" t="n">
        <x:v>20</x:v>
      </x:c>
      <x:c r="S241" s="14" t="str">
        <x:v>NONE</x:v>
      </x:c>
      <x:c r="T241" s="2" t="str">
        <x:v>COMMON</x:v>
      </x:c>
      <x:c r="U241" s="14" t="str">
        <x:v>SELECTED_PENDING_REVIEW_A</x:v>
      </x:c>
      <x:c r="V241" s="17" t="str">
        <x:v>Authorized or traceable tier-1 channel</x:v>
      </x:c>
      <x:c r="W241" s="17" t="str">
        <x:v>Marking MPN package orientation electrical functional sample</x:v>
      </x:c>
      <x:c r="X241" s="17" t="str">
        <x:v>MAIN-AUTH-010 exact capture authority; physical pins: 1=TEST_UART_RX_TP;2=TEST_UART_RX_U1; Fixture drives only at valid VTREF</x:v>
      </x:c>
      <x:c r="Y241" s="2" t="str">
        <x:v>1 kOhm 1%</x:v>
      </x:c>
      <x:c r="Z241" s="2" t="str">
        <x:v>ELECTRICAL_COMPONENT</x:v>
      </x:c>
      <x:c r="AA241" s="2" t="str">
        <x:v>FITTED</x:v>
      </x:c>
      <x:c r="AB241" s="2" t="str">
        <x:v>-55..155</x:v>
      </x:c>
      <x:c r="AC241" s="14" t="str">
        <x:v>CONTROLLED_PENDING_VERIFICATION</x:v>
      </x:c>
    </x:row>
    <x:row r="242">
      <x:c r="A242" s="2" t="str">
        <x:v>MAIN-010-R103</x:v>
      </x:c>
      <x:c r="B242" s="2" t="str">
        <x:v>PCB-MAIN</x:v>
      </x:c>
      <x:c r="C242" s="14" t="str">
        <x:v>R103</x:v>
      </x:c>
      <x:c r="D242" s="2" t="str">
        <x:v>Resistor</x:v>
      </x:c>
      <x:c r="E242" s="17" t="str">
        <x:v>Intentional connector-to-MCU fault net bridge</x:v>
      </x:c>
      <x:c r="F242" s="2" t="str">
        <x:v>Panasonic</x:v>
      </x:c>
      <x:c r="G242" s="2" t="str">
        <x:v>ERJ-2GE0R00X</x:v>
      </x:c>
      <x:c r="H242" s="2" t="str">
        <x:v>0402</x:v>
      </x:c>
      <x:c r="I242" s="16" t="n">
        <x:v>1</x:v>
      </x:c>
      <x:c r="J242" s="16" t="n">
        <x:v>4</x:v>
      </x:c>
      <x:c r="K242" s="16" t="n">
        <x:v>0</x:v>
      </x:c>
      <x:c r="L242" s="16" t="n">
        <x:v>4</x:v>
      </x:c>
      <x:c r="M242" s="16" t="n">
        <x:v>10</x:v>
      </x:c>
      <x:c r="N242" s="16" t="n">
        <x:v>0</x:v>
      </x:c>
      <x:c r="O242" s="16" t="n">
        <x:v>10</x:v>
      </x:c>
      <x:c r="P242" s="16" t="n">
        <x:v>20</x:v>
      </x:c>
      <x:c r="Q242" s="16" t="n">
        <x:v>0</x:v>
      </x:c>
      <x:c r="R242" s="16" t="n">
        <x:v>20</x:v>
      </x:c>
      <x:c r="S242" s="14" t="str">
        <x:v>NONE</x:v>
      </x:c>
      <x:c r="T242" s="2" t="str">
        <x:v>COMMON</x:v>
      </x:c>
      <x:c r="U242" s="14" t="str">
        <x:v>SELECTED_PENDING_REVIEW_A</x:v>
      </x:c>
      <x:c r="V242" s="17" t="str">
        <x:v>Authorized or traceable tier-1 channel</x:v>
      </x:c>
      <x:c r="W242" s="17" t="str">
        <x:v>Marking MPN package orientation electrical functional sample</x:v>
      </x:c>
      <x:c r="X242" s="17" t="str">
        <x:v>MAIN-AUTH-010 exact capture authority; physical pins: 1=FAULT;2=PWR_FAULT; Resolves frozen J_PWR FAULT name and U1 PWR_FAULT name</x:v>
      </x:c>
      <x:c r="Y242" s="2" t="str">
        <x:v>0 Ohm</x:v>
      </x:c>
      <x:c r="Z242" s="2" t="str">
        <x:v>ELECTRICAL_COMPONENT</x:v>
      </x:c>
      <x:c r="AA242" s="2" t="str">
        <x:v>FITTED</x:v>
      </x:c>
      <x:c r="AB242" s="2" t="str">
        <x:v>-55..155</x:v>
      </x:c>
      <x:c r="AC242" s="14" t="str">
        <x:v>CONTROLLED_PENDING_VERIFICATION</x:v>
      </x:c>
    </x:row>
    <x:row r="243">
      <x:c r="A243" s="2" t="str">
        <x:v>MAIN-010-L1</x:v>
      </x:c>
      <x:c r="B243" s="2" t="str">
        <x:v>PCB-MAIN</x:v>
      </x:c>
      <x:c r="C243" s="14" t="str">
        <x:v>L1</x:v>
      </x:c>
      <x:c r="D243" s="2" t="str">
        <x:v>Inductor</x:v>
      </x:c>
      <x:c r="E243" s="17" t="str">
        <x:v>U1 internal SMPS output inductor</x:v>
      </x:c>
      <x:c r="F243" s="2" t="str">
        <x:v>Murata</x:v>
      </x:c>
      <x:c r="G243" s="2" t="str">
        <x:v>LQH32PN2R2NN0L</x:v>
      </x:c>
      <x:c r="H243" s="2" t="str">
        <x:v>1210</x:v>
      </x:c>
      <x:c r="I243" s="16" t="n">
        <x:v>1</x:v>
      </x:c>
      <x:c r="J243" s="16" t="n">
        <x:v>4</x:v>
      </x:c>
      <x:c r="K243" s="16" t="n">
        <x:v>0</x:v>
      </x:c>
      <x:c r="L243" s="16" t="n">
        <x:v>4</x:v>
      </x:c>
      <x:c r="M243" s="16" t="n">
        <x:v>10</x:v>
      </x:c>
      <x:c r="N243" s="16" t="n">
        <x:v>0</x:v>
      </x:c>
      <x:c r="O243" s="16" t="n">
        <x:v>10</x:v>
      </x:c>
      <x:c r="P243" s="16" t="n">
        <x:v>20</x:v>
      </x:c>
      <x:c r="Q243" s="16" t="n">
        <x:v>0</x:v>
      </x:c>
      <x:c r="R243" s="16" t="n">
        <x:v>20</x:v>
      </x:c>
      <x:c r="S243" s="14" t="str">
        <x:v>NONE</x:v>
      </x:c>
      <x:c r="T243" s="2" t="str">
        <x:v>COMMON</x:v>
      </x:c>
      <x:c r="U243" s="14" t="str">
        <x:v>SELECTED_PENDING_REVIEW_A</x:v>
      </x:c>
      <x:c r="V243" s="17" t="str">
        <x:v>Authorized or traceable tier-1 channel</x:v>
      </x:c>
      <x:c r="W243" s="17" t="str">
        <x:v>Marking MPN package orientation electrical functional sample</x:v>
      </x:c>
      <x:c r="X243" s="17" t="str">
        <x:v>MAIN-AUTH-010 exact capture authority; physical pins: 1=SMPS_SW;2=VCORE_1V1; Isat above 0.5 A and DCR below 200 mOhm</x:v>
      </x:c>
      <x:c r="Y243" s="2" t="str">
        <x:v>2.2 uH 20%</x:v>
      </x:c>
      <x:c r="Z243" s="2" t="str">
        <x:v>ELECTRICAL_COMPONENT</x:v>
      </x:c>
      <x:c r="AA243" s="2" t="str">
        <x:v>FITTED</x:v>
      </x:c>
      <x:c r="AB243" s="2" t="str">
        <x:v>-40..125</x:v>
      </x:c>
      <x:c r="AC243" s="14" t="str">
        <x:v>CONTROLLED_PENDING_VERIFICATION</x:v>
      </x:c>
    </x:row>
    <x:row r="244">
      <x:c r="A244" s="2" t="str">
        <x:v>MAIN-010-L2</x:v>
      </x:c>
      <x:c r="B244" s="2" t="str">
        <x:v>PCB-MAIN</x:v>
      </x:c>
      <x:c r="C244" s="14" t="str">
        <x:v>L2</x:v>
      </x:c>
      <x:c r="D244" s="2" t="str">
        <x:v>Inductor</x:v>
      </x:c>
      <x:c r="E244" s="17" t="str">
        <x:v>Figure 38 RF bias-T injection L3</x:v>
      </x:c>
      <x:c r="F244" s="2" t="str">
        <x:v>Murata</x:v>
      </x:c>
      <x:c r="G244" s="2" t="str">
        <x:v>LQW15AN27NJ00D</x:v>
      </x:c>
      <x:c r="H244" s="2" t="str">
        <x:v>0402</x:v>
      </x:c>
      <x:c r="I244" s="16" t="n">
        <x:v>1</x:v>
      </x:c>
      <x:c r="J244" s="16" t="n">
        <x:v>4</x:v>
      </x:c>
      <x:c r="K244" s="16" t="n">
        <x:v>0</x:v>
      </x:c>
      <x:c r="L244" s="16" t="n">
        <x:v>4</x:v>
      </x:c>
      <x:c r="M244" s="16" t="n">
        <x:v>10</x:v>
      </x:c>
      <x:c r="N244" s="16" t="n">
        <x:v>0</x:v>
      </x:c>
      <x:c r="O244" s="16" t="n">
        <x:v>10</x:v>
      </x:c>
      <x:c r="P244" s="16" t="n">
        <x:v>20</x:v>
      </x:c>
      <x:c r="Q244" s="16" t="n">
        <x:v>0</x:v>
      </x:c>
      <x:c r="R244" s="16" t="n">
        <x:v>20</x:v>
      </x:c>
      <x:c r="S244" s="14" t="str">
        <x:v>NONE</x:v>
      </x:c>
      <x:c r="T244" s="2" t="str">
        <x:v>COMMON</x:v>
      </x:c>
      <x:c r="U244" s="14" t="str">
        <x:v>SELECTED_PENDING_REVIEW_A</x:v>
      </x:c>
      <x:c r="V244" s="17" t="str">
        <x:v>Authorized or traceable tier-1 channel</x:v>
      </x:c>
      <x:c r="W244" s="17" t="str">
        <x:v>Marking MPN package orientation electrical functional sample</x:v>
      </x:c>
      <x:c r="X244" s="17" t="str">
        <x:v>MAIN-AUTH-010 exact capture authority; physical pins: 1=GNSS_ANT_SHORT_N;2=GNSS_RF_ANT_BIASED; Verify impedance above 500 Ohm at GNSS L1 and current above 300 mA</x:v>
      </x:c>
      <x:c r="Y244" s="2" t="str">
        <x:v>27 nH 5%</x:v>
      </x:c>
      <x:c r="Z244" s="2" t="str">
        <x:v>ELECTRICAL_COMPONENT</x:v>
      </x:c>
      <x:c r="AA244" s="2" t="str">
        <x:v>FITTED</x:v>
      </x:c>
      <x:c r="AB244" s="2" t="str">
        <x:v>-40..125</x:v>
      </x:c>
      <x:c r="AC244" s="14" t="str">
        <x:v>CONTROLLED_PENDING_VERIFICATION</x:v>
      </x:c>
    </x:row>
    <x:row r="245">
      <x:c r="A245" s="2" t="str">
        <x:v>MAIN-010-FB1</x:v>
      </x:c>
      <x:c r="B245" s="2" t="str">
        <x:v>PCB-MAIN</x:v>
      </x:c>
      <x:c r="C245" s="14" t="str">
        <x:v>FB1</x:v>
      </x:c>
      <x:c r="D245" s="2" t="str">
        <x:v>Ferrite_Bead</x:v>
      </x:c>
      <x:c r="E245" s="17" t="str">
        <x:v>U8 VBAT_BB star branch ferrite</x:v>
      </x:c>
      <x:c r="F245" s="2" t="str">
        <x:v>Murata</x:v>
      </x:c>
      <x:c r="G245" s="2" t="str">
        <x:v>BLM31KN601SN1L</x:v>
      </x:c>
      <x:c r="H245" s="2" t="str">
        <x:v>1206</x:v>
      </x:c>
      <x:c r="I245" s="16" t="n">
        <x:v>1</x:v>
      </x:c>
      <x:c r="J245" s="16" t="n">
        <x:v>4</x:v>
      </x:c>
      <x:c r="K245" s="16" t="n">
        <x:v>0</x:v>
      </x:c>
      <x:c r="L245" s="16" t="n">
        <x:v>4</x:v>
      </x:c>
      <x:c r="M245" s="16" t="n">
        <x:v>10</x:v>
      </x:c>
      <x:c r="N245" s="16" t="n">
        <x:v>0</x:v>
      </x:c>
      <x:c r="O245" s="16" t="n">
        <x:v>10</x:v>
      </x:c>
      <x:c r="P245" s="16" t="n">
        <x:v>20</x:v>
      </x:c>
      <x:c r="Q245" s="16" t="n">
        <x:v>0</x:v>
      </x:c>
      <x:c r="R245" s="16" t="n">
        <x:v>20</x:v>
      </x:c>
      <x:c r="S245" s="14" t="str">
        <x:v>NONE</x:v>
      </x:c>
      <x:c r="T245" s="2" t="str">
        <x:v>COMMON</x:v>
      </x:c>
      <x:c r="U245" s="14" t="str">
        <x:v>SELECTED_PENDING_REVIEW_A</x:v>
      </x:c>
      <x:c r="V245" s="17" t="str">
        <x:v>Authorized or traceable tier-1 channel</x:v>
      </x:c>
      <x:c r="W245" s="17" t="str">
        <x:v>Marking MPN package orientation electrical functional sample</x:v>
      </x:c>
      <x:c r="X245" s="17" t="str">
        <x:v>MAIN-AUTH-010 exact capture authority; physical pins: 1=3V8_MODEM;2=3V8_MODEM_BB; Review A must verify low DCR current margin and at least 800 Ohm from 700 to 960 MHz</x:v>
      </x:c>
      <x:c r="Y245" s="2" t="str">
        <x:v>600 Ohm at 100 MHz</x:v>
      </x:c>
      <x:c r="Z245" s="2" t="str">
        <x:v>ELECTRICAL_COMPONENT</x:v>
      </x:c>
      <x:c r="AA245" s="2" t="str">
        <x:v>FITTED</x:v>
      </x:c>
      <x:c r="AB245" s="2" t="str">
        <x:v>-55..125</x:v>
      </x:c>
      <x:c r="AC245" s="14" t="str">
        <x:v>CONTROLLED_PENDING_VERIFICATION</x:v>
      </x:c>
    </x:row>
    <x:row r="246">
      <x:c r="A246" s="2" t="str">
        <x:v>MAIN-010-FL1</x:v>
      </x:c>
      <x:c r="B246" s="2" t="str">
        <x:v>PCB-MAIN</x:v>
      </x:c>
      <x:c r="C246" s="14" t="str">
        <x:v>FL1</x:v>
      </x:c>
      <x:c r="D246" s="2" t="str">
        <x:v>SAW_Filter</x:v>
      </x:c>
      <x:c r="E246" s="17" t="str">
        <x:v>External cellular-immunity SAW before U9 RF_IN</x:v>
      </x:c>
      <x:c r="F246" s="2" t="str">
        <x:v>Abracon</x:v>
      </x:c>
      <x:c r="G246" s="2" t="str">
        <x:v>ABSES5AF-L100KM</x:v>
      </x:c>
      <x:c r="H246" s="2" t="str">
        <x:v>1109-5</x:v>
      </x:c>
      <x:c r="I246" s="16" t="n">
        <x:v>1</x:v>
      </x:c>
      <x:c r="J246" s="16" t="n">
        <x:v>4</x:v>
      </x:c>
      <x:c r="K246" s="16" t="n">
        <x:v>0</x:v>
      </x:c>
      <x:c r="L246" s="16" t="n">
        <x:v>4</x:v>
      </x:c>
      <x:c r="M246" s="16" t="n">
        <x:v>10</x:v>
      </x:c>
      <x:c r="N246" s="16" t="n">
        <x:v>0</x:v>
      </x:c>
      <x:c r="O246" s="16" t="n">
        <x:v>10</x:v>
      </x:c>
      <x:c r="P246" s="16" t="n">
        <x:v>20</x:v>
      </x:c>
      <x:c r="Q246" s="16" t="n">
        <x:v>0</x:v>
      </x:c>
      <x:c r="R246" s="16" t="n">
        <x:v>20</x:v>
      </x:c>
      <x:c r="S246" s="14" t="str">
        <x:v>NONE</x:v>
      </x:c>
      <x:c r="T246" s="2" t="str">
        <x:v>COMMON</x:v>
      </x:c>
      <x:c r="U246" s="14" t="str">
        <x:v>SELECTED_PENDING_REVIEW_A</x:v>
      </x:c>
      <x:c r="V246" s="17" t="str">
        <x:v>Authorized or traceable tier-1 channel</x:v>
      </x:c>
      <x:c r="W246" s="17" t="str">
        <x:v>Marking MPN package orientation electrical functional sample</x:v>
      </x:c>
      <x:c r="X246" s="17" t="str">
        <x:v>MAIN-AUTH-010 exact capture authority; physical pins: C=GNSS_RF_DC_BLOCK;A=GNSS_RF_FILTERED;B=GND;D=GND;E=GND; Passband covers 1559.05 to 1605.66 MHz</x:v>
      </x:c>
      <x:c r="Y246" s="2" t="str">
        <x:v>1582.4 MHz wideband GNSS SAW</x:v>
      </x:c>
      <x:c r="Z246" s="2" t="str">
        <x:v>ELECTRICAL_COMPONENT</x:v>
      </x:c>
      <x:c r="AA246" s="2" t="str">
        <x:v>FITTED</x:v>
      </x:c>
      <x:c r="AB246" s="2" t="str">
        <x:v>-40..85</x:v>
      </x:c>
      <x:c r="AC246" s="14" t="str">
        <x:v>CONTROLLED_PENDING_VERIFICATION</x:v>
      </x:c>
    </x:row>
    <x:row r="247">
      <x:c r="A247" s="2" t="str">
        <x:v>MAIN-010-U5</x:v>
      </x:c>
      <x:c r="B247" s="2" t="str">
        <x:v>PCB-MAIN</x:v>
      </x:c>
      <x:c r="C247" s="14" t="str">
        <x:v>U5</x:v>
      </x:c>
      <x:c r="D247" s="2" t="str">
        <x:v>Operational_Amplifier</x:v>
      </x:c>
      <x:c r="E247" s="17" t="str">
        <x:v>Figure 38 active-antenna open-detect comparator</x:v>
      </x:c>
      <x:c r="F247" s="2" t="str">
        <x:v>Analog Devices</x:v>
      </x:c>
      <x:c r="G247" s="2" t="str">
        <x:v>LT6000IDCB#TRMPBF</x:v>
      </x:c>
      <x:c r="H247" s="2" t="str">
        <x:v>DFN-6_DCB_2x3mm</x:v>
      </x:c>
      <x:c r="I247" s="16" t="n">
        <x:v>1</x:v>
      </x:c>
      <x:c r="J247" s="16" t="n">
        <x:v>4</x:v>
      </x:c>
      <x:c r="K247" s="16" t="n">
        <x:v>0</x:v>
      </x:c>
      <x:c r="L247" s="16" t="n">
        <x:v>4</x:v>
      </x:c>
      <x:c r="M247" s="16" t="n">
        <x:v>10</x:v>
      </x:c>
      <x:c r="N247" s="16" t="n">
        <x:v>0</x:v>
      </x:c>
      <x:c r="O247" s="16" t="n">
        <x:v>10</x:v>
      </x:c>
      <x:c r="P247" s="16" t="n">
        <x:v>20</x:v>
      </x:c>
      <x:c r="Q247" s="16" t="n">
        <x:v>0</x:v>
      </x:c>
      <x:c r="R247" s="16" t="n">
        <x:v>20</x:v>
      </x:c>
      <x:c r="S247" s="14" t="str">
        <x:v>NONE</x:v>
      </x:c>
      <x:c r="T247" s="2" t="str">
        <x:v>COMMON</x:v>
      </x:c>
      <x:c r="U247" s="14" t="str">
        <x:v>SELECTED_PENDING_REVIEW_A</x:v>
      </x:c>
      <x:c r="V247" s="17" t="str">
        <x:v>Authorized or traceable tier-1 channel</x:v>
      </x:c>
      <x:c r="W247" s="17" t="str">
        <x:v>Marking MPN package orientation electrical functional sample</x:v>
      </x:c>
      <x:c r="X247" s="17" t="str">
        <x:v>MAIN-AUTH-010 exact capture authority; physical pins: 1=GNSS_ANT_DIV;2=GNSS_ANT_SHORT_N;3=GNSS_ANT_BIAS_RAW;4=GNSS_ANT_BIAS_RAW;5=GND;6=GNSS_ANT_DETECT;EP=GND; SHDN pin 3 is held enabled at the local antenna bias supply</x:v>
      </x:c>
      <x:c r="Y247" s="2" t="str">
        <x:v>Single rail-to-rail low-power op amp</x:v>
      </x:c>
      <x:c r="Z247" s="2" t="str">
        <x:v>ELECTRICAL_COMPONENT</x:v>
      </x:c>
      <x:c r="AA247" s="2" t="str">
        <x:v>FITTED</x:v>
      </x:c>
      <x:c r="AB247" s="2" t="str">
        <x:v>-40..85</x:v>
      </x:c>
      <x:c r="AC247" s="14" t="str">
        <x:v>CONTROLLED_PENDING_VERIFICATION</x:v>
      </x:c>
    </x:row>
    <x:row r="248">
      <x:c r="A248" s="2" t="str">
        <x:v>MAIN-010-U6</x:v>
      </x:c>
      <x:c r="B248" s="2" t="str">
        <x:v>PCB-MAIN</x:v>
      </x:c>
      <x:c r="C248" s="14" t="str">
        <x:v>U6</x:v>
      </x:c>
      <x:c r="D248" s="2" t="str">
        <x:v>Open_Drain_Buffer</x:v>
      </x:c>
      <x:c r="E248" s="17" t="str">
        <x:v>Fail-closed BLE reset buffer</x:v>
      </x:c>
      <x:c r="F248" s="2" t="str">
        <x:v>Texas Instruments</x:v>
      </x:c>
      <x:c r="G248" s="2" t="str">
        <x:v>SN74LVC1G07DBVR</x:v>
      </x:c>
      <x:c r="H248" s="2" t="str">
        <x:v>SOT-23-5_DBV</x:v>
      </x:c>
      <x:c r="I248" s="16" t="n">
        <x:v>1</x:v>
      </x:c>
      <x:c r="J248" s="16" t="n">
        <x:v>4</x:v>
      </x:c>
      <x:c r="K248" s="16" t="n">
        <x:v>0</x:v>
      </x:c>
      <x:c r="L248" s="16" t="n">
        <x:v>4</x:v>
      </x:c>
      <x:c r="M248" s="16" t="n">
        <x:v>10</x:v>
      </x:c>
      <x:c r="N248" s="16" t="n">
        <x:v>0</x:v>
      </x:c>
      <x:c r="O248" s="16" t="n">
        <x:v>10</x:v>
      </x:c>
      <x:c r="P248" s="16" t="n">
        <x:v>20</x:v>
      </x:c>
      <x:c r="Q248" s="16" t="n">
        <x:v>0</x:v>
      </x:c>
      <x:c r="R248" s="16" t="n">
        <x:v>20</x:v>
      </x:c>
      <x:c r="S248" s="14" t="str">
        <x:v>NONE</x:v>
      </x:c>
      <x:c r="T248" s="2" t="str">
        <x:v>COMMON</x:v>
      </x:c>
      <x:c r="U248" s="14" t="str">
        <x:v>SELECTED_PENDING_REVIEW_A</x:v>
      </x:c>
      <x:c r="V248" s="17" t="str">
        <x:v>Authorized or traceable tier-1 channel</x:v>
      </x:c>
      <x:c r="W248" s="17" t="str">
        <x:v>Marking MPN package orientation electrical functional sample</x:v>
      </x:c>
      <x:c r="X248" s="17" t="str">
        <x:v>MAIN-AUTH-010 exact capture authority; physical pins: 1=NC;2=BLE_EN;3=GND;4=NRF_RESET_N;5=3V3_DIGITAL; R77 and R78 define deterministic reset behavior</x:v>
      </x:c>
      <x:c r="Y248" s="2" t="str">
        <x:v>Single non-inverting open-drain buffer</x:v>
      </x:c>
      <x:c r="Z248" s="2" t="str">
        <x:v>ELECTRICAL_COMPONENT</x:v>
      </x:c>
      <x:c r="AA248" s="2" t="str">
        <x:v>FITTED</x:v>
      </x:c>
      <x:c r="AB248" s="2" t="str">
        <x:v>-40..125</x:v>
      </x:c>
      <x:c r="AC248" s="14" t="str">
        <x:v>CONTROLLED_PENDING_VERIFICATION</x:v>
      </x:c>
    </x:row>
    <x:row r="249">
      <x:c r="A249" s="2" t="str">
        <x:v>MAIN-010-Q4</x:v>
      </x:c>
      <x:c r="B249" s="2" t="str">
        <x:v>PCB-MAIN</x:v>
      </x:c>
      <x:c r="C249" s="14" t="str">
        <x:v>Q4</x:v>
      </x:c>
      <x:c r="D249" s="2" t="str">
        <x:v>Dual_MOSFET</x:v>
      </x:c>
      <x:c r="E249" s="17" t="str">
        <x:v>Figure 38 T1 P-channel plus T2 N-channel antenna supply switch</x:v>
      </x:c>
      <x:c r="F249" s="2" t="str">
        <x:v>Vishay</x:v>
      </x:c>
      <x:c r="G249" s="2" t="str">
        <x:v>Si1016X-T1-GE3</x:v>
      </x:c>
      <x:c r="H249" s="2" t="str">
        <x:v>SOT-563_SC-89</x:v>
      </x:c>
      <x:c r="I249" s="16" t="n">
        <x:v>1</x:v>
      </x:c>
      <x:c r="J249" s="16" t="n">
        <x:v>4</x:v>
      </x:c>
      <x:c r="K249" s="16" t="n">
        <x:v>0</x:v>
      </x:c>
      <x:c r="L249" s="16" t="n">
        <x:v>4</x:v>
      </x:c>
      <x:c r="M249" s="16" t="n">
        <x:v>10</x:v>
      </x:c>
      <x:c r="N249" s="16" t="n">
        <x:v>0</x:v>
      </x:c>
      <x:c r="O249" s="16" t="n">
        <x:v>10</x:v>
      </x:c>
      <x:c r="P249" s="16" t="n">
        <x:v>20</x:v>
      </x:c>
      <x:c r="Q249" s="16" t="n">
        <x:v>0</x:v>
      </x:c>
      <x:c r="R249" s="16" t="n">
        <x:v>20</x:v>
      </x:c>
      <x:c r="S249" s="14" t="str">
        <x:v>NONE</x:v>
      </x:c>
      <x:c r="T249" s="2" t="str">
        <x:v>COMMON</x:v>
      </x:c>
      <x:c r="U249" s="14" t="str">
        <x:v>SELECTED_PENDING_REVIEW_A</x:v>
      </x:c>
      <x:c r="V249" s="17" t="str">
        <x:v>Authorized or traceable tier-1 channel</x:v>
      </x:c>
      <x:c r="W249" s="17" t="str">
        <x:v>Marking MPN package orientation electrical functional sample</x:v>
      </x:c>
      <x:c r="X249" s="17" t="str">
        <x:v>MAIN-AUTH-010 exact capture authority; physical pins: 1=GND;2=GNSS_ANT_OFF_N;3=GNSS_ANT_SWITCHED;4=GNSS_ANT_BIAS_RAW;5=GNSS_ANT_GATE;6=GNSS_ANT_GATE; Channel1 N source-gate-drain pins 1-2-6 and channel2 P drain-source-gate pins 3-4-5</x:v>
      </x:c>
      <x:c r="Y249" s="2" t="str">
        <x:v>Complementary N and P channel 20 V</x:v>
      </x:c>
      <x:c r="Z249" s="2" t="str">
        <x:v>ELECTRICAL_COMPONENT</x:v>
      </x:c>
      <x:c r="AA249" s="2" t="str">
        <x:v>FITTED</x:v>
      </x:c>
      <x:c r="AB249" s="2" t="str">
        <x:v>-55..150</x:v>
      </x:c>
      <x:c r="AC249" s="14" t="str">
        <x:v>CONTROLLED_PENDING_VERIFICATION</x:v>
      </x:c>
    </x:row>
    <x:row r="250">
      <x:c r="A250" s="2" t="str">
        <x:v>MAIN-010-U19</x:v>
      </x:c>
      <x:c r="B250" s="2" t="str">
        <x:v>PCB-MAIN</x:v>
      </x:c>
      <x:c r="C250" s="14" t="str">
        <x:v>U19</x:v>
      </x:c>
      <x:c r="D250" s="2" t="str">
        <x:v>ESD_Array</x:v>
      </x:c>
      <x:c r="E250" s="17" t="str">
        <x:v>J_MIC1 connector-side four-signal ESD shunt</x:v>
      </x:c>
      <x:c r="F250" s="2" t="str">
        <x:v>Texas Instruments</x:v>
      </x:c>
      <x:c r="G250" s="2" t="str">
        <x:v>TPD4E05U06DQAR</x:v>
      </x:c>
      <x:c r="H250" s="2" t="str">
        <x:v>USON-10_DQA</x:v>
      </x:c>
      <x:c r="I250" s="16" t="n">
        <x:v>1</x:v>
      </x:c>
      <x:c r="J250" s="16" t="n">
        <x:v>4</x:v>
      </x:c>
      <x:c r="K250" s="16" t="n">
        <x:v>0</x:v>
      </x:c>
      <x:c r="L250" s="16" t="n">
        <x:v>4</x:v>
      </x:c>
      <x:c r="M250" s="16" t="n">
        <x:v>10</x:v>
      </x:c>
      <x:c r="N250" s="16" t="n">
        <x:v>0</x:v>
      </x:c>
      <x:c r="O250" s="16" t="n">
        <x:v>10</x:v>
      </x:c>
      <x:c r="P250" s="16" t="n">
        <x:v>20</x:v>
      </x:c>
      <x:c r="Q250" s="16" t="n">
        <x:v>0</x:v>
      </x:c>
      <x:c r="R250" s="16" t="n">
        <x:v>20</x:v>
      </x:c>
      <x:c r="S250" s="14" t="str">
        <x:v>NONE</x:v>
      </x:c>
      <x:c r="T250" s="2" t="str">
        <x:v>COMMON</x:v>
      </x:c>
      <x:c r="U250" s="14" t="str">
        <x:v>SELECTED_PENDING_REVIEW_A</x:v>
      </x:c>
      <x:c r="V250" s="17" t="str">
        <x:v>Authorized or traceable tier-1 channel</x:v>
      </x:c>
      <x:c r="W250" s="17" t="str">
        <x:v>Marking MPN package orientation electrical functional sample</x:v>
      </x:c>
      <x:c r="X250" s="17" t="str">
        <x:v>MAIN-AUTH-010 exact capture authority; physical pins: 1=PDM_CLK_1V8_FANOUT;2=PDM_DATA1_1V8;3=GND;4=MIC_WAKE1;5=AAD_CFG_1V8_FANOUT;6=NC;7=NC;8=GND;9=NC;10=NC; No series pass-through inside device</x:v>
      </x:c>
      <x:c r="Y250" s="2" t="str">
        <x:v>4 channel 0.5 pF ESD</x:v>
      </x:c>
      <x:c r="Z250" s="2" t="str">
        <x:v>ELECTRICAL_COMPONENT</x:v>
      </x:c>
      <x:c r="AA250" s="2" t="str">
        <x:v>FITTED</x:v>
      </x:c>
      <x:c r="AB250" s="2" t="str">
        <x:v>-40..125</x:v>
      </x:c>
      <x:c r="AC250" s="14" t="str">
        <x:v>CONTROLLED_PENDING_VERIFICATION</x:v>
      </x:c>
    </x:row>
    <x:row r="251">
      <x:c r="A251" s="2" t="str">
        <x:v>MAIN-010-U20</x:v>
      </x:c>
      <x:c r="B251" s="2" t="str">
        <x:v>PCB-MAIN</x:v>
      </x:c>
      <x:c r="C251" s="14" t="str">
        <x:v>U20</x:v>
      </x:c>
      <x:c r="D251" s="2" t="str">
        <x:v>ESD_Array</x:v>
      </x:c>
      <x:c r="E251" s="17" t="str">
        <x:v>J_MIC2 connector-side four-signal ESD shunt</x:v>
      </x:c>
      <x:c r="F251" s="2" t="str">
        <x:v>Texas Instruments</x:v>
      </x:c>
      <x:c r="G251" s="2" t="str">
        <x:v>TPD4E05U06DQAR</x:v>
      </x:c>
      <x:c r="H251" s="2" t="str">
        <x:v>USON-10_DQA</x:v>
      </x:c>
      <x:c r="I251" s="16" t="n">
        <x:v>1</x:v>
      </x:c>
      <x:c r="J251" s="16" t="n">
        <x:v>4</x:v>
      </x:c>
      <x:c r="K251" s="16" t="n">
        <x:v>0</x:v>
      </x:c>
      <x:c r="L251" s="16" t="n">
        <x:v>4</x:v>
      </x:c>
      <x:c r="M251" s="16" t="n">
        <x:v>10</x:v>
      </x:c>
      <x:c r="N251" s="16" t="n">
        <x:v>0</x:v>
      </x:c>
      <x:c r="O251" s="16" t="n">
        <x:v>10</x:v>
      </x:c>
      <x:c r="P251" s="16" t="n">
        <x:v>20</x:v>
      </x:c>
      <x:c r="Q251" s="16" t="n">
        <x:v>0</x:v>
      </x:c>
      <x:c r="R251" s="16" t="n">
        <x:v>20</x:v>
      </x:c>
      <x:c r="S251" s="14" t="str">
        <x:v>NONE</x:v>
      </x:c>
      <x:c r="T251" s="2" t="str">
        <x:v>COMMON</x:v>
      </x:c>
      <x:c r="U251" s="14" t="str">
        <x:v>SELECTED_PENDING_REVIEW_A</x:v>
      </x:c>
      <x:c r="V251" s="17" t="str">
        <x:v>Authorized or traceable tier-1 channel</x:v>
      </x:c>
      <x:c r="W251" s="17" t="str">
        <x:v>Marking MPN package orientation electrical functional sample</x:v>
      </x:c>
      <x:c r="X251" s="17" t="str">
        <x:v>MAIN-AUTH-010 exact capture authority; physical pins: 1=PDM_CLK_1V8_FANOUT;2=PDM_DATA2_1V8;3=GND;4=MIC_WAKE2;5=AAD_CFG_1V8_FANOUT;6=NC;7=NC;8=GND;9=NC;10=NC; No series pass-through inside device</x:v>
      </x:c>
      <x:c r="Y251" s="2" t="str">
        <x:v>4 channel 0.5 pF ESD</x:v>
      </x:c>
      <x:c r="Z251" s="2" t="str">
        <x:v>ELECTRICAL_COMPONENT</x:v>
      </x:c>
      <x:c r="AA251" s="2" t="str">
        <x:v>FITTED</x:v>
      </x:c>
      <x:c r="AB251" s="2" t="str">
        <x:v>-40..125</x:v>
      </x:c>
      <x:c r="AC251" s="14" t="str">
        <x:v>CONTROLLED_PENDING_VERIFICATION</x:v>
      </x:c>
    </x:row>
    <x:row r="252">
      <x:c r="A252" s="2" t="str">
        <x:v>MAIN-010-U21</x:v>
      </x:c>
      <x:c r="B252" s="2" t="str">
        <x:v>PCB-MAIN</x:v>
      </x:c>
      <x:c r="C252" s="14" t="str">
        <x:v>U21</x:v>
      </x:c>
      <x:c r="D252" s="2" t="str">
        <x:v>ESD_Array</x:v>
      </x:c>
      <x:c r="E252" s="17" t="str">
        <x:v>J_MIC3 connector-side four-signal ESD shunt</x:v>
      </x:c>
      <x:c r="F252" s="2" t="str">
        <x:v>Texas Instruments</x:v>
      </x:c>
      <x:c r="G252" s="2" t="str">
        <x:v>TPD4E05U06DQAR</x:v>
      </x:c>
      <x:c r="H252" s="2" t="str">
        <x:v>USON-10_DQA</x:v>
      </x:c>
      <x:c r="I252" s="16" t="n">
        <x:v>1</x:v>
      </x:c>
      <x:c r="J252" s="16" t="n">
        <x:v>4</x:v>
      </x:c>
      <x:c r="K252" s="16" t="n">
        <x:v>0</x:v>
      </x:c>
      <x:c r="L252" s="16" t="n">
        <x:v>4</x:v>
      </x:c>
      <x:c r="M252" s="16" t="n">
        <x:v>10</x:v>
      </x:c>
      <x:c r="N252" s="16" t="n">
        <x:v>0</x:v>
      </x:c>
      <x:c r="O252" s="16" t="n">
        <x:v>10</x:v>
      </x:c>
      <x:c r="P252" s="16" t="n">
        <x:v>20</x:v>
      </x:c>
      <x:c r="Q252" s="16" t="n">
        <x:v>0</x:v>
      </x:c>
      <x:c r="R252" s="16" t="n">
        <x:v>20</x:v>
      </x:c>
      <x:c r="S252" s="14" t="str">
        <x:v>NONE</x:v>
      </x:c>
      <x:c r="T252" s="2" t="str">
        <x:v>COMMON</x:v>
      </x:c>
      <x:c r="U252" s="14" t="str">
        <x:v>SELECTED_PENDING_REVIEW_A</x:v>
      </x:c>
      <x:c r="V252" s="17" t="str">
        <x:v>Authorized or traceable tier-1 channel</x:v>
      </x:c>
      <x:c r="W252" s="17" t="str">
        <x:v>Marking MPN package orientation electrical functional sample</x:v>
      </x:c>
      <x:c r="X252" s="17" t="str">
        <x:v>MAIN-AUTH-010 exact capture authority; physical pins: 1=PDM_CLK_1V8_FANOUT;2=PDM_DATA3_1V8;3=GND;4=MIC_WAKE3;5=AAD_CFG_1V8_FANOUT;6=NC;7=NC;8=GND;9=NC;10=NC; No series pass-through inside device</x:v>
      </x:c>
      <x:c r="Y252" s="2" t="str">
        <x:v>4 channel 0.5 pF ESD</x:v>
      </x:c>
      <x:c r="Z252" s="2" t="str">
        <x:v>ELECTRICAL_COMPONENT</x:v>
      </x:c>
      <x:c r="AA252" s="2" t="str">
        <x:v>FITTED</x:v>
      </x:c>
      <x:c r="AB252" s="2" t="str">
        <x:v>-40..125</x:v>
      </x:c>
      <x:c r="AC252" s="14" t="str">
        <x:v>CONTROLLED_PENDING_VERIFICATION</x:v>
      </x:c>
    </x:row>
    <x:row r="253">
      <x:c r="A253" s="2" t="str">
        <x:v>MAIN-010-U22</x:v>
      </x:c>
      <x:c r="B253" s="2" t="str">
        <x:v>PCB-MAIN</x:v>
      </x:c>
      <x:c r="C253" s="14" t="str">
        <x:v>U22</x:v>
      </x:c>
      <x:c r="D253" s="2" t="str">
        <x:v>ESD_Array</x:v>
      </x:c>
      <x:c r="E253" s="17" t="str">
        <x:v>J_MIC4 connector-side four-signal ESD shunt</x:v>
      </x:c>
      <x:c r="F253" s="2" t="str">
        <x:v>Texas Instruments</x:v>
      </x:c>
      <x:c r="G253" s="2" t="str">
        <x:v>TPD4E05U06DQAR</x:v>
      </x:c>
      <x:c r="H253" s="2" t="str">
        <x:v>USON-10_DQA</x:v>
      </x:c>
      <x:c r="I253" s="16" t="n">
        <x:v>1</x:v>
      </x:c>
      <x:c r="J253" s="16" t="n">
        <x:v>4</x:v>
      </x:c>
      <x:c r="K253" s="16" t="n">
        <x:v>0</x:v>
      </x:c>
      <x:c r="L253" s="16" t="n">
        <x:v>4</x:v>
      </x:c>
      <x:c r="M253" s="16" t="n">
        <x:v>10</x:v>
      </x:c>
      <x:c r="N253" s="16" t="n">
        <x:v>0</x:v>
      </x:c>
      <x:c r="O253" s="16" t="n">
        <x:v>10</x:v>
      </x:c>
      <x:c r="P253" s="16" t="n">
        <x:v>20</x:v>
      </x:c>
      <x:c r="Q253" s="16" t="n">
        <x:v>0</x:v>
      </x:c>
      <x:c r="R253" s="16" t="n">
        <x:v>20</x:v>
      </x:c>
      <x:c r="S253" s="14" t="str">
        <x:v>NONE</x:v>
      </x:c>
      <x:c r="T253" s="2" t="str">
        <x:v>COMMON</x:v>
      </x:c>
      <x:c r="U253" s="14" t="str">
        <x:v>SELECTED_PENDING_REVIEW_A</x:v>
      </x:c>
      <x:c r="V253" s="17" t="str">
        <x:v>Authorized or traceable tier-1 channel</x:v>
      </x:c>
      <x:c r="W253" s="17" t="str">
        <x:v>Marking MPN package orientation electrical functional sample</x:v>
      </x:c>
      <x:c r="X253" s="17" t="str">
        <x:v>MAIN-AUTH-010 exact capture authority; physical pins: 1=PDM_CLK_1V8_FANOUT;2=PDM_DATA4_1V8;3=GND;4=MIC_WAKE4;5=AAD_CFG_1V8_FANOUT;6=NC;7=NC;8=GND;9=NC;10=NC; No series pass-through inside device</x:v>
      </x:c>
      <x:c r="Y253" s="2" t="str">
        <x:v>4 channel 0.5 pF ESD</x:v>
      </x:c>
      <x:c r="Z253" s="2" t="str">
        <x:v>ELECTRICAL_COMPONENT</x:v>
      </x:c>
      <x:c r="AA253" s="2" t="str">
        <x:v>FITTED</x:v>
      </x:c>
      <x:c r="AB253" s="2" t="str">
        <x:v>-40..125</x:v>
      </x:c>
      <x:c r="AC253" s="14" t="str">
        <x:v>CONTROLLED_PENDING_VERIFICATION</x:v>
      </x:c>
    </x:row>
    <x:row r="254">
      <x:c r="A254" s="2" t="str">
        <x:v>MAIN-010-U23</x:v>
      </x:c>
      <x:c r="B254" s="2" t="str">
        <x:v>PCB-MAIN</x:v>
      </x:c>
      <x:c r="C254" s="14" t="str">
        <x:v>U23</x:v>
      </x:c>
      <x:c r="D254" s="2" t="str">
        <x:v>ESD_Array</x:v>
      </x:c>
      <x:c r="E254" s="17" t="str">
        <x:v>J12 DAT2 DAT3 CMD and CLK connector-side ESD shunt</x:v>
      </x:c>
      <x:c r="F254" s="2" t="str">
        <x:v>Texas Instruments</x:v>
      </x:c>
      <x:c r="G254" s="2" t="str">
        <x:v>TPD4E05U06DQAR</x:v>
      </x:c>
      <x:c r="H254" s="2" t="str">
        <x:v>USON-10_DQA</x:v>
      </x:c>
      <x:c r="I254" s="16" t="n">
        <x:v>1</x:v>
      </x:c>
      <x:c r="J254" s="16" t="n">
        <x:v>4</x:v>
      </x:c>
      <x:c r="K254" s="16" t="n">
        <x:v>0</x:v>
      </x:c>
      <x:c r="L254" s="16" t="n">
        <x:v>4</x:v>
      </x:c>
      <x:c r="M254" s="16" t="n">
        <x:v>10</x:v>
      </x:c>
      <x:c r="N254" s="16" t="n">
        <x:v>0</x:v>
      </x:c>
      <x:c r="O254" s="16" t="n">
        <x:v>10</x:v>
      </x:c>
      <x:c r="P254" s="16" t="n">
        <x:v>20</x:v>
      </x:c>
      <x:c r="Q254" s="16" t="n">
        <x:v>0</x:v>
      </x:c>
      <x:c r="R254" s="16" t="n">
        <x:v>20</x:v>
      </x:c>
      <x:c r="S254" s="14" t="str">
        <x:v>NONE</x:v>
      </x:c>
      <x:c r="T254" s="2" t="str">
        <x:v>COMMON</x:v>
      </x:c>
      <x:c r="U254" s="14" t="str">
        <x:v>SELECTED_PENDING_REVIEW_A</x:v>
      </x:c>
      <x:c r="V254" s="17" t="str">
        <x:v>Authorized or traceable tier-1 channel</x:v>
      </x:c>
      <x:c r="W254" s="17" t="str">
        <x:v>Marking MPN package orientation electrical functional sample</x:v>
      </x:c>
      <x:c r="X254" s="17" t="str">
        <x:v>MAIN-AUTH-010 exact capture authority; physical pins: 1=SD_D2_CARD;2=SD_D3_CARD;3=GND;4=SD_CMD_CARD;5=SD_CK_CARD;6=NC;7=NC;8=GND;9=NC;10=NC; Place adjacent to J12</x:v>
      </x:c>
      <x:c r="Y254" s="2" t="str">
        <x:v>4 channel 0.5 pF ESD</x:v>
      </x:c>
      <x:c r="Z254" s="2" t="str">
        <x:v>ELECTRICAL_COMPONENT</x:v>
      </x:c>
      <x:c r="AA254" s="2" t="str">
        <x:v>FITTED</x:v>
      </x:c>
      <x:c r="AB254" s="2" t="str">
        <x:v>-40..125</x:v>
      </x:c>
      <x:c r="AC254" s="14" t="str">
        <x:v>CONTROLLED_PENDING_VERIFICATION</x:v>
      </x:c>
    </x:row>
    <x:row r="255">
      <x:c r="A255" s="2" t="str">
        <x:v>MAIN-010-U24</x:v>
      </x:c>
      <x:c r="B255" s="2" t="str">
        <x:v>PCB-MAIN</x:v>
      </x:c>
      <x:c r="C255" s="14" t="str">
        <x:v>U24</x:v>
      </x:c>
      <x:c r="D255" s="2" t="str">
        <x:v>ESD_Array</x:v>
      </x:c>
      <x:c r="E255" s="17" t="str">
        <x:v>J12 DAT0 DAT1 and detect connector-side ESD shunt</x:v>
      </x:c>
      <x:c r="F255" s="2" t="str">
        <x:v>Texas Instruments</x:v>
      </x:c>
      <x:c r="G255" s="2" t="str">
        <x:v>TPD4E05U06DQAR</x:v>
      </x:c>
      <x:c r="H255" s="2" t="str">
        <x:v>USON-10_DQA</x:v>
      </x:c>
      <x:c r="I255" s="16" t="n">
        <x:v>1</x:v>
      </x:c>
      <x:c r="J255" s="16" t="n">
        <x:v>4</x:v>
      </x:c>
      <x:c r="K255" s="16" t="n">
        <x:v>0</x:v>
      </x:c>
      <x:c r="L255" s="16" t="n">
        <x:v>4</x:v>
      </x:c>
      <x:c r="M255" s="16" t="n">
        <x:v>10</x:v>
      </x:c>
      <x:c r="N255" s="16" t="n">
        <x:v>0</x:v>
      </x:c>
      <x:c r="O255" s="16" t="n">
        <x:v>10</x:v>
      </x:c>
      <x:c r="P255" s="16" t="n">
        <x:v>20</x:v>
      </x:c>
      <x:c r="Q255" s="16" t="n">
        <x:v>0</x:v>
      </x:c>
      <x:c r="R255" s="16" t="n">
        <x:v>20</x:v>
      </x:c>
      <x:c r="S255" s="14" t="str">
        <x:v>NONE</x:v>
      </x:c>
      <x:c r="T255" s="2" t="str">
        <x:v>COMMON</x:v>
      </x:c>
      <x:c r="U255" s="14" t="str">
        <x:v>SELECTED_PENDING_REVIEW_A</x:v>
      </x:c>
      <x:c r="V255" s="17" t="str">
        <x:v>Authorized or traceable tier-1 channel</x:v>
      </x:c>
      <x:c r="W255" s="17" t="str">
        <x:v>Marking MPN package orientation electrical functional sample</x:v>
      </x:c>
      <x:c r="X255" s="17" t="str">
        <x:v>MAIN-AUTH-010 exact capture authority; physical pins: 1=SD_D0_CARD;2=SD_D1_CARD;3=GND;4=SD_DET;5=NC;6=NC;7=NC;8=GND;9=NC;10=NC; Fourth channel intentionally NC</x:v>
      </x:c>
      <x:c r="Y255" s="2" t="str">
        <x:v>4 channel 0.5 pF ESD</x:v>
      </x:c>
      <x:c r="Z255" s="2" t="str">
        <x:v>ELECTRICAL_COMPONENT</x:v>
      </x:c>
      <x:c r="AA255" s="2" t="str">
        <x:v>FITTED</x:v>
      </x:c>
      <x:c r="AB255" s="2" t="str">
        <x:v>-40..125</x:v>
      </x:c>
      <x:c r="AC255" s="14" t="str">
        <x:v>CONTROLLED_PENDING_VERIFICATION</x:v>
      </x:c>
    </x:row>
    <x:row r="256">
      <x:c r="A256" s="2" t="str">
        <x:v>MAIN-010-U25</x:v>
      </x:c>
      <x:c r="B256" s="2" t="str">
        <x:v>PCB-MAIN</x:v>
      </x:c>
      <x:c r="C256" s="14" t="str">
        <x:v>U25</x:v>
      </x:c>
      <x:c r="D256" s="2" t="str">
        <x:v>USB_ESD_Array</x:v>
      </x:c>
      <x:c r="E256" s="17" t="str">
        <x:v>J11 STM32 USB D+ and D- connector-side ESD shunt</x:v>
      </x:c>
      <x:c r="F256" s="2" t="str">
        <x:v>Texas Instruments</x:v>
      </x:c>
      <x:c r="G256" s="2" t="str">
        <x:v>TPD2EUSB30DRTR</x:v>
      </x:c>
      <x:c r="H256" s="2" t="str">
        <x:v>SOT-9X3_DRT</x:v>
      </x:c>
      <x:c r="I256" s="16" t="n">
        <x:v>1</x:v>
      </x:c>
      <x:c r="J256" s="16" t="n">
        <x:v>4</x:v>
      </x:c>
      <x:c r="K256" s="16" t="n">
        <x:v>0</x:v>
      </x:c>
      <x:c r="L256" s="16" t="n">
        <x:v>4</x:v>
      </x:c>
      <x:c r="M256" s="16" t="n">
        <x:v>10</x:v>
      </x:c>
      <x:c r="N256" s="16" t="n">
        <x:v>0</x:v>
      </x:c>
      <x:c r="O256" s="16" t="n">
        <x:v>10</x:v>
      </x:c>
      <x:c r="P256" s="16" t="n">
        <x:v>20</x:v>
      </x:c>
      <x:c r="Q256" s="16" t="n">
        <x:v>0</x:v>
      </x:c>
      <x:c r="R256" s="16" t="n">
        <x:v>20</x:v>
      </x:c>
      <x:c r="S256" s="14" t="str">
        <x:v>NONE</x:v>
      </x:c>
      <x:c r="T256" s="2" t="str">
        <x:v>COMMON</x:v>
      </x:c>
      <x:c r="U256" s="14" t="str">
        <x:v>SELECTED_PENDING_REVIEW_A</x:v>
      </x:c>
      <x:c r="V256" s="17" t="str">
        <x:v>Authorized or traceable tier-1 channel</x:v>
      </x:c>
      <x:c r="W256" s="17" t="str">
        <x:v>Marking MPN package orientation electrical functional sample</x:v>
      </x:c>
      <x:c r="X256" s="17" t="str">
        <x:v>MAIN-AUTH-010 exact capture authority; physical pins: 1=USB_DP_CONN;2=USB_DM_CONN;3=GND; Preserve USB2 differential impedance</x:v>
      </x:c>
      <x:c r="Y256" s="2" t="str">
        <x:v>2 channel 0.7 pF USB ESD</x:v>
      </x:c>
      <x:c r="Z256" s="2" t="str">
        <x:v>ELECTRICAL_COMPONENT</x:v>
      </x:c>
      <x:c r="AA256" s="2" t="str">
        <x:v>FITTED</x:v>
      </x:c>
      <x:c r="AB256" s="2" t="str">
        <x:v>-40..85</x:v>
      </x:c>
      <x:c r="AC256" s="14" t="str">
        <x:v>CONTROLLED_PENDING_VERIFICATION</x:v>
      </x:c>
    </x:row>
    <x:row r="257">
      <x:c r="A257" s="2" t="str">
        <x:v>MAIN-010-U26</x:v>
      </x:c>
      <x:c r="B257" s="2" t="str">
        <x:v>PCB-MAIN</x:v>
      </x:c>
      <x:c r="C257" s="14" t="str">
        <x:v>U26</x:v>
      </x:c>
      <x:c r="D257" s="2" t="str">
        <x:v>USB_ESD_Array</x:v>
      </x:c>
      <x:c r="E257" s="17" t="str">
        <x:v>BG95 recovery USB D+ and D- fixture-side ESD shunt</x:v>
      </x:c>
      <x:c r="F257" s="2" t="str">
        <x:v>Texas Instruments</x:v>
      </x:c>
      <x:c r="G257" s="2" t="str">
        <x:v>TPD2EUSB30DRTR</x:v>
      </x:c>
      <x:c r="H257" s="2" t="str">
        <x:v>SOT-9X3_DRT</x:v>
      </x:c>
      <x:c r="I257" s="16" t="n">
        <x:v>1</x:v>
      </x:c>
      <x:c r="J257" s="16" t="n">
        <x:v>4</x:v>
      </x:c>
      <x:c r="K257" s="16" t="n">
        <x:v>0</x:v>
      </x:c>
      <x:c r="L257" s="16" t="n">
        <x:v>4</x:v>
      </x:c>
      <x:c r="M257" s="16" t="n">
        <x:v>10</x:v>
      </x:c>
      <x:c r="N257" s="16" t="n">
        <x:v>0</x:v>
      </x:c>
      <x:c r="O257" s="16" t="n">
        <x:v>10</x:v>
      </x:c>
      <x:c r="P257" s="16" t="n">
        <x:v>20</x:v>
      </x:c>
      <x:c r="Q257" s="16" t="n">
        <x:v>0</x:v>
      </x:c>
      <x:c r="R257" s="16" t="n">
        <x:v>20</x:v>
      </x:c>
      <x:c r="S257" s="14" t="str">
        <x:v>NONE</x:v>
      </x:c>
      <x:c r="T257" s="2" t="str">
        <x:v>COMMON</x:v>
      </x:c>
      <x:c r="U257" s="14" t="str">
        <x:v>SELECTED_PENDING_REVIEW_A</x:v>
      </x:c>
      <x:c r="V257" s="17" t="str">
        <x:v>Authorized or traceable tier-1 channel</x:v>
      </x:c>
      <x:c r="W257" s="17" t="str">
        <x:v>Marking MPN package orientation electrical functional sample</x:v>
      </x:c>
      <x:c r="X257" s="17" t="str">
        <x:v>MAIN-AUTH-010 exact capture authority; physical pins: 1=CELL_USB_DP_TP;2=CELL_USB_DM_TP;3=GND_MODEM; Never connect to J11 USB nets</x:v>
      </x:c>
      <x:c r="Y257" s="2" t="str">
        <x:v>2 channel 0.7 pF USB ESD</x:v>
      </x:c>
      <x:c r="Z257" s="2" t="str">
        <x:v>ELECTRICAL_COMPONENT</x:v>
      </x:c>
      <x:c r="AA257" s="2" t="str">
        <x:v>FITTED</x:v>
      </x:c>
      <x:c r="AB257" s="2" t="str">
        <x:v>-40..85</x:v>
      </x:c>
      <x:c r="AC257" s="14" t="str">
        <x:v>CONTROLLED_PENDING_VERIFICATION</x:v>
      </x:c>
    </x:row>
    <x:row r="258">
      <x:c r="A258" s="2" t="str">
        <x:v>MAIN-010-U27</x:v>
      </x:c>
      <x:c r="B258" s="2" t="str">
        <x:v>PCB-MAIN</x:v>
      </x:c>
      <x:c r="C258" s="14" t="str">
        <x:v>U27</x:v>
      </x:c>
      <x:c r="D258" s="2" t="str">
        <x:v>ESD_Array</x:v>
      </x:c>
      <x:c r="E258" s="17" t="str">
        <x:v>BG95 debug fixture four-signal ESD shunt</x:v>
      </x:c>
      <x:c r="F258" s="2" t="str">
        <x:v>Texas Instruments</x:v>
      </x:c>
      <x:c r="G258" s="2" t="str">
        <x:v>TPD4E05U06DQAR</x:v>
      </x:c>
      <x:c r="H258" s="2" t="str">
        <x:v>USON-10_DQA</x:v>
      </x:c>
      <x:c r="I258" s="16" t="n">
        <x:v>1</x:v>
      </x:c>
      <x:c r="J258" s="16" t="n">
        <x:v>4</x:v>
      </x:c>
      <x:c r="K258" s="16" t="n">
        <x:v>0</x:v>
      </x:c>
      <x:c r="L258" s="16" t="n">
        <x:v>4</x:v>
      </x:c>
      <x:c r="M258" s="16" t="n">
        <x:v>10</x:v>
      </x:c>
      <x:c r="N258" s="16" t="n">
        <x:v>0</x:v>
      </x:c>
      <x:c r="O258" s="16" t="n">
        <x:v>10</x:v>
      </x:c>
      <x:c r="P258" s="16" t="n">
        <x:v>20</x:v>
      </x:c>
      <x:c r="Q258" s="16" t="n">
        <x:v>0</x:v>
      </x:c>
      <x:c r="R258" s="16" t="n">
        <x:v>20</x:v>
      </x:c>
      <x:c r="S258" s="14" t="str">
        <x:v>NONE</x:v>
      </x:c>
      <x:c r="T258" s="2" t="str">
        <x:v>COMMON</x:v>
      </x:c>
      <x:c r="U258" s="14" t="str">
        <x:v>SELECTED_PENDING_REVIEW_A</x:v>
      </x:c>
      <x:c r="V258" s="17" t="str">
        <x:v>Authorized or traceable tier-1 channel</x:v>
      </x:c>
      <x:c r="W258" s="17" t="str">
        <x:v>Marking MPN package orientation electrical functional sample</x:v>
      </x:c>
      <x:c r="X258" s="17" t="str">
        <x:v>MAIN-AUTH-010 exact capture authority; physical pins: 1=CELL_DBG_TXD_TP;2=CELL_DBG_RXD_TP;3=GND_MODEM;4=CELL_DBG_VREF_TP;5=CELL_USB_BOOT_TP;6=NC;7=NC;8=GND_MODEM;9=NC;10=NC; All fixture signals remain 1.8 V domain</x:v>
      </x:c>
      <x:c r="Y258" s="2" t="str">
        <x:v>4 channel 0.5 pF ESD</x:v>
      </x:c>
      <x:c r="Z258" s="2" t="str">
        <x:v>ELECTRICAL_COMPONENT</x:v>
      </x:c>
      <x:c r="AA258" s="2" t="str">
        <x:v>FITTED</x:v>
      </x:c>
      <x:c r="AB258" s="2" t="str">
        <x:v>-40..125</x:v>
      </x:c>
      <x:c r="AC258" s="14" t="str">
        <x:v>CONTROLLED_PENDING_VERIFICATION</x:v>
      </x:c>
    </x:row>
    <x:row r="259">
      <x:c r="A259" s="2" t="str">
        <x:v>MAIN-010-D1</x:v>
      </x:c>
      <x:c r="B259" s="2" t="str">
        <x:v>PCB-MAIN</x:v>
      </x:c>
      <x:c r="C259" s="14" t="str">
        <x:v>D1</x:v>
      </x:c>
      <x:c r="D259" s="2" t="str">
        <x:v>Supply_TVS</x:v>
      </x:c>
      <x:c r="E259" s="17" t="str">
        <x:v>U8 VBAT_BB low-leakage TVS shunt</x:v>
      </x:c>
      <x:c r="F259" s="2" t="str">
        <x:v>Nexperia</x:v>
      </x:c>
      <x:c r="G259" s="2" t="str">
        <x:v>PESD5V0S1UL</x:v>
      </x:c>
      <x:c r="H259" s="2" t="str">
        <x:v>SOD882</x:v>
      </x:c>
      <x:c r="I259" s="16" t="n">
        <x:v>1</x:v>
      </x:c>
      <x:c r="J259" s="16" t="n">
        <x:v>4</x:v>
      </x:c>
      <x:c r="K259" s="16" t="n">
        <x:v>0</x:v>
      </x:c>
      <x:c r="L259" s="16" t="n">
        <x:v>4</x:v>
      </x:c>
      <x:c r="M259" s="16" t="n">
        <x:v>10</x:v>
      </x:c>
      <x:c r="N259" s="16" t="n">
        <x:v>0</x:v>
      </x:c>
      <x:c r="O259" s="16" t="n">
        <x:v>10</x:v>
      </x:c>
      <x:c r="P259" s="16" t="n">
        <x:v>20</x:v>
      </x:c>
      <x:c r="Q259" s="16" t="n">
        <x:v>0</x:v>
      </x:c>
      <x:c r="R259" s="16" t="n">
        <x:v>20</x:v>
      </x:c>
      <x:c r="S259" s="14" t="str">
        <x:v>NONE</x:v>
      </x:c>
      <x:c r="T259" s="2" t="str">
        <x:v>COMMON</x:v>
      </x:c>
      <x:c r="U259" s="14" t="str">
        <x:v>SELECTED_PENDING_REVIEW_A</x:v>
      </x:c>
      <x:c r="V259" s="17" t="str">
        <x:v>Authorized or traceable tier-1 channel</x:v>
      </x:c>
      <x:c r="W259" s="17" t="str">
        <x:v>Marking MPN package orientation electrical functional sample</x:v>
      </x:c>
      <x:c r="X259" s="17" t="str">
        <x:v>MAIN-AUTH-010 exact capture authority; physical pins: 1=3V8_MODEM_BB;2=GND_MODEM; Cathode pin 1 is the protected rail</x:v>
      </x:c>
      <x:c r="Y259" s="2" t="str">
        <x:v>5 V unidirectional 150 W TVS</x:v>
      </x:c>
      <x:c r="Z259" s="2" t="str">
        <x:v>ELECTRICAL_COMPONENT</x:v>
      </x:c>
      <x:c r="AA259" s="2" t="str">
        <x:v>FITTED</x:v>
      </x:c>
      <x:c r="AB259" s="2" t="str">
        <x:v>-55..150</x:v>
      </x:c>
      <x:c r="AC259" s="14" t="str">
        <x:v>CONTROLLED_PENDING_VERIFICATION</x:v>
      </x:c>
    </x:row>
    <x:row r="260">
      <x:c r="A260" s="2" t="str">
        <x:v>MAIN-010-D2</x:v>
      </x:c>
      <x:c r="B260" s="2" t="str">
        <x:v>PCB-MAIN</x:v>
      </x:c>
      <x:c r="C260" s="14" t="str">
        <x:v>D2</x:v>
      </x:c>
      <x:c r="D260" s="2" t="str">
        <x:v>Supply_TVS</x:v>
      </x:c>
      <x:c r="E260" s="17" t="str">
        <x:v>U8 VBAT_RF low-leakage TVS shunt</x:v>
      </x:c>
      <x:c r="F260" s="2" t="str">
        <x:v>Nexperia</x:v>
      </x:c>
      <x:c r="G260" s="2" t="str">
        <x:v>PESD5V0S1UL</x:v>
      </x:c>
      <x:c r="H260" s="2" t="str">
        <x:v>SOD882</x:v>
      </x:c>
      <x:c r="I260" s="16" t="n">
        <x:v>1</x:v>
      </x:c>
      <x:c r="J260" s="16" t="n">
        <x:v>4</x:v>
      </x:c>
      <x:c r="K260" s="16" t="n">
        <x:v>0</x:v>
      </x:c>
      <x:c r="L260" s="16" t="n">
        <x:v>4</x:v>
      </x:c>
      <x:c r="M260" s="16" t="n">
        <x:v>10</x:v>
      </x:c>
      <x:c r="N260" s="16" t="n">
        <x:v>0</x:v>
      </x:c>
      <x:c r="O260" s="16" t="n">
        <x:v>10</x:v>
      </x:c>
      <x:c r="P260" s="16" t="n">
        <x:v>20</x:v>
      </x:c>
      <x:c r="Q260" s="16" t="n">
        <x:v>0</x:v>
      </x:c>
      <x:c r="R260" s="16" t="n">
        <x:v>20</x:v>
      </x:c>
      <x:c r="S260" s="14" t="str">
        <x:v>NONE</x:v>
      </x:c>
      <x:c r="T260" s="2" t="str">
        <x:v>COMMON</x:v>
      </x:c>
      <x:c r="U260" s="14" t="str">
        <x:v>SELECTED_PENDING_REVIEW_A</x:v>
      </x:c>
      <x:c r="V260" s="17" t="str">
        <x:v>Authorized or traceable tier-1 channel</x:v>
      </x:c>
      <x:c r="W260" s="17" t="str">
        <x:v>Marking MPN package orientation electrical functional sample</x:v>
      </x:c>
      <x:c r="X260" s="17" t="str">
        <x:v>MAIN-AUTH-010 exact capture authority; physical pins: 1=3V8_MODEM_RF;2=GND_MODEM; Cathode pin 1 is the protected rail</x:v>
      </x:c>
      <x:c r="Y260" s="2" t="str">
        <x:v>5 V unidirectional 150 W TVS</x:v>
      </x:c>
      <x:c r="Z260" s="2" t="str">
        <x:v>ELECTRICAL_COMPONENT</x:v>
      </x:c>
      <x:c r="AA260" s="2" t="str">
        <x:v>FITTED</x:v>
      </x:c>
      <x:c r="AB260" s="2" t="str">
        <x:v>-55..150</x:v>
      </x:c>
      <x:c r="AC260" s="14" t="str">
        <x:v>CONTROLLED_PENDING_VERIFICATION</x:v>
      </x:c>
    </x:row>
    <x:row r="261">
      <x:c r="A261" s="2" t="str">
        <x:v>MAIN-010-D3</x:v>
      </x:c>
      <x:c r="B261" s="2" t="str">
        <x:v>PCB-MAIN</x:v>
      </x:c>
      <x:c r="C261" s="14" t="str">
        <x:v>D3</x:v>
      </x:c>
      <x:c r="D261" s="2" t="str">
        <x:v>RF_ESD</x:v>
      </x:c>
      <x:c r="E261" s="17" t="str">
        <x:v>J8 connector-side cellular RF ESD shunt</x:v>
      </x:c>
      <x:c r="F261" s="2" t="str">
        <x:v>Nexperia</x:v>
      </x:c>
      <x:c r="G261" s="2" t="str">
        <x:v>PESD5V0C1BSF</x:v>
      </x:c>
      <x:c r="H261" s="2" t="str">
        <x:v>SOD962-2</x:v>
      </x:c>
      <x:c r="I261" s="16" t="n">
        <x:v>1</x:v>
      </x:c>
      <x:c r="J261" s="16" t="n">
        <x:v>4</x:v>
      </x:c>
      <x:c r="K261" s="16" t="n">
        <x:v>0</x:v>
      </x:c>
      <x:c r="L261" s="16" t="n">
        <x:v>4</x:v>
      </x:c>
      <x:c r="M261" s="16" t="n">
        <x:v>10</x:v>
      </x:c>
      <x:c r="N261" s="16" t="n">
        <x:v>0</x:v>
      </x:c>
      <x:c r="O261" s="16" t="n">
        <x:v>10</x:v>
      </x:c>
      <x:c r="P261" s="16" t="n">
        <x:v>20</x:v>
      </x:c>
      <x:c r="Q261" s="16" t="n">
        <x:v>0</x:v>
      </x:c>
      <x:c r="R261" s="16" t="n">
        <x:v>20</x:v>
      </x:c>
      <x:c r="S261" s="14" t="str">
        <x:v>NONE</x:v>
      </x:c>
      <x:c r="T261" s="2" t="str">
        <x:v>COMMON</x:v>
      </x:c>
      <x:c r="U261" s="14" t="str">
        <x:v>SELECTED_PENDING_REVIEW_A</x:v>
      </x:c>
      <x:c r="V261" s="17" t="str">
        <x:v>Authorized or traceable tier-1 channel</x:v>
      </x:c>
      <x:c r="W261" s="17" t="str">
        <x:v>Marking MPN package orientation electrical functional sample</x:v>
      </x:c>
      <x:c r="X261" s="17" t="str">
        <x:v>MAIN-AUTH-010 exact capture authority; physical pins: 1=CELL_RF_ANT;2=GND_MODEM; No series element and no RF stub</x:v>
      </x:c>
      <x:c r="Y261" s="2" t="str">
        <x:v>5 V bidirectional 0.2 pF RF ESD</x:v>
      </x:c>
      <x:c r="Z261" s="2" t="str">
        <x:v>ELECTRICAL_COMPONENT</x:v>
      </x:c>
      <x:c r="AA261" s="2" t="str">
        <x:v>FITTED</x:v>
      </x:c>
      <x:c r="AB261" s="2" t="str">
        <x:v>-40..125</x:v>
      </x:c>
      <x:c r="AC261" s="14" t="str">
        <x:v>CONTROLLED_PENDING_VERIFICATION</x:v>
      </x:c>
    </x:row>
    <x:row r="262">
      <x:c r="A262" s="2" t="str">
        <x:v>MAIN-010-D4</x:v>
      </x:c>
      <x:c r="B262" s="2" t="str">
        <x:v>PCB-MAIN</x:v>
      </x:c>
      <x:c r="C262" s="14" t="str">
        <x:v>D4</x:v>
      </x:c>
      <x:c r="D262" s="2" t="str">
        <x:v>RF_ESD</x:v>
      </x:c>
      <x:c r="E262" s="17" t="str">
        <x:v>J9 connector-side GNSS RF ESD shunt</x:v>
      </x:c>
      <x:c r="F262" s="2" t="str">
        <x:v>Texas Instruments</x:v>
      </x:c>
      <x:c r="G262" s="2" t="str">
        <x:v>TPD1E05U06DYAR</x:v>
      </x:c>
      <x:c r="H262" s="2" t="str">
        <x:v>SOD-523_DYA</x:v>
      </x:c>
      <x:c r="I262" s="16" t="n">
        <x:v>1</x:v>
      </x:c>
      <x:c r="J262" s="16" t="n">
        <x:v>4</x:v>
      </x:c>
      <x:c r="K262" s="16" t="n">
        <x:v>0</x:v>
      </x:c>
      <x:c r="L262" s="16" t="n">
        <x:v>4</x:v>
      </x:c>
      <x:c r="M262" s="16" t="n">
        <x:v>10</x:v>
      </x:c>
      <x:c r="N262" s="16" t="n">
        <x:v>0</x:v>
      </x:c>
      <x:c r="O262" s="16" t="n">
        <x:v>10</x:v>
      </x:c>
      <x:c r="P262" s="16" t="n">
        <x:v>20</x:v>
      </x:c>
      <x:c r="Q262" s="16" t="n">
        <x:v>0</x:v>
      </x:c>
      <x:c r="R262" s="16" t="n">
        <x:v>20</x:v>
      </x:c>
      <x:c r="S262" s="14" t="str">
        <x:v>NONE</x:v>
      </x:c>
      <x:c r="T262" s="2" t="str">
        <x:v>COMMON</x:v>
      </x:c>
      <x:c r="U262" s="14" t="str">
        <x:v>SELECTED_PENDING_REVIEW_A</x:v>
      </x:c>
      <x:c r="V262" s="17" t="str">
        <x:v>Authorized or traceable tier-1 channel</x:v>
      </x:c>
      <x:c r="W262" s="17" t="str">
        <x:v>Marking MPN package orientation electrical functional sample</x:v>
      </x:c>
      <x:c r="X262" s="17" t="str">
        <x:v>MAIN-AUTH-010 exact capture authority; physical pins: 1=GNSS_RF_ANT_BIASED;2=GND; Unidirectional part is required because the RF node carries DC antenna bias</x:v>
      </x:c>
      <x:c r="Y262" s="2" t="str">
        <x:v>5.5 V unidirectional 0.5 pF RF ESD</x:v>
      </x:c>
      <x:c r="Z262" s="2" t="str">
        <x:v>ELECTRICAL_COMPONENT</x:v>
      </x:c>
      <x:c r="AA262" s="2" t="str">
        <x:v>FITTED</x:v>
      </x:c>
      <x:c r="AB262" s="2" t="str">
        <x:v>-40..125</x:v>
      </x:c>
      <x:c r="AC262" s="14" t="str">
        <x:v>CONTROLLED_PENDING_VERIFICATION</x:v>
      </x:c>
    </x:row>
    <x:row r="263">
      <x:c r="A263" s="2" t="str">
        <x:v>MAIN-010-D5</x:v>
      </x:c>
      <x:c r="B263" s="2" t="str">
        <x:v>PCB-MAIN</x:v>
      </x:c>
      <x:c r="C263" s="14" t="str">
        <x:v>D5</x:v>
      </x:c>
      <x:c r="D263" s="2" t="str">
        <x:v>RF_ESD</x:v>
      </x:c>
      <x:c r="E263" s="17" t="str">
        <x:v>J10 connector-side LoRa RF ESD shunt</x:v>
      </x:c>
      <x:c r="F263" s="2" t="str">
        <x:v>Nexperia</x:v>
      </x:c>
      <x:c r="G263" s="2" t="str">
        <x:v>PESD5V0C1BSF</x:v>
      </x:c>
      <x:c r="H263" s="2" t="str">
        <x:v>SOD962-2</x:v>
      </x:c>
      <x:c r="I263" s="16" t="n">
        <x:v>1</x:v>
      </x:c>
      <x:c r="J263" s="16" t="n">
        <x:v>4</x:v>
      </x:c>
      <x:c r="K263" s="16" t="n">
        <x:v>0</x:v>
      </x:c>
      <x:c r="L263" s="16" t="n">
        <x:v>4</x:v>
      </x:c>
      <x:c r="M263" s="16" t="n">
        <x:v>10</x:v>
      </x:c>
      <x:c r="N263" s="16" t="n">
        <x:v>0</x:v>
      </x:c>
      <x:c r="O263" s="16" t="n">
        <x:v>10</x:v>
      </x:c>
      <x:c r="P263" s="16" t="n">
        <x:v>20</x:v>
      </x:c>
      <x:c r="Q263" s="16" t="n">
        <x:v>0</x:v>
      </x:c>
      <x:c r="R263" s="16" t="n">
        <x:v>20</x:v>
      </x:c>
      <x:c r="S263" s="14" t="str">
        <x:v>NONE</x:v>
      </x:c>
      <x:c r="T263" s="2" t="str">
        <x:v>COMMON</x:v>
      </x:c>
      <x:c r="U263" s="14" t="str">
        <x:v>SELECTED_PENDING_REVIEW_A</x:v>
      </x:c>
      <x:c r="V263" s="17" t="str">
        <x:v>Authorized or traceable tier-1 channel</x:v>
      </x:c>
      <x:c r="W263" s="17" t="str">
        <x:v>Marking MPN package orientation electrical functional sample</x:v>
      </x:c>
      <x:c r="X263" s="17" t="str">
        <x:v>MAIN-AUTH-010 exact capture authority; physical pins: 1=LORA_RF_ANT;2=GND; No series element and no RF stub</x:v>
      </x:c>
      <x:c r="Y263" s="2" t="str">
        <x:v>5 V bidirectional 0.2 pF RF ESD</x:v>
      </x:c>
      <x:c r="Z263" s="2" t="str">
        <x:v>ELECTRICAL_COMPONENT</x:v>
      </x:c>
      <x:c r="AA263" s="2" t="str">
        <x:v>FITTED</x:v>
      </x:c>
      <x:c r="AB263" s="2" t="str">
        <x:v>-40..125</x:v>
      </x:c>
      <x:c r="AC263" s="14" t="str">
        <x:v>CONTROLLED_PENDING_VERIFICATION</x:v>
      </x:c>
    </x:row>
    <x:row r="264">
      <x:c r="A264" s="2" t="str">
        <x:v>MAIN-010-D6</x:v>
      </x:c>
      <x:c r="B264" s="2" t="str">
        <x:v>PCB-MAIN</x:v>
      </x:c>
      <x:c r="C264" s="14" t="str">
        <x:v>D6</x:v>
      </x:c>
      <x:c r="D264" s="2" t="str">
        <x:v>ESD_Diode</x:v>
      </x:c>
      <x:c r="E264" s="17" t="str">
        <x:v>J11 VBUS connector-side ESD shunt</x:v>
      </x:c>
      <x:c r="F264" s="2" t="str">
        <x:v>Texas Instruments</x:v>
      </x:c>
      <x:c r="G264" s="2" t="str">
        <x:v>TPD1E05U06DYAR</x:v>
      </x:c>
      <x:c r="H264" s="2" t="str">
        <x:v>SOD-523_DYA</x:v>
      </x:c>
      <x:c r="I264" s="16" t="n">
        <x:v>1</x:v>
      </x:c>
      <x:c r="J264" s="16" t="n">
        <x:v>4</x:v>
      </x:c>
      <x:c r="K264" s="16" t="n">
        <x:v>0</x:v>
      </x:c>
      <x:c r="L264" s="16" t="n">
        <x:v>4</x:v>
      </x:c>
      <x:c r="M264" s="16" t="n">
        <x:v>10</x:v>
      </x:c>
      <x:c r="N264" s="16" t="n">
        <x:v>0</x:v>
      </x:c>
      <x:c r="O264" s="16" t="n">
        <x:v>10</x:v>
      </x:c>
      <x:c r="P264" s="16" t="n">
        <x:v>20</x:v>
      </x:c>
      <x:c r="Q264" s="16" t="n">
        <x:v>0</x:v>
      </x:c>
      <x:c r="R264" s="16" t="n">
        <x:v>20</x:v>
      </x:c>
      <x:c r="S264" s="14" t="str">
        <x:v>NONE</x:v>
      </x:c>
      <x:c r="T264" s="2" t="str">
        <x:v>COMMON</x:v>
      </x:c>
      <x:c r="U264" s="14" t="str">
        <x:v>SELECTED_PENDING_REVIEW_A</x:v>
      </x:c>
      <x:c r="V264" s="17" t="str">
        <x:v>Authorized or traceable tier-1 channel</x:v>
      </x:c>
      <x:c r="W264" s="17" t="str">
        <x:v>Marking MPN package orientation electrical functional sample</x:v>
      </x:c>
      <x:c r="X264" s="17" t="str">
        <x:v>MAIN-AUTH-010 exact capture authority; physical pins: 1=USB_VBUS_CONN;2=GND; VBUS is sense-only on PCB-MAIN</x:v>
      </x:c>
      <x:c r="Y264" s="2" t="str">
        <x:v>5.5 V 0.5 pF ESD</x:v>
      </x:c>
      <x:c r="Z264" s="2" t="str">
        <x:v>ELECTRICAL_COMPONENT</x:v>
      </x:c>
      <x:c r="AA264" s="2" t="str">
        <x:v>FITTED</x:v>
      </x:c>
      <x:c r="AB264" s="2" t="str">
        <x:v>-40..125</x:v>
      </x:c>
      <x:c r="AC264" s="14" t="str">
        <x:v>CONTROLLED_PENDING_VERIFICATION</x:v>
      </x:c>
    </x:row>
    <x:row r="265">
      <x:c r="A265" s="2" t="str">
        <x:v>MAIN-010-D7</x:v>
      </x:c>
      <x:c r="B265" s="2" t="str">
        <x:v>PCB-MAIN</x:v>
      </x:c>
      <x:c r="C265" s="14" t="str">
        <x:v>D7</x:v>
      </x:c>
      <x:c r="D265" s="2" t="str">
        <x:v>ESD_Diode</x:v>
      </x:c>
      <x:c r="E265" s="17" t="str">
        <x:v>J11 CC1 connector-side ESD shunt</x:v>
      </x:c>
      <x:c r="F265" s="2" t="str">
        <x:v>Texas Instruments</x:v>
      </x:c>
      <x:c r="G265" s="2" t="str">
        <x:v>TPD1E05U06DYAR</x:v>
      </x:c>
      <x:c r="H265" s="2" t="str">
        <x:v>SOD-523_DYA</x:v>
      </x:c>
      <x:c r="I265" s="16" t="n">
        <x:v>1</x:v>
      </x:c>
      <x:c r="J265" s="16" t="n">
        <x:v>4</x:v>
      </x:c>
      <x:c r="K265" s="16" t="n">
        <x:v>0</x:v>
      </x:c>
      <x:c r="L265" s="16" t="n">
        <x:v>4</x:v>
      </x:c>
      <x:c r="M265" s="16" t="n">
        <x:v>10</x:v>
      </x:c>
      <x:c r="N265" s="16" t="n">
        <x:v>0</x:v>
      </x:c>
      <x:c r="O265" s="16" t="n">
        <x:v>10</x:v>
      </x:c>
      <x:c r="P265" s="16" t="n">
        <x:v>20</x:v>
      </x:c>
      <x:c r="Q265" s="16" t="n">
        <x:v>0</x:v>
      </x:c>
      <x:c r="R265" s="16" t="n">
        <x:v>20</x:v>
      </x:c>
      <x:c r="S265" s="14" t="str">
        <x:v>NONE</x:v>
      </x:c>
      <x:c r="T265" s="2" t="str">
        <x:v>COMMON</x:v>
      </x:c>
      <x:c r="U265" s="14" t="str">
        <x:v>SELECTED_PENDING_REVIEW_A</x:v>
      </x:c>
      <x:c r="V265" s="17" t="str">
        <x:v>Authorized or traceable tier-1 channel</x:v>
      </x:c>
      <x:c r="W265" s="17" t="str">
        <x:v>Marking MPN package orientation electrical functional sample</x:v>
      </x:c>
      <x:c r="X265" s="17" t="str">
        <x:v>MAIN-AUTH-010 exact capture authority; physical pins: 1=USB_CC1;2=GND; Place ahead of R93</x:v>
      </x:c>
      <x:c r="Y265" s="2" t="str">
        <x:v>5.5 V 0.5 pF ESD</x:v>
      </x:c>
      <x:c r="Z265" s="2" t="str">
        <x:v>ELECTRICAL_COMPONENT</x:v>
      </x:c>
      <x:c r="AA265" s="2" t="str">
        <x:v>FITTED</x:v>
      </x:c>
      <x:c r="AB265" s="2" t="str">
        <x:v>-40..125</x:v>
      </x:c>
      <x:c r="AC265" s="14" t="str">
        <x:v>CONTROLLED_PENDING_VERIFICATION</x:v>
      </x:c>
    </x:row>
    <x:row r="266">
      <x:c r="A266" s="2" t="str">
        <x:v>MAIN-010-D8</x:v>
      </x:c>
      <x:c r="B266" s="2" t="str">
        <x:v>PCB-MAIN</x:v>
      </x:c>
      <x:c r="C266" s="14" t="str">
        <x:v>D8</x:v>
      </x:c>
      <x:c r="D266" s="2" t="str">
        <x:v>ESD_Diode</x:v>
      </x:c>
      <x:c r="E266" s="17" t="str">
        <x:v>J11 CC2 connector-side ESD shunt</x:v>
      </x:c>
      <x:c r="F266" s="2" t="str">
        <x:v>Texas Instruments</x:v>
      </x:c>
      <x:c r="G266" s="2" t="str">
        <x:v>TPD1E05U06DYAR</x:v>
      </x:c>
      <x:c r="H266" s="2" t="str">
        <x:v>SOD-523_DYA</x:v>
      </x:c>
      <x:c r="I266" s="16" t="n">
        <x:v>1</x:v>
      </x:c>
      <x:c r="J266" s="16" t="n">
        <x:v>4</x:v>
      </x:c>
      <x:c r="K266" s="16" t="n">
        <x:v>0</x:v>
      </x:c>
      <x:c r="L266" s="16" t="n">
        <x:v>4</x:v>
      </x:c>
      <x:c r="M266" s="16" t="n">
        <x:v>10</x:v>
      </x:c>
      <x:c r="N266" s="16" t="n">
        <x:v>0</x:v>
      </x:c>
      <x:c r="O266" s="16" t="n">
        <x:v>10</x:v>
      </x:c>
      <x:c r="P266" s="16" t="n">
        <x:v>20</x:v>
      </x:c>
      <x:c r="Q266" s="16" t="n">
        <x:v>0</x:v>
      </x:c>
      <x:c r="R266" s="16" t="n">
        <x:v>20</x:v>
      </x:c>
      <x:c r="S266" s="14" t="str">
        <x:v>NONE</x:v>
      </x:c>
      <x:c r="T266" s="2" t="str">
        <x:v>COMMON</x:v>
      </x:c>
      <x:c r="U266" s="14" t="str">
        <x:v>SELECTED_PENDING_REVIEW_A</x:v>
      </x:c>
      <x:c r="V266" s="17" t="str">
        <x:v>Authorized or traceable tier-1 channel</x:v>
      </x:c>
      <x:c r="W266" s="17" t="str">
        <x:v>Marking MPN package orientation electrical functional sample</x:v>
      </x:c>
      <x:c r="X266" s="17" t="str">
        <x:v>MAIN-AUTH-010 exact capture authority; physical pins: 1=USB_CC2;2=GND; Place ahead of R94</x:v>
      </x:c>
      <x:c r="Y266" s="2" t="str">
        <x:v>5.5 V 0.5 pF ESD</x:v>
      </x:c>
      <x:c r="Z266" s="2" t="str">
        <x:v>ELECTRICAL_COMPONENT</x:v>
      </x:c>
      <x:c r="AA266" s="2" t="str">
        <x:v>FITTED</x:v>
      </x:c>
      <x:c r="AB266" s="2" t="str">
        <x:v>-40..125</x:v>
      </x:c>
      <x:c r="AC266" s="14" t="str">
        <x:v>CONTROLLED_PENDING_VERIFICATION</x:v>
      </x:c>
    </x:row>
    <x:row r="267">
      <x:c r="A267" s="2" t="str">
        <x:v>MAIN-010-D9</x:v>
      </x:c>
      <x:c r="B267" s="2" t="str">
        <x:v>PCB-MAIN</x:v>
      </x:c>
      <x:c r="C267" s="14" t="str">
        <x:v>D9</x:v>
      </x:c>
      <x:c r="D267" s="2" t="str">
        <x:v>ESD_Diode</x:v>
      </x:c>
      <x:c r="E267" s="17" t="str">
        <x:v>J13 tamper connector-side ESD shunt</x:v>
      </x:c>
      <x:c r="F267" s="2" t="str">
        <x:v>Texas Instruments</x:v>
      </x:c>
      <x:c r="G267" s="2" t="str">
        <x:v>TPD1E05U06DYAR</x:v>
      </x:c>
      <x:c r="H267" s="2" t="str">
        <x:v>SOD-523_DYA</x:v>
      </x:c>
      <x:c r="I267" s="16" t="n">
        <x:v>1</x:v>
      </x:c>
      <x:c r="J267" s="16" t="n">
        <x:v>4</x:v>
      </x:c>
      <x:c r="K267" s="16" t="n">
        <x:v>0</x:v>
      </x:c>
      <x:c r="L267" s="16" t="n">
        <x:v>4</x:v>
      </x:c>
      <x:c r="M267" s="16" t="n">
        <x:v>10</x:v>
      </x:c>
      <x:c r="N267" s="16" t="n">
        <x:v>0</x:v>
      </x:c>
      <x:c r="O267" s="16" t="n">
        <x:v>10</x:v>
      </x:c>
      <x:c r="P267" s="16" t="n">
        <x:v>20</x:v>
      </x:c>
      <x:c r="Q267" s="16" t="n">
        <x:v>0</x:v>
      </x:c>
      <x:c r="R267" s="16" t="n">
        <x:v>20</x:v>
      </x:c>
      <x:c r="S267" s="14" t="str">
        <x:v>NONE</x:v>
      </x:c>
      <x:c r="T267" s="2" t="str">
        <x:v>COMMON</x:v>
      </x:c>
      <x:c r="U267" s="14" t="str">
        <x:v>SELECTED_PENDING_REVIEW_A</x:v>
      </x:c>
      <x:c r="V267" s="17" t="str">
        <x:v>Authorized or traceable tier-1 channel</x:v>
      </x:c>
      <x:c r="W267" s="17" t="str">
        <x:v>Marking MPN package orientation electrical functional sample</x:v>
      </x:c>
      <x:c r="X267" s="17" t="str">
        <x:v>MAIN-AUTH-010 exact capture authority; physical pins: 1=TAMPER_IN_CONN;2=GND; Place adjacent to J13</x:v>
      </x:c>
      <x:c r="Y267" s="2" t="str">
        <x:v>5.5 V 0.5 pF ESD</x:v>
      </x:c>
      <x:c r="Z267" s="2" t="str">
        <x:v>ELECTRICAL_COMPONENT</x:v>
      </x:c>
      <x:c r="AA267" s="2" t="str">
        <x:v>FITTED</x:v>
      </x:c>
      <x:c r="AB267" s="2" t="str">
        <x:v>-40..125</x:v>
      </x:c>
      <x:c r="AC267" s="14" t="str">
        <x:v>CONTROLLED_PENDING_VERIFICATION</x:v>
      </x:c>
    </x:row>
    <x:row r="268">
      <x:c r="A268" s="2" t="str">
        <x:v>MAIN-010-D10</x:v>
      </x:c>
      <x:c r="B268" s="2" t="str">
        <x:v>PCB-MAIN</x:v>
      </x:c>
      <x:c r="C268" s="14" t="str">
        <x:v>D10</x:v>
      </x:c>
      <x:c r="D268" s="2" t="str">
        <x:v>ESD_Diode</x:v>
      </x:c>
      <x:c r="E268" s="17" t="str">
        <x:v>BG95 recovery VBUS fixture-side ESD shunt</x:v>
      </x:c>
      <x:c r="F268" s="2" t="str">
        <x:v>Texas Instruments</x:v>
      </x:c>
      <x:c r="G268" s="2" t="str">
        <x:v>TPD1E05U06DYAR</x:v>
      </x:c>
      <x:c r="H268" s="2" t="str">
        <x:v>SOD-523_DYA</x:v>
      </x:c>
      <x:c r="I268" s="16" t="n">
        <x:v>1</x:v>
      </x:c>
      <x:c r="J268" s="16" t="n">
        <x:v>4</x:v>
      </x:c>
      <x:c r="K268" s="16" t="n">
        <x:v>0</x:v>
      </x:c>
      <x:c r="L268" s="16" t="n">
        <x:v>4</x:v>
      </x:c>
      <x:c r="M268" s="16" t="n">
        <x:v>10</x:v>
      </x:c>
      <x:c r="N268" s="16" t="n">
        <x:v>0</x:v>
      </x:c>
      <x:c r="O268" s="16" t="n">
        <x:v>10</x:v>
      </x:c>
      <x:c r="P268" s="16" t="n">
        <x:v>20</x:v>
      </x:c>
      <x:c r="Q268" s="16" t="n">
        <x:v>0</x:v>
      </x:c>
      <x:c r="R268" s="16" t="n">
        <x:v>20</x:v>
      </x:c>
      <x:c r="S268" s="14" t="str">
        <x:v>NONE</x:v>
      </x:c>
      <x:c r="T268" s="2" t="str">
        <x:v>COMMON</x:v>
      </x:c>
      <x:c r="U268" s="14" t="str">
        <x:v>SELECTED_PENDING_REVIEW_A</x:v>
      </x:c>
      <x:c r="V268" s="17" t="str">
        <x:v>Authorized or traceable tier-1 channel</x:v>
      </x:c>
      <x:c r="W268" s="17" t="str">
        <x:v>Marking MPN package orientation electrical functional sample</x:v>
      </x:c>
      <x:c r="X268" s="17" t="str">
        <x:v>MAIN-AUTH-010 exact capture authority; physical pins: 1=CELL_USB_VBUS;2=GND_MODEM; Fixture-controlled VBUS only</x:v>
      </x:c>
      <x:c r="Y268" s="2" t="str">
        <x:v>5.5 V 0.5 pF ESD</x:v>
      </x:c>
      <x:c r="Z268" s="2" t="str">
        <x:v>ELECTRICAL_COMPONENT</x:v>
      </x:c>
      <x:c r="AA268" s="2" t="str">
        <x:v>FITTED</x:v>
      </x:c>
      <x:c r="AB268" s="2" t="str">
        <x:v>-40..125</x:v>
      </x:c>
      <x:c r="AC268" s="14" t="str">
        <x:v>CONTROLLED_PENDING_VERIFICATION</x:v>
      </x:c>
    </x:row>
    <x:row r="269">
      <x:c r="A269" s="2" t="str">
        <x:v>MAIN-010-D11</x:v>
      </x:c>
      <x:c r="B269" s="2" t="str">
        <x:v>PCB-MAIN</x:v>
      </x:c>
      <x:c r="C269" s="14" t="str">
        <x:v>D11</x:v>
      </x:c>
      <x:c r="D269" s="2" t="str">
        <x:v>ESD_Diode</x:v>
      </x:c>
      <x:c r="E269" s="17" t="str">
        <x:v>J12 microSD supply connector-side ESD shunt</x:v>
      </x:c>
      <x:c r="F269" s="2" t="str">
        <x:v>Texas Instruments</x:v>
      </x:c>
      <x:c r="G269" s="2" t="str">
        <x:v>TPD1E05U06DYAR</x:v>
      </x:c>
      <x:c r="H269" s="2" t="str">
        <x:v>SOD-523_DYA</x:v>
      </x:c>
      <x:c r="I269" s="16" t="n">
        <x:v>1</x:v>
      </x:c>
      <x:c r="J269" s="16" t="n">
        <x:v>4</x:v>
      </x:c>
      <x:c r="K269" s="16" t="n">
        <x:v>0</x:v>
      </x:c>
      <x:c r="L269" s="16" t="n">
        <x:v>4</x:v>
      </x:c>
      <x:c r="M269" s="16" t="n">
        <x:v>10</x:v>
      </x:c>
      <x:c r="N269" s="16" t="n">
        <x:v>0</x:v>
      </x:c>
      <x:c r="O269" s="16" t="n">
        <x:v>10</x:v>
      </x:c>
      <x:c r="P269" s="16" t="n">
        <x:v>20</x:v>
      </x:c>
      <x:c r="Q269" s="16" t="n">
        <x:v>0</x:v>
      </x:c>
      <x:c r="R269" s="16" t="n">
        <x:v>20</x:v>
      </x:c>
      <x:c r="S269" s="14" t="str">
        <x:v>NONE</x:v>
      </x:c>
      <x:c r="T269" s="2" t="str">
        <x:v>COMMON</x:v>
      </x:c>
      <x:c r="U269" s="14" t="str">
        <x:v>SELECTED_PENDING_REVIEW_A</x:v>
      </x:c>
      <x:c r="V269" s="17" t="str">
        <x:v>Authorized or traceable tier-1 channel</x:v>
      </x:c>
      <x:c r="W269" s="17" t="str">
        <x:v>Marking MPN package orientation electrical functional sample</x:v>
      </x:c>
      <x:c r="X269" s="17" t="str">
        <x:v>MAIN-AUTH-010 exact capture authority; physical pins: 1=3V3_DIGITAL;2=GND; Place adjacent to J12 VDD</x:v>
      </x:c>
      <x:c r="Y269" s="2" t="str">
        <x:v>5.5 V 0.5 pF ESD</x:v>
      </x:c>
      <x:c r="Z269" s="2" t="str">
        <x:v>ELECTRICAL_COMPONENT</x:v>
      </x:c>
      <x:c r="AA269" s="2" t="str">
        <x:v>FITTED</x:v>
      </x:c>
      <x:c r="AB269" s="2" t="str">
        <x:v>-40..125</x:v>
      </x:c>
      <x:c r="AC269" s="14" t="str">
        <x:v>CONTROLLED_PENDING_VERIFICATION</x:v>
      </x:c>
    </x:row>
    <x:row r="270">
      <x:c r="A270" s="2" t="str">
        <x:v>J-USB</x:v>
      </x:c>
      <x:c r="B270" s="2" t="str">
        <x:v>PCB-MAIN</x:v>
      </x:c>
      <x:c r="C270" s="14" t="str">
        <x:v>J11</x:v>
      </x:c>
      <x:c r="D270" s="2" t="str">
        <x:v>Connector</x:v>
      </x:c>
      <x:c r="E270" s="17" t="str">
        <x:v>STM32 USB-C service and system-memory recovery</x:v>
      </x:c>
      <x:c r="F270" s="2" t="str">
        <x:v>GCT</x:v>
      </x:c>
      <x:c r="G270" s="2" t="str">
        <x:v>USB4105-GF-A-120</x:v>
      </x:c>
      <x:c r="H270" s="2" t="str">
        <x:v>16 positions</x:v>
      </x:c>
      <x:c r="I270" s="16" t="n">
        <x:v>1</x:v>
      </x:c>
      <x:c r="J270" s="16" t="n">
        <x:v>4</x:v>
      </x:c>
      <x:c r="K270" s="16" t="n">
        <x:v>1</x:v>
      </x:c>
      <x:c r="L270" s="16" t="n">
        <x:v>5</x:v>
      </x:c>
      <x:c r="M270" s="16" t="n">
        <x:v>10</x:v>
      </x:c>
      <x:c r="N270" s="16" t="n">
        <x:v>3</x:v>
      </x:c>
      <x:c r="O270" s="16" t="n">
        <x:v>13</x:v>
      </x:c>
      <x:c r="P270" s="16" t="n">
        <x:v>20</x:v>
      </x:c>
      <x:c r="Q270" s="16" t="n">
        <x:v>5</x:v>
      </x:c>
      <x:c r="R270" s="16" t="n">
        <x:v>25</x:v>
      </x:c>
      <x:c r="S270" s="14" t="str">
        <x:v>SCALE_CEIL_FROM_20_BASELINE</x:v>
      </x:c>
      <x:c r="T270" s="2" t="str">
        <x:v>COMMON</x:v>
      </x:c>
      <x:c r="U270" s="14" t="str">
        <x:v>MECHANICAL_AUTHORITY_FROZEN_PENDING_PHYSICAL_TEST</x:v>
      </x:c>
      <x:c r="V270" s="17" t="str">
        <x:v>Authorized or traceable tier-1 channel</x:v>
      </x:c>
      <x:c r="W270" s="17" t="str">
        <x:v>Marking MPN package orientation electrical functional sample</x:v>
      </x:c>
      <x:c r="X270" s="17" t="str">
        <x:v>Mating USB-C_cable; terminal N/A; blockers: service-cover seal; connector insertion and cycle test</x:v>
      </x:c>
      <x:c r="Y270" s="2" t="str"/>
      <x:c r="Z270" s="2" t="str">
        <x:v>ELECTRICAL_COMPONENT</x:v>
      </x:c>
      <x:c r="AA270" s="2" t="str">
        <x:v>FITTED</x:v>
      </x:c>
      <x:c r="AB270" s="2" t="str">
        <x:v>-40..85</x:v>
      </x:c>
      <x:c r="AC270" s="14" t="str">
        <x:v>CONTROLLED_PENDING_VERIFICATION</x:v>
      </x:c>
    </x:row>
    <x:row r="271">
      <x:c r="A271" s="2" t="str">
        <x:v>J-PWR-IN</x:v>
      </x:c>
      <x:c r="B271" s="2" t="str">
        <x:v>PCB-PWR</x:v>
      </x:c>
      <x:c r="C271" s="14" t="str">
        <x:v>J1</x:v>
      </x:c>
      <x:c r="D271" s="2" t="str">
        <x:v>Connector</x:v>
      </x:c>
      <x:c r="E271" s="17" t="str">
        <x:v>Battery protected-bus input</x:v>
      </x:c>
      <x:c r="F271" s="2" t="str">
        <x:v>Molex</x:v>
      </x:c>
      <x:c r="G271" s="2" t="str">
        <x:v>430450213</x:v>
      </x:c>
      <x:c r="H271" s="2" t="str">
        <x:v>2 positions</x:v>
      </x:c>
      <x:c r="I271" s="16" t="n">
        <x:v>1</x:v>
      </x:c>
      <x:c r="J271" s="16" t="n">
        <x:v>4</x:v>
      </x:c>
      <x:c r="K271" s="16" t="n">
        <x:v>1</x:v>
      </x:c>
      <x:c r="L271" s="16" t="n">
        <x:v>5</x:v>
      </x:c>
      <x:c r="M271" s="16" t="n">
        <x:v>10</x:v>
      </x:c>
      <x:c r="N271" s="16" t="n">
        <x:v>3</x:v>
      </x:c>
      <x:c r="O271" s="16" t="n">
        <x:v>13</x:v>
      </x:c>
      <x:c r="P271" s="16" t="n">
        <x:v>20</x:v>
      </x:c>
      <x:c r="Q271" s="16" t="n">
        <x:v>5</x:v>
      </x:c>
      <x:c r="R271" s="16" t="n">
        <x:v>25</x:v>
      </x:c>
      <x:c r="S271" s="14" t="str">
        <x:v>SCALE_CEIL_FROM_20_BASELINE</x:v>
      </x:c>
      <x:c r="T271" s="2" t="str">
        <x:v>COMMON</x:v>
      </x:c>
      <x:c r="U271" s="14" t="str">
        <x:v>SELECTED_PENDING_MECHANICS</x:v>
      </x:c>
      <x:c r="V271" s="17" t="str">
        <x:v>Authorized or traceable tier-1 channel</x:v>
      </x:c>
      <x:c r="W271" s="17" t="str">
        <x:v>Marking MPN package orientation electrical functional sample</x:v>
      </x:c>
      <x:c r="X271" s="17" t="str">
        <x:v>Mating Molex_430250200; terminal Molex_430300038; blockers: final orientation and service clearance; pull/thermal test</x:v>
      </x:c>
      <x:c r="Y271" s="2" t="str"/>
      <x:c r="Z271" s="2" t="str">
        <x:v>ELECTRICAL_COMPONENT</x:v>
      </x:c>
      <x:c r="AA271" s="2" t="str">
        <x:v>FITTED</x:v>
      </x:c>
      <x:c r="AB271" s="2" t="str">
        <x:v>header -40..125; housing -40..105</x:v>
      </x:c>
      <x:c r="AC271" s="14" t="str">
        <x:v>CONTROLLED_PENDING_VERIFICATION</x:v>
      </x:c>
    </x:row>
    <x:row r="272">
      <x:c r="A272" s="2" t="str">
        <x:v>J-MIC-MAIN</x:v>
      </x:c>
      <x:c r="B272" s="2" t="str">
        <x:v>PCB-MAIN</x:v>
      </x:c>
      <x:c r="C272" s="14" t="str">
        <x:v>J_MIC1;J_MIC2;J_MIC3;J_MIC4</x:v>
      </x:c>
      <x:c r="D272" s="2" t="str">
        <x:v>Connector</x:v>
      </x:c>
      <x:c r="E272" s="17" t="str">
        <x:v>Four 6-position microphone MAIN board headers</x:v>
      </x:c>
      <x:c r="F272" s="2" t="str">
        <x:v>Molex</x:v>
      </x:c>
      <x:c r="G272" s="2" t="str">
        <x:v>5040500691</x:v>
      </x:c>
      <x:c r="H272" s="2" t="str">
        <x:v>Pico-Lock 1.50 mm 6-circuit right-angle SMT</x:v>
      </x:c>
      <x:c r="I272" s="16" t="n">
        <x:v>4</x:v>
      </x:c>
      <x:c r="J272" s="16" t="n">
        <x:v>16</x:v>
      </x:c>
      <x:c r="K272" s="16" t="n">
        <x:v>3</x:v>
      </x:c>
      <x:c r="L272" s="16" t="n">
        <x:v>19</x:v>
      </x:c>
      <x:c r="M272" s="16" t="n">
        <x:v>40</x:v>
      </x:c>
      <x:c r="N272" s="16" t="n">
        <x:v>6</x:v>
      </x:c>
      <x:c r="O272" s="16" t="n">
        <x:v>46</x:v>
      </x:c>
      <x:c r="P272" s="16" t="n">
        <x:v>80</x:v>
      </x:c>
      <x:c r="Q272" s="16" t="n">
        <x:v>12</x:v>
      </x:c>
      <x:c r="R272" s="16" t="n">
        <x:v>92</x:v>
      </x:c>
      <x:c r="S272" s="14" t="str">
        <x:v>SCALE_CEIL_FROM_20_BASELINE</x:v>
      </x:c>
      <x:c r="T272" s="2" t="str">
        <x:v>COMMON</x:v>
      </x:c>
      <x:c r="U272" s="14" t="str">
        <x:v>MECHANICAL_AUTHORITY_FROZEN_PENDING_SI_AAD</x:v>
      </x:c>
      <x:c r="V272" s="17" t="str">
        <x:v>Authorized or traceable tier-1 channel</x:v>
      </x:c>
      <x:c r="W272" s="17" t="str">
        <x:v>Marking MPN package orientation electrical functional sample</x:v>
      </x:c>
      <x:c r="X272" s="17" t="str">
        <x:v>MAIN-side mates of four PCB-MIC harnesses; same header MPN and pin order as every leaf</x:v>
      </x:c>
      <x:c r="Y272" s="2" t="str"/>
      <x:c r="Z272" s="2" t="str">
        <x:v>ELECTRICAL_COMPONENT</x:v>
      </x:c>
      <x:c r="AA272" s="2" t="str">
        <x:v>FITTED</x:v>
      </x:c>
      <x:c r="AB272" s="2" t="str">
        <x:v>-40..105</x:v>
      </x:c>
      <x:c r="AC272" s="14" t="str">
        <x:v>CONTROLLED_PENDING_VERIFICATION</x:v>
      </x:c>
    </x:row>
    <x:row r="273">
      <x:c r="A273" s="2" t="str">
        <x:v>H-MIC</x:v>
      </x:c>
      <x:c r="B273" s="2" t="str">
        <x:v>HARNESS-MIC</x:v>
      </x:c>
      <x:c r="C273" s="14" t="str">
        <x:v>H_MIC1:A/B;H_MIC2:A/B;H_MIC3:A/B;H_MIC4:A/B</x:v>
      </x:c>
      <x:c r="D273" s="2" t="str">
        <x:v>Housing</x:v>
      </x:c>
      <x:c r="E273" s="17" t="str">
        <x:v>Pico-Lock 6-position cable housings, two per MIC harness</x:v>
      </x:c>
      <x:c r="F273" s="2" t="str">
        <x:v>Molex</x:v>
      </x:c>
      <x:c r="G273" s="2" t="str">
        <x:v>5040510601</x:v>
      </x:c>
      <x:c r="H273" s="2" t="str">
        <x:v>Pico-Lock 1.50 mm 6-circuit housing</x:v>
      </x:c>
      <x:c r="I273" s="16" t="n">
        <x:v>8</x:v>
      </x:c>
      <x:c r="J273" s="16" t="n">
        <x:v>32</x:v>
      </x:c>
      <x:c r="K273" s="16" t="n">
        <x:v>4</x:v>
      </x:c>
      <x:c r="L273" s="16" t="n">
        <x:v>36</x:v>
      </x:c>
      <x:c r="M273" s="16" t="n">
        <x:v>80</x:v>
      </x:c>
      <x:c r="N273" s="16" t="n">
        <x:v>8</x:v>
      </x:c>
      <x:c r="O273" s="16" t="n">
        <x:v>88</x:v>
      </x:c>
      <x:c r="P273" s="16" t="n">
        <x:v>160</x:v>
      </x:c>
      <x:c r="Q273" s="16" t="n">
        <x:v>16</x:v>
      </x:c>
      <x:c r="R273" s="16" t="n">
        <x:v>176</x:v>
      </x:c>
      <x:c r="S273" s="14" t="str">
        <x:v>SCALE_CEIL_FROM_20_BASELINE</x:v>
      </x:c>
      <x:c r="T273" s="2" t="str">
        <x:v>COMMON</x:v>
      </x:c>
      <x:c r="U273" s="14" t="str">
        <x:v>SELECTED_PENDING_HARNESS_LENGTH_PULL_TEST</x:v>
      </x:c>
      <x:c r="V273" s="17" t="str">
        <x:v>Authorized or traceable tier-1 channel</x:v>
      </x:c>
      <x:c r="W273" s="17" t="str">
        <x:v>Marking MPN package orientation electrical functional sample</x:v>
      </x:c>
      <x:c r="X273" s="17" t="str">
        <x:v>Two housings per cable x four cables; keyed to 5040500691 board headers</x:v>
      </x:c>
      <x:c r="Y273" s="2" t="str"/>
      <x:c r="Z273" s="2" t="str">
        <x:v>HARNESS_COMPONENT</x:v>
      </x:c>
      <x:c r="AA273" s="2" t="str">
        <x:v>FITTED</x:v>
      </x:c>
      <x:c r="AB273" s="2" t="str">
        <x:v>-40..105</x:v>
      </x:c>
      <x:c r="AC273" s="14" t="str">
        <x:v>CONTROLLED_PENDING_VERIFICATION</x:v>
      </x:c>
    </x:row>
    <x:row r="274">
      <x:c r="A274" s="2" t="str">
        <x:v>T-MIC</x:v>
      </x:c>
      <x:c r="B274" s="2" t="str">
        <x:v>HARNESS-MIC</x:v>
      </x:c>
      <x:c r="C274" s="14" t="str">
        <x:v>H_MIC1..H_MIC4 contacts</x:v>
      </x:c>
      <x:c r="D274" s="2" t="str">
        <x:v>Terminal</x:v>
      </x:c>
      <x:c r="E274" s="17" t="str">
        <x:v>Pico-Lock crimp terminals, twelve per MIC harness</x:v>
      </x:c>
      <x:c r="F274" s="2" t="str">
        <x:v>Molex</x:v>
      </x:c>
      <x:c r="G274" s="2" t="str">
        <x:v>5040520098</x:v>
      </x:c>
      <x:c r="H274" s="2" t="str">
        <x:v>Pico-Lock crimp terminal 28-24 AWG</x:v>
      </x:c>
      <x:c r="I274" s="16" t="n">
        <x:v>48</x:v>
      </x:c>
      <x:c r="J274" s="16" t="n">
        <x:v>192</x:v>
      </x:c>
      <x:c r="K274" s="16" t="n">
        <x:v>48</x:v>
      </x:c>
      <x:c r="L274" s="16" t="n">
        <x:v>240</x:v>
      </x:c>
      <x:c r="M274" s="16" t="n">
        <x:v>480</x:v>
      </x:c>
      <x:c r="N274" s="16" t="n">
        <x:v>48</x:v>
      </x:c>
      <x:c r="O274" s="16" t="n">
        <x:v>528</x:v>
      </x:c>
      <x:c r="P274" s="16" t="n">
        <x:v>960</x:v>
      </x:c>
      <x:c r="Q274" s="16" t="n">
        <x:v>48</x:v>
      </x:c>
      <x:c r="R274" s="16" t="n">
        <x:v>1008</x:v>
      </x:c>
      <x:c r="S274" s="14" t="str">
        <x:v>FIXED_LOT_MIN</x:v>
      </x:c>
      <x:c r="T274" s="2" t="str">
        <x:v>COMMON</x:v>
      </x:c>
      <x:c r="U274" s="14" t="str">
        <x:v>SELECTED_PENDING_CRIMP_PULL_TEST</x:v>
      </x:c>
      <x:c r="V274" s="17" t="str">
        <x:v>Authorized or traceable tier-1 channel</x:v>
      </x:c>
      <x:c r="W274" s="17" t="str">
        <x:v>Marking MPN package orientation electrical functional sample</x:v>
      </x:c>
      <x:c r="X274" s="17" t="str">
        <x:v>6 contacts x 2 ends x 4 harnesses; procurement includes one-station terminal spare set</x:v>
      </x:c>
      <x:c r="Y274" s="2" t="str"/>
      <x:c r="Z274" s="2" t="str">
        <x:v>HARNESS_COMPONENT</x:v>
      </x:c>
      <x:c r="AA274" s="2" t="str">
        <x:v>FITTED</x:v>
      </x:c>
      <x:c r="AB274" s="2" t="str">
        <x:v>-40..105</x:v>
      </x:c>
      <x:c r="AC274" s="14" t="str">
        <x:v>CONTROLLED_PENDING_VERIFICATION</x:v>
      </x:c>
    </x:row>
    <x:row r="275">
      <x:c r="A275" s="2" t="str">
        <x:v>H-PWR-MAIN</x:v>
      </x:c>
      <x:c r="B275" s="2" t="str">
        <x:v>HARNESS-PWR-MAIN</x:v>
      </x:c>
      <x:c r="C275" s="14" t="str">
        <x:v>H_PWR_MAIN:A/B</x:v>
      </x:c>
      <x:c r="D275" s="2" t="str">
        <x:v>Housing</x:v>
      </x:c>
      <x:c r="E275" s="17" t="str">
        <x:v>Micro-Fit 3.0 12-position cable housings, two per MAIN-PWR harness</x:v>
      </x:c>
      <x:c r="F275" s="2" t="str">
        <x:v>Molex</x:v>
      </x:c>
      <x:c r="G275" s="2" t="str">
        <x:v>43025-1200</x:v>
      </x:c>
      <x:c r="H275" s="2" t="str">
        <x:v>Micro-Fit 3.0 12-circuit housing</x:v>
      </x:c>
      <x:c r="I275" s="16" t="n">
        <x:v>2</x:v>
      </x:c>
      <x:c r="J275" s="16" t="n">
        <x:v>8</x:v>
      </x:c>
      <x:c r="K275" s="16" t="n">
        <x:v>1</x:v>
      </x:c>
      <x:c r="L275" s="16" t="n">
        <x:v>9</x:v>
      </x:c>
      <x:c r="M275" s="16" t="n">
        <x:v>20</x:v>
      </x:c>
      <x:c r="N275" s="16" t="n">
        <x:v>2</x:v>
      </x:c>
      <x:c r="O275" s="16" t="n">
        <x:v>22</x:v>
      </x:c>
      <x:c r="P275" s="16" t="n">
        <x:v>40</x:v>
      </x:c>
      <x:c r="Q275" s="16" t="n">
        <x:v>4</x:v>
      </x:c>
      <x:c r="R275" s="16" t="n">
        <x:v>44</x:v>
      </x:c>
      <x:c r="S275" s="14" t="str">
        <x:v>SCALE_CEIL_FROM_20_BASELINE</x:v>
      </x:c>
      <x:c r="T275" s="2" t="str">
        <x:v>COMMON</x:v>
      </x:c>
      <x:c r="U275" s="14" t="str">
        <x:v>SELECTED_PENDING_MECHANICS_I2C_TEST</x:v>
      </x:c>
      <x:c r="V275" s="17" t="str">
        <x:v>Authorized or traceable tier-1 channel</x:v>
      </x:c>
      <x:c r="W275" s="17" t="str">
        <x:v>Marking MPN package orientation electrical functional sample</x:v>
      </x:c>
      <x:c r="X275" s="17" t="str">
        <x:v>One housing at PCB-MAIN and one at PCB-PWR</x:v>
      </x:c>
      <x:c r="Y275" s="2" t="str"/>
      <x:c r="Z275" s="2" t="str">
        <x:v>HARNESS_COMPONENT</x:v>
      </x:c>
      <x:c r="AA275" s="2" t="str">
        <x:v>FITTED</x:v>
      </x:c>
      <x:c r="AB275" s="2" t="str">
        <x:v>-40..105</x:v>
      </x:c>
      <x:c r="AC275" s="14" t="str">
        <x:v>CONTROLLED_PENDING_VERIFICATION</x:v>
      </x:c>
    </x:row>
    <x:row r="276">
      <x:c r="A276" s="2" t="str">
        <x:v>T-PWR-MAIN-PWR</x:v>
      </x:c>
      <x:c r="B276" s="2" t="str">
        <x:v>HARNESS-PWR-MAIN</x:v>
      </x:c>
      <x:c r="C276" s="14" t="str">
        <x:v>H_PWR_MAIN power contacts</x:v>
      </x:c>
      <x:c r="D276" s="2" t="str">
        <x:v>Terminal</x:v>
      </x:c>
      <x:c r="E276" s="17" t="str">
        <x:v>Micro-Fit crimp terminals for six power/ground conductors at both ends</x:v>
      </x:c>
      <x:c r="F276" s="2" t="str">
        <x:v>Molex</x:v>
      </x:c>
      <x:c r="G276" s="2" t="str">
        <x:v>43030-0038</x:v>
      </x:c>
      <x:c r="H276" s="2" t="str">
        <x:v>Micro-Fit female crimp terminal 18 AWG class</x:v>
      </x:c>
      <x:c r="I276" s="16" t="n">
        <x:v>12</x:v>
      </x:c>
      <x:c r="J276" s="16" t="n">
        <x:v>48</x:v>
      </x:c>
      <x:c r="K276" s="16" t="n">
        <x:v>3</x:v>
      </x:c>
      <x:c r="L276" s="16" t="n">
        <x:v>51</x:v>
      </x:c>
      <x:c r="M276" s="16" t="n">
        <x:v>120</x:v>
      </x:c>
      <x:c r="N276" s="16" t="n">
        <x:v>6</x:v>
      </x:c>
      <x:c r="O276" s="16" t="n">
        <x:v>126</x:v>
      </x:c>
      <x:c r="P276" s="16" t="n">
        <x:v>240</x:v>
      </x:c>
      <x:c r="Q276" s="16" t="n">
        <x:v>12</x:v>
      </x:c>
      <x:c r="R276" s="16" t="n">
        <x:v>252</x:v>
      </x:c>
      <x:c r="S276" s="14" t="str">
        <x:v>SCALE_CEIL_FROM_20_BASELINE</x:v>
      </x:c>
      <x:c r="T276" s="2" t="str">
        <x:v>COMMON</x:v>
      </x:c>
      <x:c r="U276" s="14" t="str">
        <x:v>SELECTED_PENDING_CURRENT_PULL_TEST</x:v>
      </x:c>
      <x:c r="V276" s="17" t="str">
        <x:v>Authorized or traceable tier-1 channel</x:v>
      </x:c>
      <x:c r="W276" s="17" t="str">
        <x:v>Marking MPN package orientation electrical functional sample</x:v>
      </x:c>
      <x:c r="X276" s="17" t="str">
        <x:v>Pins 1-6 x two cable ends; final wire construction must match approved terminal range</x:v>
      </x:c>
      <x:c r="Y276" s="2" t="str"/>
      <x:c r="Z276" s="2" t="str">
        <x:v>HARNESS_COMPONENT</x:v>
      </x:c>
      <x:c r="AA276" s="2" t="str">
        <x:v>FITTED</x:v>
      </x:c>
      <x:c r="AB276" s="2" t="str">
        <x:v>-40..105</x:v>
      </x:c>
      <x:c r="AC276" s="14" t="str">
        <x:v>CONTROLLED_PENDING_VERIFICATION</x:v>
      </x:c>
    </x:row>
    <x:row r="277">
      <x:c r="A277" s="2" t="str">
        <x:v>T-PWR-MAIN-CTL</x:v>
      </x:c>
      <x:c r="B277" s="2" t="str">
        <x:v>HARNESS-PWR-MAIN</x:v>
      </x:c>
      <x:c r="C277" s="14" t="str">
        <x:v>H_PWR_MAIN control contacts</x:v>
      </x:c>
      <x:c r="D277" s="2" t="str">
        <x:v>Terminal</x:v>
      </x:c>
      <x:c r="E277" s="17" t="str">
        <x:v>Micro-Fit crimp terminals for six control/I2C conductors at both ends</x:v>
      </x:c>
      <x:c r="F277" s="2" t="str">
        <x:v>Molex</x:v>
      </x:c>
      <x:c r="G277" s="2" t="str">
        <x:v>43030-0001</x:v>
      </x:c>
      <x:c r="H277" s="2" t="str">
        <x:v>Micro-Fit female crimp terminal 20-24 AWG class</x:v>
      </x:c>
      <x:c r="I277" s="16" t="n">
        <x:v>12</x:v>
      </x:c>
      <x:c r="J277" s="16" t="n">
        <x:v>48</x:v>
      </x:c>
      <x:c r="K277" s="16" t="n">
        <x:v>3</x:v>
      </x:c>
      <x:c r="L277" s="16" t="n">
        <x:v>51</x:v>
      </x:c>
      <x:c r="M277" s="16" t="n">
        <x:v>120</x:v>
      </x:c>
      <x:c r="N277" s="16" t="n">
        <x:v>6</x:v>
      </x:c>
      <x:c r="O277" s="16" t="n">
        <x:v>126</x:v>
      </x:c>
      <x:c r="P277" s="16" t="n">
        <x:v>240</x:v>
      </x:c>
      <x:c r="Q277" s="16" t="n">
        <x:v>12</x:v>
      </x:c>
      <x:c r="R277" s="16" t="n">
        <x:v>252</x:v>
      </x:c>
      <x:c r="S277" s="14" t="str">
        <x:v>SCALE_CEIL_FROM_20_BASELINE</x:v>
      </x:c>
      <x:c r="T277" s="2" t="str">
        <x:v>COMMON</x:v>
      </x:c>
      <x:c r="U277" s="14" t="str">
        <x:v>SELECTED_PENDING_I2C_PULL_TEST</x:v>
      </x:c>
      <x:c r="V277" s="17" t="str">
        <x:v>Authorized or traceable tier-1 channel</x:v>
      </x:c>
      <x:c r="W277" s="17" t="str">
        <x:v>Marking MPN package orientation electrical functional sample</x:v>
      </x:c>
      <x:c r="X277" s="17" t="str">
        <x:v>Pins 7-12 x two cable ends; includes I2C2 SCL/SDA on pins 11/12</x:v>
      </x:c>
      <x:c r="Y277" s="2" t="str"/>
      <x:c r="Z277" s="2" t="str">
        <x:v>HARNESS_COMPONENT</x:v>
      </x:c>
      <x:c r="AA277" s="2" t="str">
        <x:v>FITTED</x:v>
      </x:c>
      <x:c r="AB277" s="2" t="str">
        <x:v>-40..105</x:v>
      </x:c>
      <x:c r="AC277" s="14" t="str">
        <x:v>CONTROLLED_PENDING_VERIFICATION</x:v>
      </x:c>
    </x:row>
    <x:row r="278">
      <x:c r="A278" s="2" t="str">
        <x:v>R-MIC</x:v>
      </x:c>
      <x:c r="B278" s="2" t="str">
        <x:v>PCB-MIC</x:v>
      </x:c>
      <x:c r="C278" s="14" t="str">
        <x:v>PCB-MIC:R1 x4</x:v>
      </x:c>
      <x:c r="D278" s="2" t="str">
        <x:v>Passive</x:v>
      </x:c>
      <x:c r="E278" s="17" t="str">
        <x:v>0 ohm PDM DATA source-termination/tuning link</x:v>
      </x:c>
      <x:c r="F278" s="2" t="str">
        <x:v>Panasonic Industry</x:v>
      </x:c>
      <x:c r="G278" s="2" t="str">
        <x:v>ERJ-2GE0R00X</x:v>
      </x:c>
      <x:c r="H278" s="2" t="str">
        <x:v>0402 1005 metric</x:v>
      </x:c>
      <x:c r="I278" s="16" t="n">
        <x:v>4</x:v>
      </x:c>
      <x:c r="J278" s="16" t="n">
        <x:v>16</x:v>
      </x:c>
      <x:c r="K278" s="16" t="n">
        <x:v>40</x:v>
      </x:c>
      <x:c r="L278" s="16" t="n">
        <x:v>56</x:v>
      </x:c>
      <x:c r="M278" s="16" t="n">
        <x:v>40</x:v>
      </x:c>
      <x:c r="N278" s="16" t="n">
        <x:v>40</x:v>
      </x:c>
      <x:c r="O278" s="16" t="n">
        <x:v>80</x:v>
      </x:c>
      <x:c r="P278" s="16" t="n">
        <x:v>80</x:v>
      </x:c>
      <x:c r="Q278" s="16" t="n">
        <x:v>40</x:v>
      </x:c>
      <x:c r="R278" s="16" t="n">
        <x:v>120</x:v>
      </x:c>
      <x:c r="S278" s="14" t="str">
        <x:v>FIXED_LOT_MIN</x:v>
      </x:c>
      <x:c r="T278" s="2" t="str">
        <x:v>COMMON</x:v>
      </x:c>
      <x:c r="U278" s="14" t="str">
        <x:v>SELECTED_POPULATED_BASELINE_PENDING_SI</x:v>
      </x:c>
      <x:c r="V278" s="17" t="str">
        <x:v>Authorized or traceable tier-1 channel</x:v>
      </x:c>
      <x:c r="W278" s="17" t="str">
        <x:v>Marking MPN package orientation electrical functional sample</x:v>
      </x:c>
      <x:c r="X278" s="17" t="str">
        <x:v>One populated R1 per PCB-MIC leaf; any DNP/value change requires SI review and BOM revision</x:v>
      </x:c>
      <x:c r="Y278" s="2" t="str">
        <x:v>0 ohm</x:v>
      </x:c>
      <x:c r="Z278" s="2" t="str">
        <x:v>ELECTRICAL_COMPONENT</x:v>
      </x:c>
      <x:c r="AA278" s="2" t="str">
        <x:v>FITTED</x:v>
      </x:c>
      <x:c r="AB278" s="2" t="str">
        <x:v>-55..155</x:v>
      </x:c>
      <x:c r="AC278" s="14" t="str">
        <x:v>CONTROLLED_PENDING_VERIFICATION</x:v>
      </x:c>
    </x:row>
    <x:row r="279">
      <x:c r="A279" s="2" t="str">
        <x:v>PWR-C-100N</x:v>
      </x:c>
      <x:c r="B279" s="2" t="str">
        <x:v>PCB-PWR</x:v>
      </x:c>
      <x:c r="C279" s="14" t="str">
        <x:v>C1;C2;C4;C6</x:v>
      </x:c>
      <x:c r="D279" s="2" t="str">
        <x:v>Passive</x:v>
      </x:c>
      <x:c r="E279" s="17" t="str">
        <x:v>PCB-PWR 100 nF 25 V X7R</x:v>
      </x:c>
      <x:c r="F279" s="2" t="str">
        <x:v>TDK</x:v>
      </x:c>
      <x:c r="G279" s="2" t="str">
        <x:v>CGA2B3X7R1E104K050BB</x:v>
      </x:c>
      <x:c r="H279" s="2" t="str">
        <x:v>0402</x:v>
      </x:c>
      <x:c r="I279" s="16" t="n">
        <x:v>4</x:v>
      </x:c>
      <x:c r="J279" s="16" t="n">
        <x:v>16</x:v>
      </x:c>
      <x:c r="K279" s="16" t="n">
        <x:v>40</x:v>
      </x:c>
      <x:c r="L279" s="16" t="n">
        <x:v>56</x:v>
      </x:c>
      <x:c r="M279" s="16" t="n">
        <x:v>40</x:v>
      </x:c>
      <x:c r="N279" s="16" t="n">
        <x:v>40</x:v>
      </x:c>
      <x:c r="O279" s="16" t="n">
        <x:v>80</x:v>
      </x:c>
      <x:c r="P279" s="16" t="n">
        <x:v>80</x:v>
      </x:c>
      <x:c r="Q279" s="16" t="n">
        <x:v>40</x:v>
      </x:c>
      <x:c r="R279" s="16" t="n">
        <x:v>120</x:v>
      </x:c>
      <x:c r="S279" s="14" t="str">
        <x:v>FIXED_LOT_MIN</x:v>
      </x:c>
      <x:c r="T279" s="2" t="str">
        <x:v>COMMON</x:v>
      </x:c>
      <x:c r="U279" s="14" t="str">
        <x:v>LOCKED_CANDIDATE_PENDING_DERATING</x:v>
      </x:c>
      <x:c r="V279" s="17" t="str">
        <x:v>Authorized or traceable tier-1 channel</x:v>
      </x:c>
      <x:c r="W279" s="17" t="str">
        <x:v>Marking MPN package orientation electrical functional sample</x:v>
      </x:c>
      <x:c r="X279" s="17" t="str">
        <x:v>Rev.A source PCB_PWR_PASSIVE_AUTHORITY_REV_A.csv; footprint Capacitor_SMD:C_0402_1005Metric; blockers: DC bias and assembly review; bootstrap loop placement and assembly review</x:v>
      </x:c>
      <x:c r="Y279" s="2" t="str">
        <x:v>100 nF 25 V X7R</x:v>
      </x:c>
      <x:c r="Z279" s="2" t="str">
        <x:v>ELECTRICAL_COMPONENT</x:v>
      </x:c>
      <x:c r="AA279" s="2" t="str">
        <x:v>FITTED</x:v>
      </x:c>
      <x:c r="AB279" s="2" t="str">
        <x:v>-55..125</x:v>
      </x:c>
      <x:c r="AC279" s="14" t="str">
        <x:v>CONTROLLED_PENDING_VERIFICATION</x:v>
      </x:c>
    </x:row>
    <x:row r="280">
      <x:c r="A280" s="2" t="str">
        <x:v>PWR-C-LDO</x:v>
      </x:c>
      <x:c r="B280" s="2" t="str">
        <x:v>PCB-PWR</x:v>
      </x:c>
      <x:c r="C280" s="14" t="str">
        <x:v>C7;C8</x:v>
      </x:c>
      <x:c r="D280" s="2" t="str">
        <x:v>Passive</x:v>
      </x:c>
      <x:c r="E280" s="17" t="str">
        <x:v>PCB-PWR 2.2 uF 10 V X7R</x:v>
      </x:c>
      <x:c r="F280" s="2" t="str">
        <x:v>TDK</x:v>
      </x:c>
      <x:c r="G280" s="2" t="str">
        <x:v>CGA3E1X7R1A225K080AC</x:v>
      </x:c>
      <x:c r="H280" s="2" t="str">
        <x:v>0603</x:v>
      </x:c>
      <x:c r="I280" s="16" t="n">
        <x:v>2</x:v>
      </x:c>
      <x:c r="J280" s="16" t="n">
        <x:v>8</x:v>
      </x:c>
      <x:c r="K280" s="16" t="n">
        <x:v>40</x:v>
      </x:c>
      <x:c r="L280" s="16" t="n">
        <x:v>48</x:v>
      </x:c>
      <x:c r="M280" s="16" t="n">
        <x:v>20</x:v>
      </x:c>
      <x:c r="N280" s="16" t="n">
        <x:v>40</x:v>
      </x:c>
      <x:c r="O280" s="16" t="n">
        <x:v>60</x:v>
      </x:c>
      <x:c r="P280" s="16" t="n">
        <x:v>40</x:v>
      </x:c>
      <x:c r="Q280" s="16" t="n">
        <x:v>40</x:v>
      </x:c>
      <x:c r="R280" s="16" t="n">
        <x:v>80</x:v>
      </x:c>
      <x:c r="S280" s="14" t="str">
        <x:v>FIXED_LOT_MIN</x:v>
      </x:c>
      <x:c r="T280" s="2" t="str">
        <x:v>COMMON</x:v>
      </x:c>
      <x:c r="U280" s="14" t="str">
        <x:v>LOCKED_CANDIDATE_PENDING_DERATING</x:v>
      </x:c>
      <x:c r="V280" s="17" t="str">
        <x:v>Authorized or traceable tier-1 channel</x:v>
      </x:c>
      <x:c r="W280" s="17" t="str">
        <x:v>Marking MPN package orientation electrical functional sample</x:v>
      </x:c>
      <x:c r="X280" s="17" t="str">
        <x:v>Rev.A source PCB_PWR_PASSIVE_AUTHORITY_REV_A.csv; footprint Capacitor_SMD:C_0603_1608Metric; blockers: effective capacitance and microphone noise test; effective capacitance and noise test</x:v>
      </x:c>
      <x:c r="Y280" s="2" t="str">
        <x:v>2.2 uF 10 V X7R</x:v>
      </x:c>
      <x:c r="Z280" s="2" t="str">
        <x:v>ELECTRICAL_COMPONENT</x:v>
      </x:c>
      <x:c r="AA280" s="2" t="str">
        <x:v>FITTED</x:v>
      </x:c>
      <x:c r="AB280" s="2" t="str">
        <x:v>-55..125</x:v>
      </x:c>
      <x:c r="AC280" s="14" t="str">
        <x:v>CONTROLLED_PENDING_VERIFICATION</x:v>
      </x:c>
    </x:row>
    <x:row r="281">
      <x:c r="A281" s="2" t="str">
        <x:v>PWR-C-CIN-HF</x:v>
      </x:c>
      <x:c r="B281" s="2" t="str">
        <x:v>PCB-PWR</x:v>
      </x:c>
      <x:c r="C281" s="14" t="str">
        <x:v>C9;C20;C21</x:v>
      </x:c>
      <x:c r="D281" s="2" t="str">
        <x:v>Passive</x:v>
      </x:c>
      <x:c r="E281" s="17" t="str">
        <x:v>PCB-PWR 100 nF 50 V X7R</x:v>
      </x:c>
      <x:c r="F281" s="2" t="str">
        <x:v>TDK</x:v>
      </x:c>
      <x:c r="G281" s="2" t="str">
        <x:v>CGA3E2X7R1H104K080AA</x:v>
      </x:c>
      <x:c r="H281" s="2" t="str">
        <x:v>0603</x:v>
      </x:c>
      <x:c r="I281" s="16" t="n">
        <x:v>3</x:v>
      </x:c>
      <x:c r="J281" s="16" t="n">
        <x:v>12</x:v>
      </x:c>
      <x:c r="K281" s="16" t="n">
        <x:v>40</x:v>
      </x:c>
      <x:c r="L281" s="16" t="n">
        <x:v>52</x:v>
      </x:c>
      <x:c r="M281" s="16" t="n">
        <x:v>30</x:v>
      </x:c>
      <x:c r="N281" s="16" t="n">
        <x:v>40</x:v>
      </x:c>
      <x:c r="O281" s="16" t="n">
        <x:v>70</x:v>
      </x:c>
      <x:c r="P281" s="16" t="n">
        <x:v>60</x:v>
      </x:c>
      <x:c r="Q281" s="16" t="n">
        <x:v>40</x:v>
      </x:c>
      <x:c r="R281" s="16" t="n">
        <x:v>100</x:v>
      </x:c>
      <x:c r="S281" s="14" t="str">
        <x:v>FIXED_LOT_MIN</x:v>
      </x:c>
      <x:c r="T281" s="2" t="str">
        <x:v>COMMON</x:v>
      </x:c>
      <x:c r="U281" s="14" t="str">
        <x:v>CONTROLLED_CANDIDATE_PENDING_MULTIPLE_REVIEWS</x:v>
      </x:c>
      <x:c r="V281" s="17" t="str">
        <x:v>Authorized or traceable tier-1 channel</x:v>
      </x:c>
      <x:c r="W281" s="17" t="str">
        <x:v>Marking MPN package orientation electrical functional sample</x:v>
      </x:c>
      <x:c r="X281" s="17" t="str">
        <x:v>Rev.A source PCB_PWR_PASSIVE_AUTHORITY_REV_A.csv; footprint Capacitor_SMD:C_0603_1608Metric; blockers: DC bias high-frequency loop placement and EMI review; transient profile and TVS coordination</x:v>
      </x:c>
      <x:c r="Y281" s="2" t="str">
        <x:v>100 nF 50 V X7R</x:v>
      </x:c>
      <x:c r="Z281" s="2" t="str">
        <x:v>ELECTRICAL_COMPONENT</x:v>
      </x:c>
      <x:c r="AA281" s="2" t="str">
        <x:v>FITTED</x:v>
      </x:c>
      <x:c r="AB281" s="2" t="str">
        <x:v>-55..125</x:v>
      </x:c>
      <x:c r="AC281" s="14" t="str">
        <x:v>CONTROLLED_PENDING_VERIFICATION</x:v>
      </x:c>
    </x:row>
    <x:row r="282">
      <x:c r="A282" s="2" t="str">
        <x:v>PWR-C-INPUT</x:v>
      </x:c>
      <x:c r="B282" s="2" t="str">
        <x:v>PCB-PWR</x:v>
      </x:c>
      <x:c r="C282" s="14" t="str">
        <x:v>C10;C11;C12</x:v>
      </x:c>
      <x:c r="D282" s="2" t="str">
        <x:v>Passive</x:v>
      </x:c>
      <x:c r="E282" s="17" t="str">
        <x:v>PCB-PWR 4.7 uF 50 V X7R</x:v>
      </x:c>
      <x:c r="F282" s="2" t="str">
        <x:v>TDK</x:v>
      </x:c>
      <x:c r="G282" s="2" t="str">
        <x:v>CGA6P3X7R1H475K250AB</x:v>
      </x:c>
      <x:c r="H282" s="2" t="str">
        <x:v>1210</x:v>
      </x:c>
      <x:c r="I282" s="16" t="n">
        <x:v>3</x:v>
      </x:c>
      <x:c r="J282" s="16" t="n">
        <x:v>12</x:v>
      </x:c>
      <x:c r="K282" s="16" t="n">
        <x:v>40</x:v>
      </x:c>
      <x:c r="L282" s="16" t="n">
        <x:v>52</x:v>
      </x:c>
      <x:c r="M282" s="16" t="n">
        <x:v>30</x:v>
      </x:c>
      <x:c r="N282" s="16" t="n">
        <x:v>40</x:v>
      </x:c>
      <x:c r="O282" s="16" t="n">
        <x:v>70</x:v>
      </x:c>
      <x:c r="P282" s="16" t="n">
        <x:v>60</x:v>
      </x:c>
      <x:c r="Q282" s="16" t="n">
        <x:v>40</x:v>
      </x:c>
      <x:c r="R282" s="16" t="n">
        <x:v>100</x:v>
      </x:c>
      <x:c r="S282" s="14" t="str">
        <x:v>FIXED_LOT_MIN</x:v>
      </x:c>
      <x:c r="T282" s="2" t="str">
        <x:v>COMMON</x:v>
      </x:c>
      <x:c r="U282" s="14" t="str">
        <x:v>CONTROLLED_CANDIDATE_PENDING_MULTIPLE_REVIEWS</x:v>
      </x:c>
      <x:c r="V282" s="17" t="str">
        <x:v>Authorized or traceable tier-1 channel</x:v>
      </x:c>
      <x:c r="W282" s="17" t="str">
        <x:v>Marking MPN package orientation electrical functional sample</x:v>
      </x:c>
      <x:c r="X282" s="17" t="str">
        <x:v>Rev.A source PCB_PWR_PASSIVE_AUTHORITY_REV_A.csv; footprint Capacitor_SMD:C_1210_3225Metric; blockers: DC bias load-step and hot-loop review; transient profile DC bias and assembly review</x:v>
      </x:c>
      <x:c r="Y282" s="2" t="str">
        <x:v>4.7 uF 50 V X7R</x:v>
      </x:c>
      <x:c r="Z282" s="2" t="str">
        <x:v>ELECTRICAL_COMPONENT</x:v>
      </x:c>
      <x:c r="AA282" s="2" t="str">
        <x:v>FITTED</x:v>
      </x:c>
      <x:c r="AB282" s="2" t="str">
        <x:v>-55..125</x:v>
      </x:c>
      <x:c r="AC282" s="14" t="str">
        <x:v>CONTROLLED_PENDING_VERIFICATION</x:v>
      </x:c>
    </x:row>
    <x:row r="283">
      <x:c r="A283" s="2" t="str">
        <x:v>PWR-C-BULK</x:v>
      </x:c>
      <x:c r="B283" s="2" t="str">
        <x:v>PCB-PWR</x:v>
      </x:c>
      <x:c r="C283" s="14" t="str">
        <x:v>C13</x:v>
      </x:c>
      <x:c r="D283" s="2" t="str">
        <x:v>Passive</x:v>
      </x:c>
      <x:c r="E283" s="17" t="str">
        <x:v>PCB-PWR 100 uF 35 V hybrid</x:v>
      </x:c>
      <x:c r="F283" s="2" t="str">
        <x:v>Panasonic Industry</x:v>
      </x:c>
      <x:c r="G283" s="2" t="str">
        <x:v>EEH-ZK1V101XP</x:v>
      </x:c>
      <x:c r="H283" s="2" t="str">
        <x:v>SMD can 6.3x7.7 mm</x:v>
      </x:c>
      <x:c r="I283" s="16" t="n">
        <x:v>1</x:v>
      </x:c>
      <x:c r="J283" s="16" t="n">
        <x:v>4</x:v>
      </x:c>
      <x:c r="K283" s="16" t="n">
        <x:v>40</x:v>
      </x:c>
      <x:c r="L283" s="16" t="n">
        <x:v>44</x:v>
      </x:c>
      <x:c r="M283" s="16" t="n">
        <x:v>10</x:v>
      </x:c>
      <x:c r="N283" s="16" t="n">
        <x:v>40</x:v>
      </x:c>
      <x:c r="O283" s="16" t="n">
        <x:v>50</x:v>
      </x:c>
      <x:c r="P283" s="16" t="n">
        <x:v>20</x:v>
      </x:c>
      <x:c r="Q283" s="16" t="n">
        <x:v>40</x:v>
      </x:c>
      <x:c r="R283" s="16" t="n">
        <x:v>60</x:v>
      </x:c>
      <x:c r="S283" s="14" t="str">
        <x:v>FIXED_LOT_MIN</x:v>
      </x:c>
      <x:c r="T283" s="2" t="str">
        <x:v>COMMON</x:v>
      </x:c>
      <x:c r="U283" s="14" t="str">
        <x:v>LOCKED_CANDIDATE_PACKAGE_REVIEW_PENDING</x:v>
      </x:c>
      <x:c r="V283" s="17" t="str">
        <x:v>Authorized or traceable tier-1 channel</x:v>
      </x:c>
      <x:c r="W283" s="17" t="str">
        <x:v>Marking MPN package orientation electrical functional sample</x:v>
      </x:c>
      <x:c r="X283" s="17" t="str">
        <x:v>Rev.A source PCB_PWR_PASSIVE_AUTHORITY_REV_A.csv; footprint Capacitor_SMD:CP_Elec_6.3x7.7; blockers: manufacturer land-pattern comparison transient ripple and thermal test</x:v>
      </x:c>
      <x:c r="Y283" s="2" t="str">
        <x:v>100 uF 35 V hybrid</x:v>
      </x:c>
      <x:c r="Z283" s="2" t="str">
        <x:v>ELECTRICAL_COMPONENT</x:v>
      </x:c>
      <x:c r="AA283" s="2" t="str">
        <x:v>FITTED</x:v>
      </x:c>
      <x:c r="AB283" s="2" t="str">
        <x:v>-55..125</x:v>
      </x:c>
      <x:c r="AC283" s="14" t="str">
        <x:v>CONTROLLED_PENDING_VERIFICATION</x:v>
      </x:c>
    </x:row>
    <x:row r="284">
      <x:c r="A284" s="2" t="str">
        <x:v>PWR-COUT-3V8</x:v>
      </x:c>
      <x:c r="B284" s="2" t="str">
        <x:v>PCB-PWR</x:v>
      </x:c>
      <x:c r="C284" s="14" t="str">
        <x:v>C3;C14;C15;C16</x:v>
      </x:c>
      <x:c r="D284" s="2" t="str">
        <x:v>Passive</x:v>
      </x:c>
      <x:c r="E284" s="17" t="str">
        <x:v>PCB-PWR 22 uF 25 V X7R</x:v>
      </x:c>
      <x:c r="F284" s="2" t="str">
        <x:v>TDK</x:v>
      </x:c>
      <x:c r="G284" s="2" t="str">
        <x:v>CGA6P3X7R1E226M250AB</x:v>
      </x:c>
      <x:c r="H284" s="2" t="str">
        <x:v>1210</x:v>
      </x:c>
      <x:c r="I284" s="16" t="n">
        <x:v>4</x:v>
      </x:c>
      <x:c r="J284" s="16" t="n">
        <x:v>16</x:v>
      </x:c>
      <x:c r="K284" s="16" t="n">
        <x:v>40</x:v>
      </x:c>
      <x:c r="L284" s="16" t="n">
        <x:v>56</x:v>
      </x:c>
      <x:c r="M284" s="16" t="n">
        <x:v>40</x:v>
      </x:c>
      <x:c r="N284" s="16" t="n">
        <x:v>40</x:v>
      </x:c>
      <x:c r="O284" s="16" t="n">
        <x:v>80</x:v>
      </x:c>
      <x:c r="P284" s="16" t="n">
        <x:v>80</x:v>
      </x:c>
      <x:c r="Q284" s="16" t="n">
        <x:v>40</x:v>
      </x:c>
      <x:c r="R284" s="16" t="n">
        <x:v>120</x:v>
      </x:c>
      <x:c r="S284" s="14" t="str">
        <x:v>FIXED_LOT_MIN</x:v>
      </x:c>
      <x:c r="T284" s="2" t="str">
        <x:v>COMMON</x:v>
      </x:c>
      <x:c r="U284" s="14" t="str">
        <x:v>LOCKED_CANDIDATE_PENDING_DERATING</x:v>
      </x:c>
      <x:c r="V284" s="17" t="str">
        <x:v>Authorized or traceable tier-1 channel</x:v>
      </x:c>
      <x:c r="W284" s="17" t="str">
        <x:v>Marking MPN package orientation electrical functional sample</x:v>
      </x:c>
      <x:c r="X284" s="17" t="str">
        <x:v>Rev.A source PCB_PWR_PASSIVE_AUTHORITY_REV_A.csv; footprint Capacitor_SMD:C_1210_3225Metric; blockers: DC bias load-step ripple and assembly review</x:v>
      </x:c>
      <x:c r="Y284" s="2" t="str">
        <x:v>22 uF 25 V X7R</x:v>
      </x:c>
      <x:c r="Z284" s="2" t="str">
        <x:v>ELECTRICAL_COMPONENT</x:v>
      </x:c>
      <x:c r="AA284" s="2" t="str">
        <x:v>FITTED</x:v>
      </x:c>
      <x:c r="AB284" s="2" t="str">
        <x:v>-55..125</x:v>
      </x:c>
      <x:c r="AC284" s="14" t="str">
        <x:v>CONTROLLED_PENDING_VERIFICATION</x:v>
      </x:c>
    </x:row>
    <x:row r="285">
      <x:c r="A285" s="2" t="str">
        <x:v>PWR-COUT-3V3</x:v>
      </x:c>
      <x:c r="B285" s="2" t="str">
        <x:v>PCB-PWR</x:v>
      </x:c>
      <x:c r="C285" s="14" t="str">
        <x:v>C5;C17;C18;C19</x:v>
      </x:c>
      <x:c r="D285" s="2" t="str">
        <x:v>Passive</x:v>
      </x:c>
      <x:c r="E285" s="17" t="str">
        <x:v>PCB-PWR 22 uF 25 V X7R</x:v>
      </x:c>
      <x:c r="F285" s="2" t="str">
        <x:v>TDK</x:v>
      </x:c>
      <x:c r="G285" s="2" t="str">
        <x:v>CGA6P3X7R1E226M250AB</x:v>
      </x:c>
      <x:c r="H285" s="2" t="str">
        <x:v>1210</x:v>
      </x:c>
      <x:c r="I285" s="16" t="n">
        <x:v>4</x:v>
      </x:c>
      <x:c r="J285" s="16" t="n">
        <x:v>16</x:v>
      </x:c>
      <x:c r="K285" s="16" t="n">
        <x:v>40</x:v>
      </x:c>
      <x:c r="L285" s="16" t="n">
        <x:v>56</x:v>
      </x:c>
      <x:c r="M285" s="16" t="n">
        <x:v>40</x:v>
      </x:c>
      <x:c r="N285" s="16" t="n">
        <x:v>40</x:v>
      </x:c>
      <x:c r="O285" s="16" t="n">
        <x:v>80</x:v>
      </x:c>
      <x:c r="P285" s="16" t="n">
        <x:v>80</x:v>
      </x:c>
      <x:c r="Q285" s="16" t="n">
        <x:v>40</x:v>
      </x:c>
      <x:c r="R285" s="16" t="n">
        <x:v>120</x:v>
      </x:c>
      <x:c r="S285" s="14" t="str">
        <x:v>FIXED_LOT_MIN</x:v>
      </x:c>
      <x:c r="T285" s="2" t="str">
        <x:v>COMMON</x:v>
      </x:c>
      <x:c r="U285" s="14" t="str">
        <x:v>LOCKED_CANDIDATE_PENDING_DERATING</x:v>
      </x:c>
      <x:c r="V285" s="17" t="str">
        <x:v>Authorized or traceable tier-1 channel</x:v>
      </x:c>
      <x:c r="W285" s="17" t="str">
        <x:v>Marking MPN package orientation electrical functional sample</x:v>
      </x:c>
      <x:c r="X285" s="17" t="str">
        <x:v>Rev.A source PCB_PWR_PASSIVE_AUTHORITY_REV_A.csv; footprint Capacitor_SMD:C_1210_3225Metric; blockers: DC bias load-step ripple and assembly review</x:v>
      </x:c>
      <x:c r="Y285" s="2" t="str">
        <x:v>22 uF 25 V X7R</x:v>
      </x:c>
      <x:c r="Z285" s="2" t="str">
        <x:v>ELECTRICAL_COMPONENT</x:v>
      </x:c>
      <x:c r="AA285" s="2" t="str">
        <x:v>FITTED</x:v>
      </x:c>
      <x:c r="AB285" s="2" t="str">
        <x:v>-55..125</x:v>
      </x:c>
      <x:c r="AC285" s="14" t="str">
        <x:v>CONTROLLED_PENDING_VERIFICATION</x:v>
      </x:c>
    </x:row>
    <x:row r="286">
      <x:c r="A286" s="2" t="str">
        <x:v>PWR-R-100K-01</x:v>
      </x:c>
      <x:c r="B286" s="2" t="str">
        <x:v>PCB-PWR</x:v>
      </x:c>
      <x:c r="C286" s="14" t="str">
        <x:v>R1</x:v>
      </x:c>
      <x:c r="D286" s="2" t="str">
        <x:v>Passive</x:v>
      </x:c>
      <x:c r="E286" s="17" t="str">
        <x:v>PCB-PWR 100 kOhm 0.1%</x:v>
      </x:c>
      <x:c r="F286" s="2" t="str">
        <x:v>Panasonic Industry</x:v>
      </x:c>
      <x:c r="G286" s="2" t="str">
        <x:v>ERA-2AEB104X</x:v>
      </x:c>
      <x:c r="H286" s="2" t="str">
        <x:v>0402</x:v>
      </x:c>
      <x:c r="I286" s="16" t="n">
        <x:v>1</x:v>
      </x:c>
      <x:c r="J286" s="16" t="n">
        <x:v>4</x:v>
      </x:c>
      <x:c r="K286" s="16" t="n">
        <x:v>40</x:v>
      </x:c>
      <x:c r="L286" s="16" t="n">
        <x:v>44</x:v>
      </x:c>
      <x:c r="M286" s="16" t="n">
        <x:v>10</x:v>
      </x:c>
      <x:c r="N286" s="16" t="n">
        <x:v>40</x:v>
      </x:c>
      <x:c r="O286" s="16" t="n">
        <x:v>50</x:v>
      </x:c>
      <x:c r="P286" s="16" t="n">
        <x:v>20</x:v>
      </x:c>
      <x:c r="Q286" s="16" t="n">
        <x:v>40</x:v>
      </x:c>
      <x:c r="R286" s="16" t="n">
        <x:v>60</x:v>
      </x:c>
      <x:c r="S286" s="14" t="str">
        <x:v>FIXED_LOT_MIN</x:v>
      </x:c>
      <x:c r="T286" s="2" t="str">
        <x:v>COMMON</x:v>
      </x:c>
      <x:c r="U286" s="14" t="str">
        <x:v>LOCKED_CANDIDATE</x:v>
      </x:c>
      <x:c r="V286" s="17" t="str">
        <x:v>Authorized or traceable tier-1 channel</x:v>
      </x:c>
      <x:c r="W286" s="17" t="str">
        <x:v>Marking MPN package orientation electrical functional sample</x:v>
      </x:c>
      <x:c r="X286" s="17" t="str">
        <x:v>Rev.A source PCB_PWR_PASSIVE_AUTHORITY_REV_A.csv; footprint Resistor_SMD:R_0402_1005Metric; blockers: feedback tolerance and load-step verification</x:v>
      </x:c>
      <x:c r="Y286" s="2" t="str">
        <x:v>100 kOhm 0.1%</x:v>
      </x:c>
      <x:c r="Z286" s="2" t="str">
        <x:v>ELECTRICAL_COMPONENT</x:v>
      </x:c>
      <x:c r="AA286" s="2" t="str">
        <x:v>FITTED</x:v>
      </x:c>
      <x:c r="AB286" s="2" t="str">
        <x:v>-55..155</x:v>
      </x:c>
      <x:c r="AC286" s="14" t="str">
        <x:v>CONTROLLED_PENDING_VERIFICATION</x:v>
      </x:c>
    </x:row>
    <x:row r="287">
      <x:c r="A287" s="2" t="str">
        <x:v>PWR-R-35K7</x:v>
      </x:c>
      <x:c r="B287" s="2" t="str">
        <x:v>PCB-PWR</x:v>
      </x:c>
      <x:c r="C287" s="14" t="str">
        <x:v>R2</x:v>
      </x:c>
      <x:c r="D287" s="2" t="str">
        <x:v>Passive</x:v>
      </x:c>
      <x:c r="E287" s="17" t="str">
        <x:v>PCB-PWR 35.7 kOhm 0.1%</x:v>
      </x:c>
      <x:c r="F287" s="2" t="str">
        <x:v>Panasonic Industry</x:v>
      </x:c>
      <x:c r="G287" s="2" t="str">
        <x:v>ERA-2AEB3572X</x:v>
      </x:c>
      <x:c r="H287" s="2" t="str">
        <x:v>0402</x:v>
      </x:c>
      <x:c r="I287" s="16" t="n">
        <x:v>1</x:v>
      </x:c>
      <x:c r="J287" s="16" t="n">
        <x:v>4</x:v>
      </x:c>
      <x:c r="K287" s="16" t="n">
        <x:v>40</x:v>
      </x:c>
      <x:c r="L287" s="16" t="n">
        <x:v>44</x:v>
      </x:c>
      <x:c r="M287" s="16" t="n">
        <x:v>10</x:v>
      </x:c>
      <x:c r="N287" s="16" t="n">
        <x:v>40</x:v>
      </x:c>
      <x:c r="O287" s="16" t="n">
        <x:v>50</x:v>
      </x:c>
      <x:c r="P287" s="16" t="n">
        <x:v>20</x:v>
      </x:c>
      <x:c r="Q287" s="16" t="n">
        <x:v>40</x:v>
      </x:c>
      <x:c r="R287" s="16" t="n">
        <x:v>60</x:v>
      </x:c>
      <x:c r="S287" s="14" t="str">
        <x:v>FIXED_LOT_MIN</x:v>
      </x:c>
      <x:c r="T287" s="2" t="str">
        <x:v>COMMON</x:v>
      </x:c>
      <x:c r="U287" s="14" t="str">
        <x:v>LOCKED_CANDIDATE</x:v>
      </x:c>
      <x:c r="V287" s="17" t="str">
        <x:v>Authorized or traceable tier-1 channel</x:v>
      </x:c>
      <x:c r="W287" s="17" t="str">
        <x:v>Marking MPN package orientation electrical functional sample</x:v>
      </x:c>
      <x:c r="X287" s="17" t="str">
        <x:v>Rev.A source PCB_PWR_PASSIVE_AUTHORITY_REV_A.csv; footprint Resistor_SMD:R_0402_1005Metric; blockers: feedback tolerance and load-step verification</x:v>
      </x:c>
      <x:c r="Y287" s="2" t="str">
        <x:v>35.7 kOhm 0.1%</x:v>
      </x:c>
      <x:c r="Z287" s="2" t="str">
        <x:v>ELECTRICAL_COMPONENT</x:v>
      </x:c>
      <x:c r="AA287" s="2" t="str">
        <x:v>FITTED</x:v>
      </x:c>
      <x:c r="AB287" s="2" t="str">
        <x:v>-55..155</x:v>
      </x:c>
      <x:c r="AC287" s="14" t="str">
        <x:v>CONTROLLED_PENDING_VERIFICATION</x:v>
      </x:c>
    </x:row>
    <x:row r="288">
      <x:c r="A288" s="2" t="str">
        <x:v>PWR-R-86K6</x:v>
      </x:c>
      <x:c r="B288" s="2" t="str">
        <x:v>PCB-PWR</x:v>
      </x:c>
      <x:c r="C288" s="14" t="str">
        <x:v>R3;R7</x:v>
      </x:c>
      <x:c r="D288" s="2" t="str">
        <x:v>Passive</x:v>
      </x:c>
      <x:c r="E288" s="17" t="str">
        <x:v>PCB-PWR 86.6 kOhm 0.1%</x:v>
      </x:c>
      <x:c r="F288" s="2" t="str">
        <x:v>Panasonic Industry</x:v>
      </x:c>
      <x:c r="G288" s="2" t="str">
        <x:v>ERA-2AEB8662X</x:v>
      </x:c>
      <x:c r="H288" s="2" t="str">
        <x:v>0402</x:v>
      </x:c>
      <x:c r="I288" s="16" t="n">
        <x:v>2</x:v>
      </x:c>
      <x:c r="J288" s="16" t="n">
        <x:v>8</x:v>
      </x:c>
      <x:c r="K288" s="16" t="n">
        <x:v>40</x:v>
      </x:c>
      <x:c r="L288" s="16" t="n">
        <x:v>48</x:v>
      </x:c>
      <x:c r="M288" s="16" t="n">
        <x:v>20</x:v>
      </x:c>
      <x:c r="N288" s="16" t="n">
        <x:v>40</x:v>
      </x:c>
      <x:c r="O288" s="16" t="n">
        <x:v>60</x:v>
      </x:c>
      <x:c r="P288" s="16" t="n">
        <x:v>40</x:v>
      </x:c>
      <x:c r="Q288" s="16" t="n">
        <x:v>40</x:v>
      </x:c>
      <x:c r="R288" s="16" t="n">
        <x:v>80</x:v>
      </x:c>
      <x:c r="S288" s="14" t="str">
        <x:v>FIXED_LOT_MIN</x:v>
      </x:c>
      <x:c r="T288" s="2" t="str">
        <x:v>COMMON</x:v>
      </x:c>
      <x:c r="U288" s="14" t="str">
        <x:v>LOCKED_CANDIDATE</x:v>
      </x:c>
      <x:c r="V288" s="17" t="str">
        <x:v>Authorized or traceable tier-1 channel</x:v>
      </x:c>
      <x:c r="W288" s="17" t="str">
        <x:v>Marking MPN package orientation electrical functional sample</x:v>
      </x:c>
      <x:c r="X288" s="17" t="str">
        <x:v>Rev.A source PCB_PWR_PASSIVE_AUTHORITY_REV_A.csv; footprint Resistor_SMD:R_0402_1005Metric; blockers: switching-frequency measurement</x:v>
      </x:c>
      <x:c r="Y288" s="2" t="str">
        <x:v>86.6 kOhm 0.1%</x:v>
      </x:c>
      <x:c r="Z288" s="2" t="str">
        <x:v>ELECTRICAL_COMPONENT</x:v>
      </x:c>
      <x:c r="AA288" s="2" t="str">
        <x:v>FITTED</x:v>
      </x:c>
      <x:c r="AB288" s="2" t="str">
        <x:v>-55..155</x:v>
      </x:c>
      <x:c r="AC288" s="14" t="str">
        <x:v>CONTROLLED_PENDING_VERIFICATION</x:v>
      </x:c>
    </x:row>
    <x:row r="289">
      <x:c r="A289" s="2" t="str">
        <x:v>PWR-R-0R</x:v>
      </x:c>
      <x:c r="B289" s="2" t="str">
        <x:v>PCB-PWR</x:v>
      </x:c>
      <x:c r="C289" s="14" t="str">
        <x:v>R4;R8</x:v>
      </x:c>
      <x:c r="D289" s="2" t="str">
        <x:v>Passive</x:v>
      </x:c>
      <x:c r="E289" s="17" t="str">
        <x:v>PCB-PWR 0 ohm</x:v>
      </x:c>
      <x:c r="F289" s="2" t="str">
        <x:v>Panasonic Industry</x:v>
      </x:c>
      <x:c r="G289" s="2" t="str">
        <x:v>ERJ-2GE0R00X</x:v>
      </x:c>
      <x:c r="H289" s="2" t="str">
        <x:v>0402</x:v>
      </x:c>
      <x:c r="I289" s="16" t="n">
        <x:v>2</x:v>
      </x:c>
      <x:c r="J289" s="16" t="n">
        <x:v>8</x:v>
      </x:c>
      <x:c r="K289" s="16" t="n">
        <x:v>40</x:v>
      </x:c>
      <x:c r="L289" s="16" t="n">
        <x:v>48</x:v>
      </x:c>
      <x:c r="M289" s="16" t="n">
        <x:v>20</x:v>
      </x:c>
      <x:c r="N289" s="16" t="n">
        <x:v>40</x:v>
      </x:c>
      <x:c r="O289" s="16" t="n">
        <x:v>60</x:v>
      </x:c>
      <x:c r="P289" s="16" t="n">
        <x:v>40</x:v>
      </x:c>
      <x:c r="Q289" s="16" t="n">
        <x:v>40</x:v>
      </x:c>
      <x:c r="R289" s="16" t="n">
        <x:v>80</x:v>
      </x:c>
      <x:c r="S289" s="14" t="str">
        <x:v>FIXED_LOT_MIN</x:v>
      </x:c>
      <x:c r="T289" s="2" t="str">
        <x:v>COMMON</x:v>
      </x:c>
      <x:c r="U289" s="14" t="str">
        <x:v>LOCKED_FITTED</x:v>
      </x:c>
      <x:c r="V289" s="17" t="str">
        <x:v>Authorized or traceable tier-1 channel</x:v>
      </x:c>
      <x:c r="W289" s="17" t="str">
        <x:v>Marking MPN package orientation electrical functional sample</x:v>
      </x:c>
      <x:c r="X289" s="17" t="str">
        <x:v>Rev.A source PCB_PWR_PASSIVE_AUTHORITY_REV_A.csv; footprint Resistor_SMD:R_0402_1005Metric; blockers: mode and sleep-current test</x:v>
      </x:c>
      <x:c r="Y289" s="2" t="str">
        <x:v>0 ohm</x:v>
      </x:c>
      <x:c r="Z289" s="2" t="str">
        <x:v>ELECTRICAL_COMPONENT</x:v>
      </x:c>
      <x:c r="AA289" s="2" t="str">
        <x:v>FITTED</x:v>
      </x:c>
      <x:c r="AB289" s="2" t="str">
        <x:v>-55..155</x:v>
      </x:c>
      <x:c r="AC289" s="14" t="str">
        <x:v>CONTROLLED_PENDING_VERIFICATION</x:v>
      </x:c>
    </x:row>
    <x:row r="290">
      <x:c r="A290" s="2" t="str">
        <x:v>PWR-R-0R-DNP</x:v>
      </x:c>
      <x:c r="B290" s="2" t="str">
        <x:v>PCB-PWR</x:v>
      </x:c>
      <x:c r="C290" s="14" t="str">
        <x:v>R5;R9</x:v>
      </x:c>
      <x:c r="D290" s="2" t="str">
        <x:v>Passive</x:v>
      </x:c>
      <x:c r="E290" s="17" t="str">
        <x:v>PCB-PWR 0 ohm</x:v>
      </x:c>
      <x:c r="F290" s="2" t="str">
        <x:v>Panasonic Industry</x:v>
      </x:c>
      <x:c r="G290" s="2" t="str">
        <x:v>ERJ-2GE0R00X</x:v>
      </x:c>
      <x:c r="H290" s="2" t="str">
        <x:v>0402</x:v>
      </x:c>
      <x:c r="I290" s="16" t="n">
        <x:v>0</x:v>
      </x:c>
      <x:c r="J290" s="16" t="n">
        <x:v>0</x:v>
      </x:c>
      <x:c r="K290" s="16" t="n">
        <x:v>0</x:v>
      </x:c>
      <x:c r="L290" s="16" t="n">
        <x:v>0</x:v>
      </x:c>
      <x:c r="M290" s="16" t="n">
        <x:v>0</x:v>
      </x:c>
      <x:c r="N290" s="16" t="n">
        <x:v>0</x:v>
      </x:c>
      <x:c r="O290" s="16" t="n">
        <x:v>0</x:v>
      </x:c>
      <x:c r="P290" s="16" t="n">
        <x:v>0</x:v>
      </x:c>
      <x:c r="Q290" s="16" t="n">
        <x:v>0</x:v>
      </x:c>
      <x:c r="R290" s="16" t="n">
        <x:v>0</x:v>
      </x:c>
      <x:c r="S290" s="14" t="str">
        <x:v>NONE</x:v>
      </x:c>
      <x:c r="T290" s="2" t="str">
        <x:v>COMMON</x:v>
      </x:c>
      <x:c r="U290" s="14" t="str">
        <x:v>LOCKED_DNP</x:v>
      </x:c>
      <x:c r="V290" s="17" t="str">
        <x:v>Authorized or traceable tier-1 channel</x:v>
      </x:c>
      <x:c r="W290" s="17" t="str">
        <x:v>Marking MPN package orientation electrical functional sample</x:v>
      </x:c>
      <x:c r="X290" s="17" t="str">
        <x:v>Rev.A source PCB_PWR_PASSIVE_AUTHORITY_REV_A.csv; footprint Resistor_SMD:R_0402_1005Metric; blockers: assembly population control</x:v>
      </x:c>
      <x:c r="Y290" s="2" t="str">
        <x:v>0 ohm</x:v>
      </x:c>
      <x:c r="Z290" s="2" t="str">
        <x:v>ELECTRICAL_COMPONENT</x:v>
      </x:c>
      <x:c r="AA290" s="2" t="str">
        <x:v>DNP</x:v>
      </x:c>
      <x:c r="AB290" s="2" t="str">
        <x:v>-55..155</x:v>
      </x:c>
      <x:c r="AC290" s="14" t="str">
        <x:v>CONTROLLED_DNP</x:v>
      </x:c>
    </x:row>
    <x:row r="291">
      <x:c r="A291" s="2" t="str">
        <x:v>PWR-R-100K</x:v>
      </x:c>
      <x:c r="B291" s="2" t="str">
        <x:v>PCB-PWR</x:v>
      </x:c>
      <x:c r="C291" s="14" t="str">
        <x:v>R6;R11</x:v>
      </x:c>
      <x:c r="D291" s="2" t="str">
        <x:v>Passive</x:v>
      </x:c>
      <x:c r="E291" s="17" t="str">
        <x:v>PCB-PWR 100 kOhm 1%</x:v>
      </x:c>
      <x:c r="F291" s="2" t="str">
        <x:v>Panasonic Industry</x:v>
      </x:c>
      <x:c r="G291" s="2" t="str">
        <x:v>ERJ-2RKF1003X</x:v>
      </x:c>
      <x:c r="H291" s="2" t="str">
        <x:v>0402</x:v>
      </x:c>
      <x:c r="I291" s="16" t="n">
        <x:v>2</x:v>
      </x:c>
      <x:c r="J291" s="16" t="n">
        <x:v>8</x:v>
      </x:c>
      <x:c r="K291" s="16" t="n">
        <x:v>40</x:v>
      </x:c>
      <x:c r="L291" s="16" t="n">
        <x:v>48</x:v>
      </x:c>
      <x:c r="M291" s="16" t="n">
        <x:v>20</x:v>
      </x:c>
      <x:c r="N291" s="16" t="n">
        <x:v>40</x:v>
      </x:c>
      <x:c r="O291" s="16" t="n">
        <x:v>60</x:v>
      </x:c>
      <x:c r="P291" s="16" t="n">
        <x:v>40</x:v>
      </x:c>
      <x:c r="Q291" s="16" t="n">
        <x:v>40</x:v>
      </x:c>
      <x:c r="R291" s="16" t="n">
        <x:v>80</x:v>
      </x:c>
      <x:c r="S291" s="14" t="str">
        <x:v>FIXED_LOT_MIN</x:v>
      </x:c>
      <x:c r="T291" s="2" t="str">
        <x:v>COMMON</x:v>
      </x:c>
      <x:c r="U291" s="14" t="str">
        <x:v>LOCKED_FITTED</x:v>
      </x:c>
      <x:c r="V291" s="17" t="str">
        <x:v>Authorized or traceable tier-1 channel</x:v>
      </x:c>
      <x:c r="W291" s="17" t="str">
        <x:v>Marking MPN package orientation electrical functional sample</x:v>
      </x:c>
      <x:c r="X291" s="17" t="str">
        <x:v>Rev.A source PCB_PWR_PASSIVE_AUTHORITY_REV_A.csv; footprint Resistor_SMD:R_0402_1005Metric; blockers: startup state verification</x:v>
      </x:c>
      <x:c r="Y291" s="2" t="str">
        <x:v>100 kOhm 1%</x:v>
      </x:c>
      <x:c r="Z291" s="2" t="str">
        <x:v>ELECTRICAL_COMPONENT</x:v>
      </x:c>
      <x:c r="AA291" s="2" t="str">
        <x:v>FITTED</x:v>
      </x:c>
      <x:c r="AB291" s="2" t="str">
        <x:v>-55..155</x:v>
      </x:c>
      <x:c r="AC291" s="14" t="str">
        <x:v>CONTROLLED_PENDING_VERIFICATION</x:v>
      </x:c>
    </x:row>
    <x:row r="292">
      <x:c r="A292" s="2" t="str">
        <x:v>PWR-R-10K</x:v>
      </x:c>
      <x:c r="B292" s="2" t="str">
        <x:v>PCB-PWR</x:v>
      </x:c>
      <x:c r="C292" s="14" t="str">
        <x:v>R10;R12</x:v>
      </x:c>
      <x:c r="D292" s="2" t="str">
        <x:v>Passive</x:v>
      </x:c>
      <x:c r="E292" s="17" t="str">
        <x:v>PCB-PWR 10 kOhm 1%</x:v>
      </x:c>
      <x:c r="F292" s="2" t="str">
        <x:v>Panasonic Industry</x:v>
      </x:c>
      <x:c r="G292" s="2" t="str">
        <x:v>ERJ-2RKF1002X</x:v>
      </x:c>
      <x:c r="H292" s="2" t="str">
        <x:v>0402</x:v>
      </x:c>
      <x:c r="I292" s="16" t="n">
        <x:v>2</x:v>
      </x:c>
      <x:c r="J292" s="16" t="n">
        <x:v>8</x:v>
      </x:c>
      <x:c r="K292" s="16" t="n">
        <x:v>40</x:v>
      </x:c>
      <x:c r="L292" s="16" t="n">
        <x:v>48</x:v>
      </x:c>
      <x:c r="M292" s="16" t="n">
        <x:v>20</x:v>
      </x:c>
      <x:c r="N292" s="16" t="n">
        <x:v>40</x:v>
      </x:c>
      <x:c r="O292" s="16" t="n">
        <x:v>60</x:v>
      </x:c>
      <x:c r="P292" s="16" t="n">
        <x:v>40</x:v>
      </x:c>
      <x:c r="Q292" s="16" t="n">
        <x:v>40</x:v>
      </x:c>
      <x:c r="R292" s="16" t="n">
        <x:v>80</x:v>
      </x:c>
      <x:c r="S292" s="14" t="str">
        <x:v>FIXED_LOT_MIN</x:v>
      </x:c>
      <x:c r="T292" s="2" t="str">
        <x:v>COMMON</x:v>
      </x:c>
      <x:c r="U292" s="14" t="str">
        <x:v>LOCKED_FITTED</x:v>
      </x:c>
      <x:c r="V292" s="17" t="str">
        <x:v>Authorized or traceable tier-1 channel</x:v>
      </x:c>
      <x:c r="W292" s="17" t="str">
        <x:v>Marking MPN package orientation electrical functional sample</x:v>
      </x:c>
      <x:c r="X292" s="17" t="str">
        <x:v>Rev.A source PCB_PWR_PASSIVE_AUTHORITY_REV_A.csv; footprint Resistor_SMD:R_0402_1005Metric; blockers: logic threshold and fault verification; logic threshold and startup verification</x:v>
      </x:c>
      <x:c r="Y292" s="2" t="str">
        <x:v>10 kOhm 1%</x:v>
      </x:c>
      <x:c r="Z292" s="2" t="str">
        <x:v>ELECTRICAL_COMPONENT</x:v>
      </x:c>
      <x:c r="AA292" s="2" t="str">
        <x:v>FITTED</x:v>
      </x:c>
      <x:c r="AB292" s="2" t="str">
        <x:v>-55..155</x:v>
      </x:c>
      <x:c r="AC292" s="14" t="str">
        <x:v>CONTROLLED_PENDING_VERIFICATION</x:v>
      </x:c>
    </x:row>
    <x:row r="293">
      <x:c r="A293" s="2" t="str">
        <x:v>PWR-R-4K7-DNP</x:v>
      </x:c>
      <x:c r="B293" s="2" t="str">
        <x:v>PCB-PWR</x:v>
      </x:c>
      <x:c r="C293" s="14" t="str">
        <x:v>R13;R14</x:v>
      </x:c>
      <x:c r="D293" s="2" t="str">
        <x:v>Passive</x:v>
      </x:c>
      <x:c r="E293" s="17" t="str">
        <x:v>PCB-PWR 4.7 kOhm 1%</x:v>
      </x:c>
      <x:c r="F293" s="2" t="str">
        <x:v>Panasonic Industry</x:v>
      </x:c>
      <x:c r="G293" s="2" t="str">
        <x:v>ERJ-2RKF4701X</x:v>
      </x:c>
      <x:c r="H293" s="2" t="str">
        <x:v>0402</x:v>
      </x:c>
      <x:c r="I293" s="16" t="n">
        <x:v>0</x:v>
      </x:c>
      <x:c r="J293" s="16" t="n">
        <x:v>0</x:v>
      </x:c>
      <x:c r="K293" s="16" t="n">
        <x:v>0</x:v>
      </x:c>
      <x:c r="L293" s="16" t="n">
        <x:v>0</x:v>
      </x:c>
      <x:c r="M293" s="16" t="n">
        <x:v>0</x:v>
      </x:c>
      <x:c r="N293" s="16" t="n">
        <x:v>0</x:v>
      </x:c>
      <x:c r="O293" s="16" t="n">
        <x:v>0</x:v>
      </x:c>
      <x:c r="P293" s="16" t="n">
        <x:v>0</x:v>
      </x:c>
      <x:c r="Q293" s="16" t="n">
        <x:v>0</x:v>
      </x:c>
      <x:c r="R293" s="16" t="n">
        <x:v>0</x:v>
      </x:c>
      <x:c r="S293" s="14" t="str">
        <x:v>NONE</x:v>
      </x:c>
      <x:c r="T293" s="2" t="str">
        <x:v>COMMON</x:v>
      </x:c>
      <x:c r="U293" s="14" t="str">
        <x:v>LOCKED_DNP</x:v>
      </x:c>
      <x:c r="V293" s="17" t="str">
        <x:v>Authorized or traceable tier-1 channel</x:v>
      </x:c>
      <x:c r="W293" s="17" t="str">
        <x:v>Marking MPN package orientation electrical functional sample</x:v>
      </x:c>
      <x:c r="X293" s="17" t="str">
        <x:v>Rev.A source PCB_PWR_PASSIVE_AUTHORITY_REV_A.csv; footprint Resistor_SMD:R_0402_1005Metric; blockers: I2C harness capacitance and population control</x:v>
      </x:c>
      <x:c r="Y293" s="2" t="str">
        <x:v>4.7 kOhm 1%</x:v>
      </x:c>
      <x:c r="Z293" s="2" t="str">
        <x:v>ELECTRICAL_COMPONENT</x:v>
      </x:c>
      <x:c r="AA293" s="2" t="str">
        <x:v>DNP</x:v>
      </x:c>
      <x:c r="AB293" s="2" t="str">
        <x:v>-55..155</x:v>
      </x:c>
      <x:c r="AC293" s="14" t="str">
        <x:v>CONTROLLED_DNP</x:v>
      </x:c>
    </x:row>
    <x:row r="294">
      <x:c r="A294" s="2" t="str">
        <x:v>PWR-R-10K-DNP</x:v>
      </x:c>
      <x:c r="B294" s="2" t="str">
        <x:v>PCB-PWR</x:v>
      </x:c>
      <x:c r="C294" s="14" t="str">
        <x:v>R15</x:v>
      </x:c>
      <x:c r="D294" s="2" t="str">
        <x:v>Passive</x:v>
      </x:c>
      <x:c r="E294" s="17" t="str">
        <x:v>PCB-PWR 10 kOhm 1%</x:v>
      </x:c>
      <x:c r="F294" s="2" t="str">
        <x:v>Panasonic Industry</x:v>
      </x:c>
      <x:c r="G294" s="2" t="str">
        <x:v>ERJ-2RKF1002X</x:v>
      </x:c>
      <x:c r="H294" s="2" t="str">
        <x:v>0402</x:v>
      </x:c>
      <x:c r="I294" s="16" t="n">
        <x:v>0</x:v>
      </x:c>
      <x:c r="J294" s="16" t="n">
        <x:v>0</x:v>
      </x:c>
      <x:c r="K294" s="16" t="n">
        <x:v>0</x:v>
      </x:c>
      <x:c r="L294" s="16" t="n">
        <x:v>0</x:v>
      </x:c>
      <x:c r="M294" s="16" t="n">
        <x:v>0</x:v>
      </x:c>
      <x:c r="N294" s="16" t="n">
        <x:v>0</x:v>
      </x:c>
      <x:c r="O294" s="16" t="n">
        <x:v>0</x:v>
      </x:c>
      <x:c r="P294" s="16" t="n">
        <x:v>0</x:v>
      </x:c>
      <x:c r="Q294" s="16" t="n">
        <x:v>0</x:v>
      </x:c>
      <x:c r="R294" s="16" t="n">
        <x:v>0</x:v>
      </x:c>
      <x:c r="S294" s="14" t="str">
        <x:v>NONE</x:v>
      </x:c>
      <x:c r="T294" s="2" t="str">
        <x:v>COMMON</x:v>
      </x:c>
      <x:c r="U294" s="14" t="str">
        <x:v>LOCKED_DNP</x:v>
      </x:c>
      <x:c r="V294" s="17" t="str">
        <x:v>Authorized or traceable tier-1 channel</x:v>
      </x:c>
      <x:c r="W294" s="17" t="str">
        <x:v>Marking MPN package orientation electrical functional sample</x:v>
      </x:c>
      <x:c r="X294" s="17" t="str">
        <x:v>Rev.A source PCB_PWR_PASSIVE_AUTHORITY_REV_A.csv; footprint Resistor_SMD:R_0402_1005Metric; blockers: diagnostic population control</x:v>
      </x:c>
      <x:c r="Y294" s="2" t="str">
        <x:v>10 kOhm 1%</x:v>
      </x:c>
      <x:c r="Z294" s="2" t="str">
        <x:v>ELECTRICAL_COMPONENT</x:v>
      </x:c>
      <x:c r="AA294" s="2" t="str">
        <x:v>DNP</x:v>
      </x:c>
      <x:c r="AB294" s="2" t="str">
        <x:v>-55..155</x:v>
      </x:c>
      <x:c r="AC294" s="14" t="str">
        <x:v>CONTROLLED_DNP</x:v>
      </x:c>
    </x:row>
    <x:row r="295">
      <x:c r="A295" t="str">
        <x:v>PWR-NET-TIE</x:v>
      </x:c>
      <x:c r="B295" t="str">
        <x:v>PCB-PWR</x:v>
      </x:c>
      <x:c r="C295" t="str">
        <x:v>NT1;NT2;NT3</x:v>
      </x:c>
      <x:c r="D295" t="str">
        <x:v>PCB feature</x:v>
      </x:c>
      <x:c r="E295" t="str">
        <x:v>PCB-PWR 2-pad copper net tie</x:v>
      </x:c>
      <x:c r="F295" t="str">
        <x:v>PCB fabrication</x:v>
      </x:c>
      <x:c r="G295" t="str">
        <x:v>NET_TIE_COPPER_REV_A</x:v>
      </x:c>
      <x:c r="H295" t="str">
        <x:v>NetTie-2 SMD pad 0.5 mm</x:v>
      </x:c>
      <x:c r="I295" t="n">
        <x:v>3</x:v>
      </x:c>
      <x:c r="J295" t="n">
        <x:v>12</x:v>
      </x:c>
      <x:c r="K295" t="n">
        <x:v>0</x:v>
      </x:c>
      <x:c r="L295" t="n">
        <x:v>12</x:v>
      </x:c>
      <x:c r="M295" t="n">
        <x:v>30</x:v>
      </x:c>
      <x:c r="N295" t="n">
        <x:v>0</x:v>
      </x:c>
      <x:c r="O295" t="n">
        <x:v>30</x:v>
      </x:c>
      <x:c r="P295" t="n">
        <x:v>60</x:v>
      </x:c>
      <x:c r="Q295" t="n">
        <x:v>0</x:v>
      </x:c>
      <x:c r="R295" t="n">
        <x:v>60</x:v>
      </x:c>
      <x:c r="S295" t="str">
        <x:v>NONE</x:v>
      </x:c>
      <x:c r="T295" t="str">
        <x:v>COMMON</x:v>
      </x:c>
      <x:c r="U295" t="str">
        <x:v>LOCKED_LAYOUT_PENDING</x:v>
      </x:c>
      <x:c r="V295" t="str">
        <x:v>Authorized or traceable tier-1 channel</x:v>
      </x:c>
      <x:c r="W295" t="str">
        <x:v>Marking MPN package orientation electrical functional sample</x:v>
      </x:c>
      <x:c r="X295" t="str">
        <x:v>Rev.A source PCB_PWR_PASSIVE_AUTHORITY_REV_A.csv; footprint NetTie:NetTie-2_SMD_Pad0.5mm; blockers: layout current-return review</x:v>
      </x:c>
      <x:c r="Y295" t="str">
        <x:v>2-pad copper net tie</x:v>
      </x:c>
      <x:c r="Z295" t="str">
        <x:v>PCB_FEATURE</x:v>
      </x:c>
      <x:c r="AA295" t="str">
        <x:v>PCB_FEATURE</x:v>
      </x:c>
      <x:c r="AB295" t="str">
        <x:v>N/A</x:v>
      </x:c>
      <x:c r="AC295" t="str">
        <x:v>CONTROLLED_PENDING_VERIFICATION</x:v>
      </x:c>
    </x:row>
    <x:row r="296">
      <x:c r="A296" t="str">
        <x:v>PWR-L</x:v>
      </x:c>
      <x:c r="B296" t="str">
        <x:v>PCB-PWR</x:v>
      </x:c>
      <x:c r="C296" t="str">
        <x:v>L1;L2</x:v>
      </x:c>
      <x:c r="D296" t="str">
        <x:v>Passive</x:v>
      </x:c>
      <x:c r="E296" t="str">
        <x:v>PCB-PWR 4.7 uH +/-20%</x:v>
      </x:c>
      <x:c r="F296" t="str">
        <x:v>Coilcraft</x:v>
      </x:c>
      <x:c r="G296" t="str">
        <x:v>XAL7030-472MEC</x:v>
      </x:c>
      <x:c r="H296" t="str">
        <x:v>XAL7030</x:v>
      </x:c>
      <x:c r="I296" t="n">
        <x:v>2</x:v>
      </x:c>
      <x:c r="J296" t="n">
        <x:v>8</x:v>
      </x:c>
      <x:c r="K296" t="n">
        <x:v>10</x:v>
      </x:c>
      <x:c r="L296" t="n">
        <x:v>18</x:v>
      </x:c>
      <x:c r="M296" t="n">
        <x:v>20</x:v>
      </x:c>
      <x:c r="N296" t="n">
        <x:v>10</x:v>
      </x:c>
      <x:c r="O296" t="n">
        <x:v>30</x:v>
      </x:c>
      <x:c r="P296" t="n">
        <x:v>40</x:v>
      </x:c>
      <x:c r="Q296" t="n">
        <x:v>10</x:v>
      </x:c>
      <x:c r="R296" t="n">
        <x:v>50</x:v>
      </x:c>
      <x:c r="S296" t="str">
        <x:v>FIXED_LOT_MIN</x:v>
      </x:c>
      <x:c r="T296" t="str">
        <x:v>COMMON</x:v>
      </x:c>
      <x:c r="U296" t="str">
        <x:v>SELECTED_PENDING_LAYOUT_THERMAL_EMI</x:v>
      </x:c>
      <x:c r="V296" t="str">
        <x:v>Authorized or traceable tier-1 channel</x:v>
      </x:c>
      <x:c r="W296" t="str">
        <x:v>Marking MPN package orientation electrical functional sample</x:v>
      </x:c>
      <x:c r="X296" t="str">
        <x:v>Rev.A freeze source POWER_COMPONENT_FREEZE_REV_A.csv; exact land pattern controlled; blockers: placement and hot-loop review; 0.48 W max-DCR loss at 4 A; +70 C thermal; load-step; EMI</x:v>
      </x:c>
      <x:c r="Y296" t="str">
        <x:v>4.7 uH +/-20%</x:v>
      </x:c>
      <x:c r="Z296" t="str">
        <x:v>ELECTRICAL_COMPONENT</x:v>
      </x:c>
      <x:c r="AA296" t="str">
        <x:v>FITTED</x:v>
      </x:c>
      <x:c r="AB296" t="str">
        <x:v>-40..125 ambient / +165 component</x:v>
      </x:c>
      <x:c r="AC296" t="str">
        <x:v>CONTROLLED_PENDING_VERIFICATION</x:v>
      </x:c>
    </x:row>
  </x:sheetData>
  <x:conditionalFormatting sqref="AC2:AC294">
    <x:cfRule type="containsText" dxfId="3" priority="1" operator="containsText" text="BLOCKED"/>
    <x:cfRule type="containsText" dxfId="4" priority="2" operator="containsText" text="PENDING"/>
  </x:conditionalFormatting>
  <x:conditionalFormatting sqref="U2:U294">
    <x:cfRule type="containsText" dxfId="5" priority="3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71b3c1d3e9434ca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4" hidden="0" customWidth="1"/>
    <x:col min="5" max="5" width="42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14" hidden="0" customWidth="1"/>
    <x:col min="11" max="11" width="22" hidden="0" customWidth="1"/>
    <x:col min="12" max="12" width="3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6" hidden="0" customWidth="1"/>
    <x:col min="18" max="18" width="26" hidden="0" customWidth="1"/>
    <x:col min="19" max="19" width="66" hidden="0" customWidth="1"/>
  </x:cols>
  <x:sheetData>
    <x:row r="1" ht="36" customHeight="1">
      <x:c r="A1" s="79" t="str">
        <x:v>RFQ_ID</x:v>
      </x:c>
      <x:c r="B1" s="79" t="str">
        <x:v>BOM_Item_IDs</x:v>
      </x:c>
      <x:c r="C1" s="79" t="str">
        <x:v>Category</x:v>
      </x:c>
      <x:c r="D1" s="79" t="str">
        <x:v>Manufacturer</x:v>
      </x:c>
      <x:c r="E1" s="79" t="str">
        <x:v>MPN_or_spec</x:v>
      </x:c>
      <x:c r="F1" s="79" t="str">
        <x:v>Required_qty_4</x:v>
      </x:c>
      <x:c r="G1" s="79" t="str">
        <x:v>Required_qty_10</x:v>
      </x:c>
      <x:c r="H1" s="79" t="str">
        <x:v>Required_qty_20</x:v>
      </x:c>
      <x:c r="I1" s="79" t="str">
        <x:v>Preferred_channel</x:v>
      </x:c>
      <x:c r="J1" s="79" t="str">
        <x:v>Quote_date</x:v>
      </x:c>
      <x:c r="K1" s="79" t="str">
        <x:v>Supplier</x:v>
      </x:c>
      <x:c r="L1" s="79" t="str">
        <x:v>URL</x:v>
      </x:c>
      <x:c r="M1" s="79" t="str">
        <x:v>MOQ</x:v>
      </x:c>
      <x:c r="N1" s="79" t="str">
        <x:v>Lead_time_days</x:v>
      </x:c>
      <x:c r="O1" s="79" t="str">
        <x:v>Stock_claim</x:v>
      </x:c>
      <x:c r="P1" s="79" t="str">
        <x:v>Traceability_required</x:v>
      </x:c>
      <x:c r="Q1" s="79" t="str">
        <x:v>Sample_required</x:v>
      </x:c>
      <x:c r="R1" s="79" t="str">
        <x:v>Status</x:v>
      </x:c>
      <x:c r="S1" s="79" t="str">
        <x:v>Blocking_check</x:v>
      </x:c>
    </x:row>
    <x:row r="2" ht="54" customHeight="1">
      <x:c r="A2" s="81" t="str">
        <x:v>RFQ-001</x:v>
      </x:c>
      <x:c r="B2" s="81" t="str">
        <x:v>U1</x:v>
      </x:c>
      <x:c r="C2" s="81" t="str">
        <x:v>MCU</x:v>
      </x:c>
      <x:c r="D2" s="81" t="str">
        <x:v>STMicroelectronics</x:v>
      </x:c>
      <x:c r="E2" s="81" t="str">
        <x:v>STM32U585VIT6Q</x:v>
      </x:c>
      <x:c r="F2" s="82" t="str">
        <x:v>5</x:v>
      </x:c>
      <x:c r="G2" s="82" t="str">
        <x:v>13</x:v>
      </x:c>
      <x:c r="H2" s="82" t="str">
        <x:v>25</x:v>
      </x:c>
      <x:c r="I2" s="81" t="str">
        <x:v>Authorized distributor</x:v>
      </x:c>
      <x:c r="J2" s="81" t="str"/>
      <x:c r="K2" s="81" t="str"/>
      <x:c r="L2" s="81" t="str"/>
      <x:c r="M2" s="81" t="str"/>
      <x:c r="N2" s="81" t="str"/>
      <x:c r="O2" s="81" t="str"/>
      <x:c r="P2" s="81" t="str">
        <x:v>Yes</x:v>
      </x:c>
      <x:c r="Q2" s="81" t="str">
        <x:v>No</x:v>
      </x:c>
      <x:c r="R2" s="81" t="str">
        <x:v>RFQ_REQUIRED</x:v>
      </x:c>
      <x:c r="S2" s="81" t="str">
        <x:v>Quote exact manufacturer MPN and LQFP100 package with no substitution; verify device identity during PCBA programming and EOL</x:v>
      </x:c>
    </x:row>
    <x:row r="3" ht="54" customHeight="1">
      <x:c r="A3" s="81" t="str">
        <x:v>RFQ-002</x:v>
      </x:c>
      <x:c r="B3" s="81" t="str">
        <x:v>MK1</x:v>
      </x:c>
      <x:c r="C3" s="81" t="str">
        <x:v>Microphone</x:v>
      </x:c>
      <x:c r="D3" s="81" t="str">
        <x:v>TDK InvenSense</x:v>
      </x:c>
      <x:c r="E3" s="81" t="str">
        <x:v>MMICT5838-00-012</x:v>
      </x:c>
      <x:c r="F3" s="82" t="str">
        <x:v>20</x:v>
      </x:c>
      <x:c r="G3" s="82" t="str">
        <x:v>48</x:v>
      </x:c>
      <x:c r="H3" s="82" t="str">
        <x:v>96</x:v>
      </x:c>
      <x:c r="I3" s="81" t="str">
        <x:v>Authorized distributor</x:v>
      </x:c>
      <x:c r="J3" s="81" t="str"/>
      <x:c r="K3" s="81" t="str"/>
      <x:c r="L3" s="81" t="str"/>
      <x:c r="M3" s="81" t="str"/>
      <x:c r="N3" s="81" t="str"/>
      <x:c r="O3" s="81" t="str"/>
      <x:c r="P3" s="81" t="str">
        <x:v>Yes</x:v>
      </x:c>
      <x:c r="Q3" s="81" t="str">
        <x:v>No</x:v>
      </x:c>
      <x:c r="R3" s="81" t="str">
        <x:v>RFQ_REQUIRED</x:v>
      </x:c>
      <x:c r="S3" s="81" t="str">
        <x:v>Quote exact manufacturer MPN with no substitution; perform port inspection acoustic sensitivity noise and phase matching during assembly EOL and EVT</x:v>
      </x:c>
    </x:row>
    <x:row r="4" ht="54" customHeight="1">
      <x:c r="A4" s="81" t="str">
        <x:v>RFQ-003</x:v>
      </x:c>
      <x:c r="B4" s="81" t="str">
        <x:v>U8</x:v>
      </x:c>
      <x:c r="C4" s="81" t="str">
        <x:v>Cellular</x:v>
      </x:c>
      <x:c r="D4" s="81" t="str">
        <x:v>Quectel</x:v>
      </x:c>
      <x:c r="E4" s="81" t="str">
        <x:v>BG95-M3 marking and firmware identity</x:v>
      </x:c>
      <x:c r="F4" s="82" t="str">
        <x:v>5</x:v>
      </x:c>
      <x:c r="G4" s="82" t="str">
        <x:v>13</x:v>
      </x:c>
      <x:c r="H4" s="82" t="str">
        <x:v>25</x:v>
      </x:c>
      <x:c r="I4" s="81" t="str">
        <x:v>Quectel authorized channel</x:v>
      </x:c>
      <x:c r="J4" s="81" t="str"/>
      <x:c r="K4" s="81" t="str"/>
      <x:c r="L4" s="81" t="str"/>
      <x:c r="M4" s="81" t="str"/>
      <x:c r="N4" s="81" t="str"/>
      <x:c r="O4" s="81" t="str"/>
      <x:c r="P4" s="81" t="str">
        <x:v>Yes</x:v>
      </x:c>
      <x:c r="Q4" s="81" t="str">
        <x:v>No</x:v>
      </x:c>
      <x:c r="R4" s="81" t="str">
        <x:v>RFQ_REQUIRED</x:v>
      </x:c>
      <x:c r="S4" s="81" t="str">
        <x:v>Quote exact BG95-M3 with no substitution; verify article firmware and IMEI during PCBA EOL; operator attach burst and TLS remain assembled-station EVT</x:v>
      </x:c>
    </x:row>
    <x:row r="5" ht="54" customHeight="1">
      <x:c r="A5" s="81" t="str">
        <x:v>RFQ-004</x:v>
      </x:c>
      <x:c r="B5" s="81" t="str">
        <x:v>U9</x:v>
      </x:c>
      <x:c r="C5" s="81" t="str">
        <x:v>GNSS</x:v>
      </x:c>
      <x:c r="D5" s="81" t="str">
        <x:v>u-blox</x:v>
      </x:c>
      <x:c r="E5" s="81" t="str">
        <x:v>MAX-M10S-00B</x:v>
      </x:c>
      <x:c r="F5" s="82" t="str">
        <x:v>5</x:v>
      </x:c>
      <x:c r="G5" s="82" t="str">
        <x:v>13</x:v>
      </x:c>
      <x:c r="H5" s="82" t="str">
        <x:v>25</x:v>
      </x:c>
      <x:c r="I5" s="81" t="str">
        <x:v>Authorized distributor</x:v>
      </x:c>
      <x:c r="J5" s="81" t="str"/>
      <x:c r="K5" s="81" t="str"/>
      <x:c r="L5" s="81" t="str"/>
      <x:c r="M5" s="81" t="str"/>
      <x:c r="N5" s="81" t="str"/>
      <x:c r="O5" s="81" t="str"/>
      <x:c r="P5" s="81" t="str">
        <x:v>Yes</x:v>
      </x:c>
      <x:c r="Q5" s="81" t="str">
        <x:v>No</x:v>
      </x:c>
      <x:c r="R5" s="81" t="str">
        <x:v>RFQ_REQUIRED</x:v>
      </x:c>
      <x:c r="S5" s="81" t="str">
        <x:v>Quote exact manufacturer MPN with no substitution; verify fix sensitivity PPS and antenna interface during PCBA EOL and assembled-station EVT</x:v>
      </x:c>
    </x:row>
    <x:row r="6" ht="54" customHeight="1">
      <x:c r="A6" s="81" t="str">
        <x:v>RFQ-005</x:v>
      </x:c>
      <x:c r="B6" s="81" t="str">
        <x:v>U10</x:v>
      </x:c>
      <x:c r="C6" s="81" t="str">
        <x:v>LoRa</x:v>
      </x:c>
      <x:c r="D6" s="81" t="str">
        <x:v>Ebyte</x:v>
      </x:c>
      <x:c r="E6" s="81" t="str">
        <x:v>E22-900M22S</x:v>
      </x:c>
      <x:c r="F6" s="82" t="str">
        <x:v>6</x:v>
      </x:c>
      <x:c r="G6" s="82" t="str">
        <x:v>13</x:v>
      </x:c>
      <x:c r="H6" s="82" t="str">
        <x:v>26</x:v>
      </x:c>
      <x:c r="I6" s="81" t="str">
        <x:v>Ebyte official or authorized</x:v>
      </x:c>
      <x:c r="J6" s="81" t="str"/>
      <x:c r="K6" s="81" t="str"/>
      <x:c r="L6" s="81" t="str"/>
      <x:c r="M6" s="81" t="str"/>
      <x:c r="N6" s="81" t="str"/>
      <x:c r="O6" s="81" t="str"/>
      <x:c r="P6" s="81" t="str">
        <x:v>Yes</x:v>
      </x:c>
      <x:c r="Q6" s="81" t="str">
        <x:v>No</x:v>
      </x:c>
      <x:c r="R6" s="81" t="str">
        <x:v>RFQ_REQUIRED</x:v>
      </x:c>
      <x:c r="S6" s="81" t="str">
        <x:v>Quote must state exact 20x14 22-pad castellated-ANT option with no module IPEX fitted and no substitution; verify sleep current conducted RF and RU868 windows 864-865 and 868.7-869.2 MHz during EOL and EVT</x:v>
      </x:c>
    </x:row>
    <x:row r="7" ht="54" customHeight="1">
      <x:c r="A7" s="81" t="str">
        <x:v>RFQ-006</x:v>
      </x:c>
      <x:c r="B7" s="81" t="str">
        <x:v>U11</x:v>
      </x:c>
      <x:c r="C7" s="81" t="str">
        <x:v>BLE</x:v>
      </x:c>
      <x:c r="D7" s="81" t="str">
        <x:v>Raytac</x:v>
      </x:c>
      <x:c r="E7" s="81" t="str">
        <x:v>MDBT50Q-P1MV2</x:v>
      </x:c>
      <x:c r="F7" s="82" t="str">
        <x:v>5</x:v>
      </x:c>
      <x:c r="G7" s="82" t="str">
        <x:v>13</x:v>
      </x:c>
      <x:c r="H7" s="82" t="str">
        <x:v>25</x:v>
      </x:c>
      <x:c r="I7" s="81" t="str">
        <x:v>Raytac authorized or traceable distributor</x:v>
      </x:c>
      <x:c r="J7" s="81" t="str"/>
      <x:c r="K7" s="81" t="str"/>
      <x:c r="L7" s="81" t="str"/>
      <x:c r="M7" s="81" t="str"/>
      <x:c r="N7" s="81" t="str"/>
      <x:c r="O7" s="81" t="str"/>
      <x:c r="P7" s="81" t="str">
        <x:v>Yes</x:v>
      </x:c>
      <x:c r="Q7" s="81" t="str">
        <x:v>No</x:v>
      </x:c>
      <x:c r="R7" s="81" t="str">
        <x:v>RFQ_REQUIRED</x:v>
      </x:c>
      <x:c r="S7" s="81" t="str">
        <x:v>Quote exact module suffix with no substitution; verify integrated-antenna keepout pairing OTA current and RF range during PCBA EOL and EVT</x:v>
      </x:c>
    </x:row>
    <x:row r="8" ht="54" customHeight="1">
      <x:c r="A8" s="81" t="str">
        <x:v>RFQ-007</x:v>
      </x:c>
      <x:c r="B8" s="81" t="str">
        <x:v>U2</x:v>
      </x:c>
      <x:c r="C8" s="81" t="str">
        <x:v>QSPI NOR</x:v>
      </x:c>
      <x:c r="D8" s="81" t="str">
        <x:v>Winbond</x:v>
      </x:c>
      <x:c r="E8" s="81" t="str">
        <x:v>W25Q512JVFIQ</x:v>
      </x:c>
      <x:c r="F8" s="82" t="str">
        <x:v>5</x:v>
      </x:c>
      <x:c r="G8" s="82" t="str">
        <x:v>13</x:v>
      </x:c>
      <x:c r="H8" s="82" t="str">
        <x:v>25</x:v>
      </x:c>
      <x:c r="I8" s="81" t="str">
        <x:v>Authorized or traceable tier-1</x:v>
      </x:c>
      <x:c r="J8" s="81" t="str"/>
      <x:c r="K8" s="81" t="str"/>
      <x:c r="L8" s="81" t="str"/>
      <x:c r="M8" s="81" t="str"/>
      <x:c r="N8" s="81" t="str"/>
      <x:c r="O8" s="81" t="str"/>
      <x:c r="P8" s="81" t="str">
        <x:v>Yes</x:v>
      </x:c>
      <x:c r="Q8" s="81" t="str">
        <x:v>No</x:v>
      </x:c>
      <x:c r="R8" s="81" t="str">
        <x:v>RFQ_REQUIRED</x:v>
      </x:c>
      <x:c r="S8" s="81" t="str">
        <x:v>Quote exact manufacturer MPN with no substitution; verify JEDEC identity read write erase and soak during PCBA EOL and EVT</x:v>
      </x:c>
    </x:row>
    <x:row r="9" ht="54" customHeight="1">
      <x:c r="A9" s="81" t="str">
        <x:v>RFQ-008</x:v>
      </x:c>
      <x:c r="B9" s="81" t="str">
        <x:v>BAT1</x:v>
      </x:c>
      <x:c r="C9" s="81" t="str">
        <x:v>Battery</x:v>
      </x:c>
      <x:c r="D9" s="81" t="str">
        <x:v>RELiON</x:v>
      </x:c>
      <x:c r="E9" s="81" t="str">
        <x:v>RB40 12.8 V 40 Ah 512 Wh IP66 M8</x:v>
      </x:c>
      <x:c r="F9" s="82" t="str">
        <x:v>5</x:v>
      </x:c>
      <x:c r="G9" s="82" t="str">
        <x:v>11</x:v>
      </x:c>
      <x:c r="H9" s="82" t="str">
        <x:v>21</x:v>
      </x:c>
      <x:c r="I9" s="81" t="str">
        <x:v>RELiON or authorized distributor</x:v>
      </x:c>
      <x:c r="J9" s="81" t="str"/>
      <x:c r="K9" s="81" t="str"/>
      <x:c r="L9" s="81" t="str">
        <x:v>https://www.relionbattery.com/products/lithium/rb40</x:v>
      </x:c>
      <x:c r="M9" s="81" t="str"/>
      <x:c r="N9" s="81" t="str"/>
      <x:c r="O9" s="81" t="str"/>
      <x:c r="P9" s="81" t="str">
        <x:v>Yes</x:v>
      </x:c>
      <x:c r="Q9" s="81" t="str">
        <x:v>No</x:v>
      </x:c>
      <x:c r="R9" s="81" t="str">
        <x:v>RFQ_REQUIRED</x:v>
      </x:c>
      <x:c r="S9" s="81" t="str">
        <x:v>Quote exact RELiON RB40 with no substitution and confirm quantity price delivery to destination plus applicable UN38.3 SDS and route documents; perform polarity voltage capacity DCIR BMS and cold-system validation during station assembly and EVT</x:v>
      </x:c>
    </x:row>
    <x:row r="10" ht="54" customHeight="1">
      <x:c r="A10" s="81" t="str">
        <x:v>RFQ-009</x:v>
      </x:c>
      <x:c r="B10" s="81" t="str">
        <x:v>PV1</x:v>
      </x:c>
      <x:c r="C10" s="81" t="str">
        <x:v>Solar</x:v>
      </x:c>
      <x:c r="D10" s="81" t="str">
        <x:v>SLD Tech / Solarland</x:v>
      </x:c>
      <x:c r="E10" s="81" t="str">
        <x:v>SLP080S-12M 80 W 12 V monocrystalline</x:v>
      </x:c>
      <x:c r="F10" s="82" t="str">
        <x:v>5</x:v>
      </x:c>
      <x:c r="G10" s="82" t="str">
        <x:v>11</x:v>
      </x:c>
      <x:c r="H10" s="82" t="str">
        <x:v>21</x:v>
      </x:c>
      <x:c r="I10" s="81" t="str">
        <x:v>SLD Tech or authorized distributor</x:v>
      </x:c>
      <x:c r="J10" s="81" t="str"/>
      <x:c r="K10" s="81" t="str"/>
      <x:c r="L10" s="81" t="str">
        <x:v>https://sldtechinc.com/80w-12v-monocrystalline-solar-panel-s/</x:v>
      </x:c>
      <x:c r="M10" s="81" t="str"/>
      <x:c r="N10" s="81" t="str"/>
      <x:c r="O10" s="81" t="str"/>
      <x:c r="P10" s="81" t="str">
        <x:v>Yes</x:v>
      </x:c>
      <x:c r="Q10" s="81" t="str">
        <x:v>No</x:v>
      </x:c>
      <x:c r="R10" s="81" t="str">
        <x:v>RFQ_REQUIRED</x:v>
      </x:c>
      <x:c r="S10" s="81" t="str">
        <x:v>Quote exact SLP080S-12M with no substitution and confirm quantity price delivery and packaging; perform Voc Isc Vmp Imp Pmax IV cold-Voc insulation wet-leakage mounting cable and transport validation during assembly and EVT</x:v>
      </x:c>
    </x:row>
    <x:row r="11" ht="54" customHeight="1">
      <x:c r="A11" s="81" t="str">
        <x:v>RFQ-010</x:v>
      </x:c>
      <x:c r="B11" s="81" t="str">
        <x:v>MPPT1</x:v>
      </x:c>
      <x:c r="C11" s="81" t="str">
        <x:v>MPPT</x:v>
      </x:c>
      <x:c r="D11" s="81" t="str">
        <x:v>Victron Energy</x:v>
      </x:c>
      <x:c r="E11" s="81" t="str">
        <x:v>SmartSolar MPPT 75/10 article SCC075010060R</x:v>
      </x:c>
      <x:c r="F11" s="82" t="str">
        <x:v>5</x:v>
      </x:c>
      <x:c r="G11" s="82" t="str">
        <x:v>11</x:v>
      </x:c>
      <x:c r="H11" s="82" t="str">
        <x:v>21</x:v>
      </x:c>
      <x:c r="I11" s="81" t="str">
        <x:v>Victron authorized distributor</x:v>
      </x:c>
      <x:c r="J11" s="81" t="str"/>
      <x:c r="K11" s="81" t="str"/>
      <x:c r="L11" s="81" t="str">
        <x:v>https://www.victronenergy.com/media/pg/Manual_SmartSolar_MPPT_75-10_up_to_100-20/en/technical-specifications.html</x:v>
      </x:c>
      <x:c r="M11" s="81" t="str"/>
      <x:c r="N11" s="81" t="str"/>
      <x:c r="O11" s="81" t="str"/>
      <x:c r="P11" s="81" t="str">
        <x:v>Yes</x:v>
      </x:c>
      <x:c r="Q11" s="81" t="str">
        <x:v>No</x:v>
      </x:c>
      <x:c r="R11" s="81" t="str">
        <x:v>RFQ_REQUIRED</x:v>
      </x:c>
      <x:c r="S11" s="81" t="str">
        <x:v>Quote exact SCC075010060R with no substitution and confirm quantity price and delivery; bind firmware and exported RB40 profile then verify 0 C inhibit with RFQ-026 reverse current quiescent transient terminal enclosure and thermal behavior during assembly EOL and EVT</x:v>
      </x:c>
    </x:row>
    <x:row r="12" ht="54" customHeight="1">
      <x:c r="A12" s="81" t="str">
        <x:v>RFQ-011</x:v>
      </x:c>
      <x:c r="B12" s="81" t="str">
        <x:v>ASM-MAIN</x:v>
      </x:c>
      <x:c r="C12" s="81" t="str">
        <x:v>PCBA main</x:v>
      </x:c>
      <x:c r="D12" s="81" t="str">
        <x:v>TBD</x:v>
      </x:c>
      <x:c r="E12" s="81" t="str">
        <x:v>6-layer assembled main PCB 110x75x1.6 mm</x:v>
      </x:c>
      <x:c r="F12" s="82" t="str">
        <x:v>6</x:v>
      </x:c>
      <x:c r="G12" s="82" t="str">
        <x:v>12</x:v>
      </x:c>
      <x:c r="H12" s="82" t="str">
        <x:v>22</x:v>
      </x:c>
      <x:c r="I12" s="81" t="str">
        <x:v>Qualified CM with AOI</x:v>
      </x:c>
      <x:c r="J12" s="81" t="str"/>
      <x:c r="K12" s="81" t="str"/>
      <x:c r="L12" s="81" t="str"/>
      <x:c r="M12" s="81" t="str"/>
      <x:c r="N12" s="81" t="str"/>
      <x:c r="O12" s="81" t="str"/>
      <x:c r="P12" s="81" t="str">
        <x:v>Yes</x:v>
      </x:c>
      <x:c r="Q12" s="81" t="str">
        <x:v>No</x:v>
      </x:c>
      <x:c r="R12" s="81" t="str">
        <x:v>RFQ_REQUIRED</x:v>
      </x:c>
      <x:c r="S12" s="81" t="str">
        <x:v>PRIMARY PROCUREMENT TRACK; quote the released selected-lot build only after stackup routing DRC CAM DFM stencil review and Review B; retain 100 percent AOI and EOL plus traceability process-defined first-article and test coverage controls within the lot</x:v>
      </x:c>
    </x:row>
    <x:row r="13" ht="54" customHeight="1">
      <x:c r="A13" s="81" t="str">
        <x:v>RFQ-012</x:v>
      </x:c>
      <x:c r="B13" s="81" t="str">
        <x:v>ASM-MIC</x:v>
      </x:c>
      <x:c r="C13" s="81" t="str">
        <x:v>PCBA mic</x:v>
      </x:c>
      <x:c r="D13" s="81" t="str">
        <x:v>TBD</x:v>
      </x:c>
      <x:c r="E13" s="81" t="str">
        <x:v>2-layer assembled microphone PCB</x:v>
      </x:c>
      <x:c r="F13" s="82" t="str">
        <x:v>18</x:v>
      </x:c>
      <x:c r="G13" s="82" t="str">
        <x:v>42</x:v>
      </x:c>
      <x:c r="H13" s="82" t="str">
        <x:v>82</x:v>
      </x:c>
      <x:c r="I13" s="81" t="str">
        <x:v>Qualified CM with AOI</x:v>
      </x:c>
      <x:c r="J13" s="81" t="str"/>
      <x:c r="K13" s="81" t="str"/>
      <x:c r="L13" s="81" t="str"/>
      <x:c r="M13" s="81" t="str"/>
      <x:c r="N13" s="81" t="str"/>
      <x:c r="O13" s="81" t="str"/>
      <x:c r="P13" s="81" t="str">
        <x:v>Yes</x:v>
      </x:c>
      <x:c r="Q13" s="81" t="str">
        <x:v>No</x:v>
      </x:c>
      <x:c r="R13" s="81" t="str">
        <x:v>RFQ_REQUIRED</x:v>
      </x:c>
      <x:c r="S13" s="81" t="str">
        <x:v>PRIMARY PROCUREMENT TRACK; quote the released selected-lot build with acoustic-port contamination controls; retain 100 percent AOI and selected-lot acoustic EOL without a separate pre-order qualification unit</x:v>
      </x:c>
    </x:row>
    <x:row r="14" ht="54" customHeight="1">
      <x:c r="A14" s="81" t="str">
        <x:v>RFQ-013</x:v>
      </x:c>
      <x:c r="B14" s="81" t="str">
        <x:v>ASM-PWR</x:v>
      </x:c>
      <x:c r="C14" s="81" t="str">
        <x:v>PCBA power</x:v>
      </x:c>
      <x:c r="D14" s="81" t="str">
        <x:v>TBD</x:v>
      </x:c>
      <x:c r="E14" s="81" t="str">
        <x:v>assembled 4-layer power PCB; EVT DIM-003 90x60x1.6 mm and H1-H4 accepted; outer 2 oz target; inner 1 oz target; final stackup pending DFM</x:v>
      </x:c>
      <x:c r="F14" s="82" t="str">
        <x:v>6</x:v>
      </x:c>
      <x:c r="G14" s="82" t="str">
        <x:v>12</x:v>
      </x:c>
      <x:c r="H14" s="82" t="str">
        <x:v>22</x:v>
      </x:c>
      <x:c r="I14" s="81" t="str">
        <x:v>Qualified CM with thermal process</x:v>
      </x:c>
      <x:c r="J14" s="81" t="str"/>
      <x:c r="K14" s="81" t="str"/>
      <x:c r="L14" s="81" t="str"/>
      <x:c r="M14" s="81" t="str"/>
      <x:c r="N14" s="81" t="str"/>
      <x:c r="O14" s="81" t="str"/>
      <x:c r="P14" s="81" t="str">
        <x:v>Yes</x:v>
      </x:c>
      <x:c r="Q14" s="81" t="str">
        <x:v>No</x:v>
      </x:c>
      <x:c r="R14" s="81" t="str">
        <x:v>RFQ_REQUIRED</x:v>
      </x:c>
      <x:c r="S14" s="81" t="str">
        <x:v>PRIMARY PROCUREMENT TRACK; quote only after accepted stackup routing DRC CAM DFM serial mechanical revalidation and Review B; retain 100 percent AOI and EOL plus current thermal copper Kelvin and fault validation on the selected lot</x:v>
      </x:c>
    </x:row>
    <x:row r="15" ht="54" customHeight="1">
      <x:c r="A15" s="81" t="str">
        <x:v>RFQ-014</x:v>
      </x:c>
      <x:c r="B15" s="81" t="str">
        <x:v>HARNESS</x:v>
      </x:c>
      <x:c r="C15" s="81" t="str">
        <x:v>Harness</x:v>
      </x:c>
      <x:c r="D15" s="81" t="str">
        <x:v>TBD</x:v>
      </x:c>
      <x:c r="E15" s="81" t="str">
        <x:v>Controlled Rev.A labeled harness set; supplier assembly MPN and final lengths pending</x:v>
      </x:c>
      <x:c r="F15" s="82" t="str">
        <x:v>5</x:v>
      </x:c>
      <x:c r="G15" s="82" t="str">
        <x:v>11</x:v>
      </x:c>
      <x:c r="H15" s="82" t="str">
        <x:v>22</x:v>
      </x:c>
      <x:c r="I15" s="81" t="str">
        <x:v>Qualified harness factory</x:v>
      </x:c>
      <x:c r="J15" s="81" t="str"/>
      <x:c r="K15" s="81" t="str"/>
      <x:c r="L15" s="81" t="str"/>
      <x:c r="M15" s="81" t="str"/>
      <x:c r="N15" s="81" t="str"/>
      <x:c r="O15" s="81" t="str"/>
      <x:c r="P15" s="81" t="str">
        <x:v>Yes</x:v>
      </x:c>
      <x:c r="Q15" s="81" t="str">
        <x:v>No</x:v>
      </x:c>
      <x:c r="R15" s="81" t="str">
        <x:v>RFQ_REQUIRED</x:v>
      </x:c>
      <x:c r="S15" s="81" t="str">
        <x:v>Return all 16 attributable rows in HARNESS_SUPPLIER_CAPABILITY_RESPONSE_REV_A.csv including site assembly MPN complete-harness temperature wire AVL crimp FAI traceability and quote; DIM-003 board datums are EVT accepted but no build until DIM-001 DIM-005 DIM-006 DIM-012 final enclosure routes and final release; first article is part of the selected lot</x:v>
      </x:c>
    </x:row>
    <x:row r="16" ht="54" customHeight="1">
      <x:c r="A16" s="81" t="str">
        <x:v>RFQ-015</x:v>
      </x:c>
      <x:c r="B16" s="81" t="str">
        <x:v>U13</x:v>
      </x:c>
      <x:c r="C16" s="81" t="str">
        <x:v>SIM switch</x:v>
      </x:c>
      <x:c r="D16" s="81" t="str">
        <x:v>Texas Instruments</x:v>
      </x:c>
      <x:c r="E16" s="81" t="str">
        <x:v>TS3A27518EPWR</x:v>
      </x:c>
      <x:c r="F16" s="82" t="str">
        <x:v>5</x:v>
      </x:c>
      <x:c r="G16" s="82" t="str">
        <x:v>13</x:v>
      </x:c>
      <x:c r="H16" s="82" t="str">
        <x:v>25</x:v>
      </x:c>
      <x:c r="I16" s="81" t="str">
        <x:v>Authorized distributor</x:v>
      </x:c>
      <x:c r="J16" s="81" t="str"/>
      <x:c r="K16" s="81" t="str"/>
      <x:c r="L16" s="81" t="str"/>
      <x:c r="M16" s="81" t="str"/>
      <x:c r="N16" s="81" t="str"/>
      <x:c r="O16" s="81" t="str"/>
      <x:c r="P16" s="81" t="str">
        <x:v>Yes</x:v>
      </x:c>
      <x:c r="Q16" s="81" t="str">
        <x:v>No</x:v>
      </x:c>
      <x:c r="R16" s="81" t="str">
        <x:v>RFQ_REQUIRED</x:v>
      </x:c>
      <x:c r="S16" s="81" t="str">
        <x:v>Quote exact manufacturer MPN with no substitution; verify supply leakage Ron capacitance ESD and BG95 signal integrity during PCBA EOL and EVT</x:v>
      </x:c>
    </x:row>
    <x:row r="17" ht="54" customHeight="1">
      <x:c r="A17" s="81" t="str">
        <x:v>RFQ-016</x:v>
      </x:c>
      <x:c r="B17" s="81" t="str">
        <x:v>J-SIM1|J-SIM2</x:v>
      </x:c>
      <x:c r="C17" s="81" t="str">
        <x:v>SIM connector</x:v>
      </x:c>
      <x:c r="D17" s="81" t="str">
        <x:v>TE Connectivity</x:v>
      </x:c>
      <x:c r="E17" s="81" t="str">
        <x:v>2336582-1</x:v>
      </x:c>
      <x:c r="F17" s="82" t="str">
        <x:v>10</x:v>
      </x:c>
      <x:c r="G17" s="82" t="str">
        <x:v>26</x:v>
      </x:c>
      <x:c r="H17" s="82" t="str">
        <x:v>50</x:v>
      </x:c>
      <x:c r="I17" s="81" t="str">
        <x:v>Authorized or traceable TE distributor</x:v>
      </x:c>
      <x:c r="J17" s="81" t="str"/>
      <x:c r="K17" s="81" t="str"/>
      <x:c r="L17" s="81" t="str"/>
      <x:c r="M17" s="81" t="str"/>
      <x:c r="N17" s="81" t="str"/>
      <x:c r="O17" s="81" t="str"/>
      <x:c r="P17" s="81" t="str">
        <x:v>Yes</x:v>
      </x:c>
      <x:c r="Q17" s="81" t="str">
        <x:v>No</x:v>
      </x:c>
      <x:c r="R17" s="81" t="str">
        <x:v>RFQ_REQUIRED</x:v>
      </x:c>
      <x:c r="S17" s="81" t="str">
        <x:v>Quote exact manufacturer MPN and drawing revision with no substitution; verify coplanarity card detect mating cycles and service access during assembly and EVT</x:v>
      </x:c>
    </x:row>
    <x:row r="18" ht="54" customHeight="1">
      <x:c r="A18" s="81" t="str">
        <x:v>RFQ-017</x:v>
      </x:c>
      <x:c r="B18" s="81" t="str">
        <x:v>HSG-VC</x:v>
      </x:c>
      <x:c r="C18" s="81" t="str">
        <x:v>Vacuum-cast housing</x:v>
      </x:c>
      <x:c r="D18" s="81" t="str">
        <x:v>TBD</x:v>
      </x:c>
      <x:c r="E18" s="81" t="str">
        <x:v>Outdoor polyurethane housing set with inserts seals and service cover</x:v>
      </x:c>
      <x:c r="F18" s="82" t="str">
        <x:v>4</x:v>
      </x:c>
      <x:c r="G18" s="82" t="str">
        <x:v>10</x:v>
      </x:c>
      <x:c r="H18" s="82" t="str">
        <x:v>20</x:v>
      </x:c>
      <x:c r="I18" s="81" t="str">
        <x:v>Qualified vacuum casting manufacturer</x:v>
      </x:c>
      <x:c r="J18" s="81" t="str"/>
      <x:c r="K18" s="81" t="str"/>
      <x:c r="L18" s="81" t="str"/>
      <x:c r="M18" s="81" t="str"/>
      <x:c r="N18" s="81" t="str"/>
      <x:c r="O18" s="81" t="str"/>
      <x:c r="P18" s="81" t="str">
        <x:v>Yes</x:v>
      </x:c>
      <x:c r="Q18" s="81" t="str">
        <x:v>No</x:v>
      </x:c>
      <x:c r="R18" s="81" t="str">
        <x:v>RFQ_REQUIRED</x:v>
      </x:c>
      <x:c r="S18" s="81" t="str">
        <x:v>Quote the selected EVT lot and apply first-article shrink cure material UV finish leak fit acoustic and RF checks within that lot; no separate pre-order qualification unit</x:v>
      </x:c>
    </x:row>
    <x:row r="19" ht="54" customHeight="1">
      <x:c r="A19" s="81" t="str">
        <x:v>RFQ-018</x:v>
      </x:c>
      <x:c r="B19" s="81" t="str">
        <x:v>HSG-3D</x:v>
      </x:c>
      <x:c r="C19" s="81" t="str">
        <x:v>3D-printed fallback housing</x:v>
      </x:c>
      <x:c r="D19" s="81" t="str">
        <x:v>TBD</x:v>
      </x:c>
      <x:c r="E19" s="81" t="str">
        <x:v>Outdoor printed housing set with inserts seals and service cover</x:v>
      </x:c>
      <x:c r="F19" s="82" t="str">
        <x:v>0</x:v>
      </x:c>
      <x:c r="G19" s="82" t="str">
        <x:v>0</x:v>
      </x:c>
      <x:c r="H19" s="82" t="str">
        <x:v>0</x:v>
      </x:c>
      <x:c r="I19" s="81" t="str">
        <x:v>Qualified print supplier or controlled FlashForge 5M Pro process</x:v>
      </x:c>
      <x:c r="J19" s="81" t="str"/>
      <x:c r="K19" s="81" t="str"/>
      <x:c r="L19" s="81" t="str"/>
      <x:c r="M19" s="81" t="str"/>
      <x:c r="N19" s="81" t="str"/>
      <x:c r="O19" s="81" t="str"/>
      <x:c r="P19" s="81" t="str">
        <x:v>Yes</x:v>
      </x:c>
      <x:c r="Q19" s="81" t="str">
        <x:v>No</x:v>
      </x:c>
      <x:c r="R19" s="81" t="str">
        <x:v>CONDITIONAL_CAPACITY_QUOTE</x:v>
      </x:c>
      <x:c r="S19" s="81" t="str">
        <x:v>Quote capacity for 4 10 and 20; procure only after fallback activation and validate the activated selected lot through first-article and EVT controls</x:v>
      </x:c>
    </x:row>
    <x:row r="20" ht="54" customHeight="1">
      <x:c r="A20" s="81" t="str">
        <x:v>RFQ-019</x:v>
      </x:c>
      <x:c r="B20" s="81" t="str">
        <x:v>HSG-IM</x:v>
      </x:c>
      <x:c r="C20" s="81" t="str">
        <x:v>Injection-molding DFM</x:v>
      </x:c>
      <x:c r="D20" s="81" t="str">
        <x:v>TBD</x:v>
      </x:c>
      <x:c r="E20" s="81" t="str">
        <x:v>Independent CAD DFM and tool quotation package</x:v>
      </x:c>
      <x:c r="F20" s="82" t="str">
        <x:v>0</x:v>
      </x:c>
      <x:c r="G20" s="82" t="str">
        <x:v>0</x:v>
      </x:c>
      <x:c r="H20" s="82" t="str">
        <x:v>0</x:v>
      </x:c>
      <x:c r="I20" s="81" t="str">
        <x:v>Qualified mold manufacturer</x:v>
      </x:c>
      <x:c r="J20" s="81" t="str"/>
      <x:c r="K20" s="81" t="str"/>
      <x:c r="L20" s="81" t="str"/>
      <x:c r="M20" s="81" t="str"/>
      <x:c r="N20" s="81" t="str"/>
      <x:c r="O20" s="81" t="str"/>
      <x:c r="P20" s="81" t="str">
        <x:v>Yes</x:v>
      </x:c>
      <x:c r="Q20" s="81" t="str">
        <x:v>No</x:v>
      </x:c>
      <x:c r="R20" s="81" t="str">
        <x:v>SOURCE_DATA_AND_DFM_ONLY</x:v>
      </x:c>
      <x:c r="S20" s="81" t="str">
        <x:v>Review tool concept material draft wall ribs bosses parting ejector shrink and expected tooling lead time; no tooling authorization</x:v>
      </x:c>
    </x:row>
    <x:row r="21" ht="32.400001525878906" hidden="0" customHeight="1">
      <x:c r="A21" s="85" t="str">
        <x:v>RFQ-020</x:v>
      </x:c>
      <x:c r="B21" s="85" t="str">
        <x:v>ANT-CELL</x:v>
      </x:c>
      <x:c r="C21" s="85" t="str">
        <x:v>Cellular antenna</x:v>
      </x:c>
      <x:c r="D21" s="85" t="str">
        <x:v>Taoglas</x:v>
      </x:c>
      <x:c r="E21" s="85" t="str">
        <x:v>G30.B.108111 IP67 1 m cable SMA(M)</x:v>
      </x:c>
      <x:c r="F21" s="86" t="str">
        <x:v>5</x:v>
      </x:c>
      <x:c r="G21" s="86" t="str">
        <x:v>11</x:v>
      </x:c>
      <x:c r="H21" s="86" t="str">
        <x:v>22</x:v>
      </x:c>
      <x:c r="I21" s="85" t="str">
        <x:v>Taoglas or established distributor</x:v>
      </x:c>
      <x:c r="J21" s="85" t="str"/>
      <x:c r="K21" s="85" t="str"/>
      <x:c r="L21" s="85" t="str">
        <x:v>https://www.taoglas.com/product/olympian-g30-2g3g4g-lte-antenna/</x:v>
      </x:c>
      <x:c r="M21" s="85" t="str"/>
      <x:c r="N21" s="85" t="str"/>
      <x:c r="O21" s="85" t="str"/>
      <x:c r="P21" s="85" t="str">
        <x:v>Yes</x:v>
      </x:c>
      <x:c r="Q21" s="85" t="str">
        <x:v>No</x:v>
      </x:c>
      <x:c r="R21" s="85" t="str">
        <x:v>RFQ_REQUIRED</x:v>
      </x:c>
      <x:c r="S21" s="85" t="str">
        <x:v>Quote exact G30.B.108111 with no substitution and state ordered cable construction because the manufacturer page is inconsistent; confirm quantity price and delivery; verify installed SMA-bulkhead VSWR loss attach seal and coexistence during assembly EOL and EVT</x:v>
      </x:c>
    </x:row>
    <x:row r="22" ht="32.400001525878906" hidden="0" customHeight="1">
      <x:c r="A22" s="85" t="str">
        <x:v>RFQ-021</x:v>
      </x:c>
      <x:c r="B22" s="85" t="str">
        <x:v>ANT-GNSS</x:v>
      </x:c>
      <x:c r="C22" s="85" t="str">
        <x:v>Active GNSS antenna</x:v>
      </x:c>
      <x:c r="D22" s="85" t="str">
        <x:v>Taoglas</x:v>
      </x:c>
      <x:c r="E22" s="85" t="str">
        <x:v>AA.166.A.301111 IP67 3 m RG174 SMA(M)</x:v>
      </x:c>
      <x:c r="F22" s="86" t="str">
        <x:v>5</x:v>
      </x:c>
      <x:c r="G22" s="86" t="str">
        <x:v>11</x:v>
      </x:c>
      <x:c r="H22" s="86" t="str">
        <x:v>22</x:v>
      </x:c>
      <x:c r="I22" s="85" t="str">
        <x:v>Taoglas or established distributor</x:v>
      </x:c>
      <x:c r="J22" s="85" t="str"/>
      <x:c r="K22" s="85" t="str"/>
      <x:c r="L22" s="85" t="str">
        <x:v>https://www.taoglas.com/product/aa-166-a-301111-ulysses-miniature-magnetic-mount-beidougpsglonassgalileo-antenna-with-3000mm-rg-174-smam/</x:v>
      </x:c>
      <x:c r="M22" s="85" t="str"/>
      <x:c r="N22" s="85" t="str"/>
      <x:c r="O22" s="85" t="str"/>
      <x:c r="P22" s="85" t="str">
        <x:v>Yes</x:v>
      </x:c>
      <x:c r="Q22" s="85" t="str">
        <x:v>No</x:v>
      </x:c>
      <x:c r="R22" s="85" t="str">
        <x:v>RFQ_REQUIRED</x:v>
      </x:c>
      <x:c r="S22" s="85" t="str">
        <x:v>Quote exact AA.166.A.301111 with no substitution and confirm quantity price and delivery; verify current at 3.3 V is at most 50 mA plus mounting sensitivity PPS seal and coexistence during assembly EOL and EVT</x:v>
      </x:c>
    </x:row>
    <x:row r="23" ht="32.400001525878906" hidden="0" customHeight="1">
      <x:c r="A23" s="85" t="str">
        <x:v>RFQ-022</x:v>
      </x:c>
      <x:c r="B23" s="85" t="str">
        <x:v>ANT-LORA</x:v>
      </x:c>
      <x:c r="C23" s="85" t="str">
        <x:v>RU868 antenna</x:v>
      </x:c>
      <x:c r="D23" s="85" t="str">
        <x:v>Taoglas</x:v>
      </x:c>
      <x:c r="E23" s="85" t="str">
        <x:v>TI.89.B.2111W IP67 860-930 MHz SMA(M)</x:v>
      </x:c>
      <x:c r="F23" s="86" t="str">
        <x:v>5</x:v>
      </x:c>
      <x:c r="G23" s="86" t="str">
        <x:v>11</x:v>
      </x:c>
      <x:c r="H23" s="86" t="str">
        <x:v>22</x:v>
      </x:c>
      <x:c r="I23" s="85" t="str">
        <x:v>Taoglas or established distributor</x:v>
      </x:c>
      <x:c r="J23" s="85" t="str"/>
      <x:c r="K23" s="85" t="str"/>
      <x:c r="L23" s="85" t="str">
        <x:v>https://www.taoglas.com/product/ti-89-b-ism-lora-860-930-mhz-white-terminal-mount-antenna-2dbi-smam-fixed-straight-waterproof-enclosure/</x:v>
      </x:c>
      <x:c r="M23" s="85" t="str"/>
      <x:c r="N23" s="85" t="str"/>
      <x:c r="O23" s="85" t="str"/>
      <x:c r="P23" s="85" t="str">
        <x:v>Yes</x:v>
      </x:c>
      <x:c r="Q23" s="85" t="str">
        <x:v>No</x:v>
      </x:c>
      <x:c r="R23" s="85" t="str">
        <x:v>RFQ_REQUIRED</x:v>
      </x:c>
      <x:c r="S23" s="85" t="str">
        <x:v>Quote exact TI.89.B.2111W with no substitution and confirm quantity price and delivery; verify installed SMA-bulkhead VSWR conducted power sensitivity seal coexistence and RU868 radiated compliance during assembly EOL and EVT</x:v>
      </x:c>
    </x:row>
    <x:row r="24" ht="43.20000076293945" hidden="0" customHeight="1">
      <x:c r="A24" s="81" t="str">
        <x:v>RFQ-023</x:v>
      </x:c>
      <x:c r="B24" s="81" t="str">
        <x:v>PCB-MAIN</x:v>
      </x:c>
      <x:c r="C24" s="81" t="str">
        <x:v>Bare PCB main</x:v>
      </x:c>
      <x:c r="D24" s="81" t="str">
        <x:v>TBD</x:v>
      </x:c>
      <x:c r="E24" s="81" t="str">
        <x:v>Released PCB-MAIN fabrication package Rev.A</x:v>
      </x:c>
      <x:c r="F24" s="82" t="str">
        <x:v>6</x:v>
      </x:c>
      <x:c r="G24" s="82" t="str">
        <x:v>12</x:v>
      </x:c>
      <x:c r="H24" s="82" t="str">
        <x:v>22</x:v>
      </x:c>
      <x:c r="I24" s="81" t="str">
        <x:v>Two independent qualified PCB fabricators</x:v>
      </x:c>
      <x:c r="J24" s="81" t="str"/>
      <x:c r="K24" s="81" t="str"/>
      <x:c r="L24" s="81" t="str"/>
      <x:c r="M24" s="81" t="str"/>
      <x:c r="N24" s="81" t="str"/>
      <x:c r="O24" s="81" t="str"/>
      <x:c r="P24" s="81" t="str">
        <x:v>Yes</x:v>
      </x:c>
      <x:c r="Q24" s="81" t="str">
        <x:v>No</x:v>
      </x:c>
      <x:c r="R24" s="81" t="str">
        <x:v>RFQ_REQUIRED</x:v>
      </x:c>
      <x:c r="S24" s="81" t="str">
        <x:v>ALTERNATIVE QUOTATION TRACK ONLY; do not issue a purchase order together with ASM-MAIN; quote and build only from released Gerber drill IPC-356 fabrication drawing and controlled six-layer stackup; preserve 110 x 75 x 1.60 mm outline; require factory-approved impedance coupon material Tg finish copper tolerances 100 percent net test DFM panelization traceability and selected-lot FAI; no fabrication while routing Review B DRC CAM or DFM is open</x:v>
      </x:c>
    </x:row>
    <x:row r="25" ht="43.20000076293945" hidden="0" customHeight="1">
      <x:c r="A25" s="81" t="str">
        <x:v>RFQ-024</x:v>
      </x:c>
      <x:c r="B25" s="81" t="str">
        <x:v>PCB-MIC</x:v>
      </x:c>
      <x:c r="C25" s="81" t="str">
        <x:v>Bare PCB microphone</x:v>
      </x:c>
      <x:c r="D25" s="81" t="str">
        <x:v>TBD</x:v>
      </x:c>
      <x:c r="E25" s="81" t="str">
        <x:v>Released PCB-MIC Rev.A 2-layer FR-4 24 x 22 x 1.0 mm ENIG</x:v>
      </x:c>
      <x:c r="F25" s="82" t="str">
        <x:v>18</x:v>
      </x:c>
      <x:c r="G25" s="82" t="str">
        <x:v>42</x:v>
      </x:c>
      <x:c r="H25" s="82" t="str">
        <x:v>82</x:v>
      </x:c>
      <x:c r="I25" s="81" t="str">
        <x:v>Two independent qualified PCB fabricators</x:v>
      </x:c>
      <x:c r="J25" s="81" t="str"/>
      <x:c r="K25" s="81" t="str"/>
      <x:c r="L25" s="81" t="str"/>
      <x:c r="M25" s="81" t="str"/>
      <x:c r="N25" s="81" t="str"/>
      <x:c r="O25" s="81" t="str"/>
      <x:c r="P25" s="81" t="str">
        <x:v>Yes</x:v>
      </x:c>
      <x:c r="Q25" s="81" t="str">
        <x:v>No</x:v>
      </x:c>
      <x:c r="R25" s="81" t="str">
        <x:v>RFQ_REQUIRED</x:v>
      </x:c>
      <x:c r="S25" s="81" t="str">
        <x:v>ALTERNATIVE QUOTATION TRACK ONLY; do not issue a purchase order together with ASM-MIC; quote and build only from released Gerber drill IPC-356 and fabrication drawing; preserve outline mounting holes acoustic opening thickness layer count and ENIG; require material copper tolerances 100 percent net test panelization/depanel plan DFM traceability and selected-lot FAI; close Review A Review B and fabricator DFM before manufacture</x:v>
      </x:c>
    </x:row>
    <x:row r="26" ht="43.20000076293945" hidden="0" customHeight="1">
      <x:c r="A26" s="81" t="str">
        <x:v>RFQ-025</x:v>
      </x:c>
      <x:c r="B26" s="81" t="str">
        <x:v>PCB-PWR</x:v>
      </x:c>
      <x:c r="C26" s="81" t="str">
        <x:v>Bare PCB power</x:v>
      </x:c>
      <x:c r="D26" s="81" t="str">
        <x:v>TBD</x:v>
      </x:c>
      <x:c r="E26" s="81" t="str">
        <x:v>4-layer FR-4 PCB; EVT DIM-003 90x60x1.6 mm and H1-H4 accepted; outer 2 oz target; inner 1 oz target; final stackup pending DFM</x:v>
      </x:c>
      <x:c r="F26" s="82" t="str">
        <x:v>6</x:v>
      </x:c>
      <x:c r="G26" s="82" t="str">
        <x:v>12</x:v>
      </x:c>
      <x:c r="H26" s="82" t="str">
        <x:v>22</x:v>
      </x:c>
      <x:c r="I26" s="81" t="str">
        <x:v>Two independent qualified PCB fabricators</x:v>
      </x:c>
      <x:c r="J26" s="81" t="str"/>
      <x:c r="K26" s="81" t="str"/>
      <x:c r="L26" s="81" t="str"/>
      <x:c r="M26" s="81" t="str"/>
      <x:c r="N26" s="81" t="str"/>
      <x:c r="O26" s="81" t="str"/>
      <x:c r="P26" s="81" t="str">
        <x:v>Yes</x:v>
      </x:c>
      <x:c r="Q26" s="81" t="str">
        <x:v>No</x:v>
      </x:c>
      <x:c r="R26" s="81" t="str">
        <x:v>RFQ_REQUIRED</x:v>
      </x:c>
      <x:c r="S26" s="81" t="str">
        <x:v>ALTERNATIVE QUOTATION TRACK ONLY; do not issue a purchase order together with ASM-PWR; EVT mechanical values are quotation inputs not build authorization; final quotation and fabrication await accepted stackup copper routing CAM serial mechanical revalidation and release; require material finish copper and plating tolerances current and Kelvin review 100 percent net test DFM panelization traceability and selected-lot FAI</x:v>
      </x:c>
    </x:row>
    <x:row r="27" ht="39.599998474121094" hidden="0" customHeight="1">
      <x:c r="A27" s="108" t="str">
        <x:v>RFQ-026</x:v>
      </x:c>
      <x:c r="B27" s="108" t="str">
        <x:v>MPPT-TEMP</x:v>
      </x:c>
      <x:c r="C27" s="108" t="str">
        <x:v>Battery temperature sensor</x:v>
      </x:c>
      <x:c r="D27" s="108" t="str">
        <x:v>Victron Energy</x:v>
      </x:c>
      <x:c r="E27" s="108" t="str">
        <x:v>Smart Battery Sense long-range up to 10 m radio article SBS050150200</x:v>
      </x:c>
      <x:c r="F27" s="108" t="str">
        <x:v>5</x:v>
      </x:c>
      <x:c r="G27" s="108" t="str">
        <x:v>11</x:v>
      </x:c>
      <x:c r="H27" s="108" t="str">
        <x:v>21</x:v>
      </x:c>
      <x:c r="I27" s="108" t="str">
        <x:v>Victron authorized distributor</x:v>
      </x:c>
      <x:c r="J27" s="108" t="str"/>
      <x:c r="K27" s="108" t="str"/>
      <x:c r="L27" s="108" t="str">
        <x:v>https://www.victronenergy.com/media/pg/Smart_Battery_Sense/en/technical-specifications.html</x:v>
      </x:c>
      <x:c r="M27" s="108" t="str"/>
      <x:c r="N27" s="108" t="str"/>
      <x:c r="O27" s="108" t="str"/>
      <x:c r="P27" s="108" t="str">
        <x:v>Yes</x:v>
      </x:c>
      <x:c r="Q27" s="108" t="str">
        <x:v>No</x:v>
      </x:c>
      <x:c r="R27" s="108" t="str">
        <x:v>RFQ_REQUIRED</x:v>
      </x:c>
      <x:c r="S27" s="108" t="str">
        <x:v>Quote exact SBS050150200 with no substitution and confirm quantity price and delivery; verify 0.45 m lead M10 eyelet retention on RB40 M8 terminals voltage and temperature accuracy VE.Smart pairing 0 C cutoff reconnect and cold-soak behavior during assembly EOL and EVT</x:v>
      </x:c>
    </x:row>
    <x:row r="28" ht="39.599998474121094" hidden="0" customHeight="1">
      <x:c r="A28" s="108" t="str">
        <x:v>RFQ-027</x:v>
      </x:c>
      <x:c r="B28" s="108" t="str">
        <x:v>RF-PIGTAIL</x:v>
      </x:c>
      <x:c r="C28" s="108" t="str">
        <x:v>RF pigtail</x:v>
      </x:c>
      <x:c r="D28" s="108" t="str">
        <x:v>Taoglas</x:v>
      </x:c>
      <x:c r="E28" s="108" t="str">
        <x:v>CAB.0243 150 mm 1.13 mm MHF I/U.FL-compatible R/A to waterproof SMA(F) bulkhead</x:v>
      </x:c>
      <x:c r="F28" s="108" t="str">
        <x:v>14</x:v>
      </x:c>
      <x:c r="G28" s="108" t="str">
        <x:v>33</x:v>
      </x:c>
      <x:c r="H28" s="108" t="str">
        <x:v>66</x:v>
      </x:c>
      <x:c r="I28" s="108" t="str">
        <x:v>Taoglas or established distributor</x:v>
      </x:c>
      <x:c r="J28" s="108" t="str"/>
      <x:c r="K28" s="108" t="str"/>
      <x:c r="L28" s="108" t="str">
        <x:v>https://www.taoglas.com/datasheets/CAB.0243.pdf</x:v>
      </x:c>
      <x:c r="M28" s="108" t="str"/>
      <x:c r="N28" s="108" t="str"/>
      <x:c r="O28" s="108" t="str"/>
      <x:c r="P28" s="108" t="str">
        <x:v>Yes</x:v>
      </x:c>
      <x:c r="Q28" s="108" t="str">
        <x:v>No</x:v>
      </x:c>
      <x:c r="R28" s="108" t="str">
        <x:v>RFQ_REQUIRED</x:v>
      </x:c>
      <x:c r="S28" s="108" t="str">
        <x:v>Quote exact CAB.0243 and SPE-24-8-147-A with no substitution and confirm quantity price and delivery; verify normal SMA polarity 150 mm length 6.8 mm minimum bend mate with Hirose U.FL-R-SMT-1(60) routing insertion loss VSWR bulkhead seal torque and temperature during assembly EOL and EVT</x:v>
      </x:c>
    </x:row>
  </x:sheetData>
  <x:conditionalFormatting sqref="Q2:Q20">
    <x:cfRule type="containsText" dxfId="6" priority="1" operator="containsText" text="RFQ_REQUIRED"/>
  </x:conditionalFormatting>
  <x:pageMargins left="0.7" right="0.7" top="0.75" bottom="0.75" header="0.3" footer="0.3"/>
  <x:tableParts count="1">
    <x:tablePart xmlns:r="http://schemas.openxmlformats.org/officeDocument/2006/relationships" r:id="R52659db785274d61"/>
  </x:tableParts>
</x:worksheet>
</file>

<file path=xl/worksheets/sheet5.xml><?xml version="1.0" encoding="utf-8"?>
<x:worksheet xmlns:x="http://schemas.openxmlformats.org/spreadsheetml/2006/main">
  <x:sheetPr>
    <x:tabColor rgb="FF9E7C0C"/>
  </x:sheetPr>
  <x:sheetViews>
    <x:sheetView showGridLines="0" workbookViewId="0">
      <x:pane xSplit="4" ySplit="12" topLeftCell="E13" activePane="bottomRight" state="frozen"/>
    </x:sheetView>
  </x:sheetViews>
  <x:sheetFormatPr defaultRowHeight="15"/>
  <x:cols>
    <x:col min="1" max="1" width="13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42" hidden="0" customWidth="1"/>
    <x:col min="10" max="10" width="12" hidden="0" customWidth="1"/>
    <x:col min="11" max="11" width="11" hidden="0" customWidth="1"/>
    <x:col min="12" max="12" width="9" hidden="0" customWidth="1"/>
    <x:col min="13" max="13" width="15" hidden="0" customWidth="1"/>
    <x:col min="14" max="14" width="9" hidden="0" customWidth="1"/>
    <x:col min="15" max="15" width="15" hidden="0" customWidth="1"/>
    <x:col min="16" max="16" width="9" hidden="0" customWidth="1"/>
    <x:col min="17" max="17" width="15" hidden="0" customWidth="1"/>
    <x:col min="18" max="18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>
      <x:c r="A2" s="136" t="str">
        <x:v>EVT-PRE-20 cost tracks</x:v>
      </x:c>
      <x:c r="B2" s="136"/>
      <x:c r="C2" s="136"/>
      <x:c r="D2" s="136"/>
      <x:c r="E2" s="136"/>
      <x:c r="F2" s="136"/>
      <x:c r="G2" s="136"/>
      <x:c r="H2" s="136"/>
      <x:c r="I2" s="136"/>
      <x:c r="J2" s="136"/>
      <x:c r="K2" s="136"/>
      <x:c r="L2" s="136"/>
      <x:c r="M2" s="136"/>
      <x:c r="N2" s="136"/>
      <x:c r="O2" s="136"/>
      <x:c r="P2" s="136"/>
      <x:c r="Q2" s="136"/>
      <x:c r="R2" s="136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137" t="str">
        <x:v>Customer-comparable values use the presented 2026-09-09 China engineering estimate. Internal values use the current exact-MPN public-price exposure below; the two bases are not interchangeable.</x:v>
      </x:c>
      <x:c r="B4" s="137"/>
      <x:c r="C4" s="137"/>
      <x:c r="D4" s="137"/>
      <x:c r="E4" s="137"/>
      <x:c r="F4" s="137"/>
      <x:c r="G4" s="137"/>
      <x:c r="H4" s="137"/>
      <x:c r="I4" s="137"/>
      <x:c r="J4" s="137"/>
      <x:c r="K4" s="137"/>
      <x:c r="L4" s="137"/>
      <x:c r="M4" s="137"/>
      <x:c r="N4" s="137"/>
      <x:c r="O4" s="137"/>
      <x:c r="P4" s="137"/>
      <x:c r="Q4" s="137"/>
      <x:c r="R4" s="137"/>
    </x:row>
    <x:row r="5" ht="3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</x:row>
    <x:row r="6">
      <x:c r="A6" s="177" t="str">
        <x:v>Customer-comparable engineering estimate</x:v>
      </x:c>
      <x:c r="B6" s="178"/>
      <x:c r="C6" s="178"/>
      <x:c r="D6" s="178"/>
      <x:c r="E6" s="178"/>
      <x:c r="F6" s="178"/>
      <x:c r="G6" s="178"/>
      <x:c r="H6" s="179"/>
      <x:c r="I6" s="2"/>
      <x:c r="J6" s="177" t="str">
        <x:v>Assumptions and controls</x:v>
      </x:c>
      <x:c r="K6" s="178"/>
      <x:c r="L6" s="178"/>
      <x:c r="M6" s="178"/>
      <x:c r="N6" s="178"/>
      <x:c r="O6" s="178"/>
      <x:c r="P6" s="178"/>
      <x:c r="Q6" s="178"/>
      <x:c r="R6" s="179"/>
    </x:row>
    <x:row r="7" ht="34" customHeight="1">
      <x:c r="A7" s="188" t="str">
        <x:v>Lot</x:v>
      </x:c>
      <x:c r="B7" s="191" t="str">
        <x:v>ALT: Bare PCB kit, direct RUB</x:v>
      </x:c>
      <x:c r="C7" s="191" t="str">
        <x:v>ALT: Bare PCB kit +10%</x:v>
      </x:c>
      <x:c r="D7" s="192" t="str">
        <x:v>PRIMARY: Full PCBA, direct RUB</x:v>
      </x:c>
      <x:c r="E7" s="192" t="str">
        <x:v>PRIMARY: Full PCBA +10%</x:v>
      </x:c>
      <x:c r="F7" s="192" t="str">
        <x:v>PRIMARY PCBA / station</x:v>
      </x:c>
      <x:c r="G7" s="189" t="str">
        <x:v>Internal bare exposure</x:v>
      </x:c>
      <x:c r="H7" s="190" t="str">
        <x:v>Internal full exposure</x:v>
      </x:c>
      <x:c r="I7" s="2"/>
      <x:c r="J7" s="130" t="str">
        <x:v>USD/RUB</x:v>
      </x:c>
      <x:c r="K7" s="163" t="n">
        <x:v>85.0757</x:v>
      </x:c>
      <x:c r="L7" s="130"/>
      <x:c r="M7" s="130" t="str">
        <x:v>Presented direct BOM, lot 20</x:v>
      </x:c>
      <x:c r="N7" s="167" t="n">
        <x:v>561805.89252</x:v>
      </x:c>
      <x:c r="O7" s="130"/>
      <x:c r="P7" s="130" t="str">
        <x:v>Cable/connector spare cost, lot 20</x:v>
      </x:c>
      <x:c r="Q7" s="167" t="n">
        <x:v>6601.023563</x:v>
      </x:c>
      <x:c r="R7" s="2"/>
    </x:row>
    <x:row r="8">
      <x:c r="A8" s="154" t="n">
        <x:v>4</x:v>
      </x:c>
      <x:c r="B8" s="159" t="n">
        <x:f>(A8*$K$8+A8*25+16.61*ROUNDUP(2*A8/20,0)+0.26*ROUNDUP(12*A8/20,0)+5*ROUNDUP(5*A8/20,0)+1.5*ROUNDUP(8*A8/20,0)+0.35*ROUNDUP(5*A8/20,0)+0.5*ROUNDUP(5*A8/20,0)+5*(A8+$K$10)+3*(A8+$K$10)+1.5*(4*A8+$K$10))*$K$7</x:f>
        <x:v>103959.10237199998</x:v>
      </x:c>
      <x:c r="C8" s="159" t="n">
        <x:f>B8*(1+$K$9)</x:f>
        <x:v>114355.01260919998</x:v>
      </x:c>
      <x:c r="D8" s="159" t="n">
        <x:f>B8+(12*(A8+$K$10)+8*(A8+$K$10)+4*(4*A8+$K$10))*$K$7</x:f>
        <x:v>120293.63677199998</x:v>
      </x:c>
      <x:c r="E8" s="159" t="n">
        <x:f>D8*(1+$K$9)</x:f>
        <x:v>132323.0004492</x:v>
      </x:c>
      <x:c r="F8" s="159" t="n">
        <x:f>D8/A8</x:f>
        <x:v>30073.409192999996</x:v>
      </x:c>
      <x:c r="G8" s="159" t="n">
        <x:f>SUMIF($D$13:$D$136,"&lt;&gt;PCBA",$M$13:$M$136)</x:f>
        <x:v>920420</x:v>
      </x:c>
      <x:c r="H8" s="159" t="n">
        <x:f>SUM($M$13:$M$136)</x:f>
        <x:v>970820</x:v>
      </x:c>
      <x:c r="I8" s="2"/>
      <x:c r="J8" s="130" t="str">
        <x:v>Other BOM, USD/station</x:v>
      </x:c>
      <x:c r="K8" s="164" t="n">
        <x:v>255.18</x:v>
      </x:c>
      <x:c r="L8" s="130"/>
      <x:c r="M8" s="130" t="str">
        <x:v>Maximum at +15%</x:v>
      </x:c>
      <x:c r="N8" s="167" t="n">
        <x:f>N7*1.15</x:f>
        <x:v>646076.776398</x:v>
      </x:c>
      <x:c r="O8" s="130"/>
      <x:c r="P8" s="130" t="str">
        <x:v>Board reserve</x:v>
      </x:c>
      <x:c r="Q8" s="130" t="str">
        <x:v>2 each MAIN / PWR / MIC</x:v>
      </x:c>
      <x:c r="R8" s="2"/>
    </x:row>
    <x:row r="9">
      <x:c r="A9" s="155" t="n">
        <x:v>10</x:v>
      </x:c>
      <x:c r="B9" s="160" t="n">
        <x:f>(A9*$K$8+A9*25+16.61*ROUNDUP(2*A9/20,0)+0.26*ROUNDUP(12*A9/20,0)+5*ROUNDUP(5*A9/20,0)+1.5*ROUNDUP(8*A9/20,0)+0.35*ROUNDUP(5*A9/20,0)+0.5*ROUNDUP(5*A9/20,0)+5*(A9+$K$10)+3*(A9+$K$10)+1.5*(4*A9+$K$10))*$K$7</x:f>
        <x:v>255441.49076400002</x:v>
      </x:c>
      <x:c r="C9" s="160" t="n">
        <x:f>B9*(1+$K$9)</x:f>
        <x:v>280985.6398404</x:v>
      </x:c>
      <x:c r="D9" s="160" t="n">
        <x:f>B9+(12*(A9+$K$10)+8*(A9+$K$10)+4*(4*A9+$K$10))*$K$7</x:f>
        <x:v>290152.376364</x:v>
      </x:c>
      <x:c r="E9" s="160" t="n">
        <x:f>D9*(1+$K$9)</x:f>
        <x:v>319167.61400040006</x:v>
      </x:c>
      <x:c r="F9" s="160" t="n">
        <x:f>D9/A9</x:f>
        <x:v>29015.2376364</x:v>
      </x:c>
      <x:c r="G9" s="160" t="n">
        <x:f>SUMIF($D$13:$D$136,"&lt;&gt;PCBA",$O$13:$O$136)</x:f>
        <x:v>2093540</x:v>
      </x:c>
      <x:c r="H9" s="160" t="n">
        <x:f>SUM($O$13:$O$136)</x:f>
        <x:v>2198540</x:v>
      </x:c>
      <x:c r="I9" s="2"/>
      <x:c r="J9" s="130" t="str">
        <x:v>Planning reserve</x:v>
      </x:c>
      <x:c r="K9" s="165" t="n">
        <x:v>0.1</x:v>
      </x:c>
      <x:c r="L9" s="130"/>
      <x:c r="M9" s="130" t="str">
        <x:v>Full-PCBA direct delta</x:v>
      </x:c>
      <x:c r="N9" s="168" t="n">
        <x:f>D10/N7-1</x:f>
        <x:v>0.021895632685202004</x:v>
      </x:c>
      <x:c r="O9" s="130"/>
      <x:c r="P9" s="130" t="str">
        <x:v>Alternative track</x:v>
      </x:c>
      <x:c r="Q9" s="130" t="str">
        <x:v>components + bare PCB; assembly excluded</x:v>
      </x:c>
      <x:c r="R9" s="2"/>
    </x:row>
    <x:row r="10">
      <x:c r="A10" s="194" t="n">
        <x:v>20</x:v>
      </x:c>
      <x:c r="B10" s="195" t="n">
        <x:f>(A10*$K$8+A10*25+16.61*ROUNDUP(2*A10/20,0)+0.26*ROUNDUP(12*A10/20,0)+5*ROUNDUP(5*A10/20,0)+1.5*ROUNDUP(8*A10/20,0)+0.35*ROUNDUP(5*A10/20,0)+0.5*ROUNDUP(5*A10/20,0)+5*(A10+$K$10)+3*(A10+$K$10)+1.5*(4*A10+$K$10))*$K$7</x:f>
        <x:v>508768.85038300004</x:v>
      </x:c>
      <x:c r="C10" s="195" t="n">
        <x:f>B10*(1+$K$9)</x:f>
        <x:v>559645.7354213</x:v>
      </x:c>
      <x:c r="D10" s="195" t="n">
        <x:f>B10+(12*(A10+$K$10)+8*(A10+$K$10)+4*(4*A10+$K$10))*$K$7</x:f>
        <x:v>574106.987983</x:v>
      </x:c>
      <x:c r="E10" s="195" t="n">
        <x:f>D10*(1+$K$9)</x:f>
        <x:v>631517.6867813</x:v>
      </x:c>
      <x:c r="F10" s="195" t="n">
        <x:f>D10/A10</x:f>
        <x:v>28705.34939915</x:v>
      </x:c>
      <x:c r="G10" s="195" t="n">
        <x:f>SUMIF($D$13:$D$136,"&lt;&gt;PCBA",$Q$13:$Q$136)</x:f>
        <x:v>4032880</x:v>
      </x:c>
      <x:c r="H10" s="195" t="n">
        <x:f>SUM($Q$13:$Q$136)</x:f>
        <x:v>4228880</x:v>
      </x:c>
      <x:c r="I10" s="2"/>
      <x:c r="J10" s="130" t="str">
        <x:v>Spare boards / design</x:v>
      </x:c>
      <x:c r="K10" s="166" t="n">
        <x:v>2</x:v>
      </x:c>
      <x:c r="L10" s="130"/>
      <x:c r="M10" s="130" t="str">
        <x:v>Source</x:v>
      </x:c>
      <x:c r="N10" s="130" t="str">
        <x:v>Dioneya_EVT_PRE_20_BOM_priced_v0_2.xlsx</x:v>
      </x:c>
      <x:c r="O10" s="130"/>
      <x:c r="P10" s="130" t="str">
        <x:v>Primary track</x:v>
      </x:c>
      <x:c r="Q10" s="130" t="str">
        <x:v>full PCBA with assembly/test service</x:v>
      </x:c>
      <x:c r="R10" s="2"/>
    </x:row>
    <x:row r="11" ht="24" customHeight="1">
      <x:c r="A11" s="198" t="str">
        <x:v>PRIMARY procurement route: full PCBA. Bare PCB is an alternative quotation track only. Cable and connector reserves are retained; both tracks use exactly two spare boards of every design and are never added together.</x:v>
      </x:c>
      <x:c r="B11" s="198"/>
      <x:c r="C11" s="198"/>
      <x:c r="D11" s="198"/>
      <x:c r="E11" s="198"/>
      <x:c r="F11" s="198"/>
      <x:c r="G11" s="198"/>
      <x:c r="H11" s="198"/>
      <x:c r="I11" s="198"/>
      <x:c r="J11" s="198"/>
      <x:c r="K11" s="198"/>
      <x:c r="L11" s="198"/>
      <x:c r="M11" s="198"/>
      <x:c r="N11" s="198"/>
      <x:c r="O11" s="198"/>
      <x:c r="P11" s="198"/>
      <x:c r="Q11" s="198"/>
      <x:c r="R11" s="198"/>
    </x:row>
    <x:row r="12">
      <x:c r="A12" s="126" t="str">
        <x:v>Procurement_ID</x:v>
      </x:c>
      <x:c r="B12" s="126" t="str">
        <x:v>Manufacturer</x:v>
      </x:c>
      <x:c r="C12" s="126" t="str">
        <x:v>MPN</x:v>
      </x:c>
      <x:c r="D12" s="126" t="str">
        <x:v>Category</x:v>
      </x:c>
      <x:c r="E12" s="126" t="str">
        <x:v>Unit_price_RUB_estimate</x:v>
      </x:c>
      <x:c r="F12" s="126" t="str">
        <x:v>Price_basis</x:v>
      </x:c>
      <x:c r="G12" s="126" t="str">
        <x:v>Displayed_source_price</x:v>
      </x:c>
      <x:c r="H12" s="126" t="str">
        <x:v>Source_currency</x:v>
      </x:c>
      <x:c r="I12" s="126" t="str">
        <x:v>Source_URL</x:v>
      </x:c>
      <x:c r="J12" s="126" t="str">
        <x:v>Checked_on</x:v>
      </x:c>
      <x:c r="K12" s="126" t="str">
        <x:v>Estimate_confidence</x:v>
      </x:c>
      <x:c r="L12" s="126" t="str">
        <x:v>Procure_qty_4</x:v>
      </x:c>
      <x:c r="M12" s="126" t="str">
        <x:v>Line_cost_4_RUB_estimate</x:v>
      </x:c>
      <x:c r="N12" s="126" t="str">
        <x:v>Procure_qty_10</x:v>
      </x:c>
      <x:c r="O12" s="126" t="str">
        <x:v>Line_cost_10_RUB_estimate</x:v>
      </x:c>
      <x:c r="P12" s="126" t="str">
        <x:v>Procure_qty_20</x:v>
      </x:c>
      <x:c r="Q12" s="126" t="str">
        <x:v>Line_cost_20_RUB_estimate</x:v>
      </x:c>
      <x:c r="R12" s="126" t="str">
        <x:v>Estimate_note</x:v>
      </x:c>
    </x:row>
    <x:row r="13">
      <x:c r="A13" s="130" t="str">
        <x:v>PR-001</x:v>
      </x:c>
      <x:c r="B13" s="134" t="str">
        <x:v>Contract manufacturer</x:v>
      </x:c>
      <x:c r="C13" s="134" t="str">
        <x:v>TBD</x:v>
      </x:c>
      <x:c r="D13" s="134" t="str">
        <x:v>PCBA</x:v>
      </x:c>
      <x:c r="E13" s="131" t="n">
        <x:v>3500</x:v>
      </x:c>
      <x:c r="F13" s="130" t="str">
        <x:v>ENGINEERING_BUDGETARY_ESTIMATE</x:v>
      </x:c>
      <x:c r="G13" s="130" t="str"/>
      <x:c r="H13" s="130" t="str">
        <x:v>RUB</x:v>
      </x:c>
      <x:c r="I13" s="130" t="str"/>
      <x:c r="J13" s="132" t="str">
        <x:v>2026-09-18</x:v>
      </x:c>
      <x:c r="K13" s="130" t="str">
        <x:v>LOW</x:v>
      </x:c>
      <x:c r="L13" s="133" t="n">
        <x:v>6</x:v>
      </x:c>
      <x:c r="M13" s="131" t="n">
        <x:f>E13*L13</x:f>
        <x:v>21000</x:v>
      </x:c>
      <x:c r="N13" s="133" t="n">
        <x:v>12</x:v>
      </x:c>
      <x:c r="O13" s="131" t="n">
        <x:f>E13*N13</x:f>
        <x:v>42000</x:v>
      </x:c>
      <x:c r="P13" s="133" t="n">
        <x:v>22</x:v>
      </x:c>
      <x:c r="Q13" s="131" t="n">
        <x:f>E13*P13</x:f>
        <x:v>77000</x:v>
      </x:c>
      <x:c r="R13" s="134" t="str">
        <x:v>Primary full-PCBA procurement track; assembly and EOL service estimate excludes components and remains subject to the CM quotation.</x:v>
      </x:c>
    </x:row>
    <x:row r="14">
      <x:c r="A14" s="130" t="str">
        <x:v>PR-002</x:v>
      </x:c>
      <x:c r="B14" s="134" t="str">
        <x:v>Contract manufacturer</x:v>
      </x:c>
      <x:c r="C14" s="134" t="str">
        <x:v>TBD</x:v>
      </x:c>
      <x:c r="D14" s="134" t="str">
        <x:v>PCBA</x:v>
      </x:c>
      <x:c r="E14" s="131" t="n">
        <x:v>700</x:v>
      </x:c>
      <x:c r="F14" s="130" t="str">
        <x:v>ENGINEERING_BUDGETARY_ESTIMATE</x:v>
      </x:c>
      <x:c r="G14" s="130" t="str"/>
      <x:c r="H14" s="130" t="str">
        <x:v>RUB</x:v>
      </x:c>
      <x:c r="I14" s="130" t="str"/>
      <x:c r="J14" s="132" t="str">
        <x:v>2026-09-18</x:v>
      </x:c>
      <x:c r="K14" s="130" t="str">
        <x:v>LOW</x:v>
      </x:c>
      <x:c r="L14" s="133" t="n">
        <x:v>18</x:v>
      </x:c>
      <x:c r="M14" s="131" t="n">
        <x:f>E14*L14</x:f>
        <x:v>12600</x:v>
      </x:c>
      <x:c r="N14" s="133" t="n">
        <x:v>42</x:v>
      </x:c>
      <x:c r="O14" s="131" t="n">
        <x:f>E14*N14</x:f>
        <x:v>29400</x:v>
      </x:c>
      <x:c r="P14" s="133" t="n">
        <x:v>82</x:v>
      </x:c>
      <x:c r="Q14" s="131" t="n">
        <x:f>E14*P14</x:f>
        <x:v>57400</x:v>
      </x:c>
      <x:c r="R14" s="134" t="str">
        <x:v>Primary full-PCBA procurement track; assembly and EOL service estimate excludes components and remains subject to the CM quotation.</x:v>
      </x:c>
    </x:row>
    <x:row r="15">
      <x:c r="A15" s="130" t="str">
        <x:v>PR-003</x:v>
      </x:c>
      <x:c r="B15" s="134" t="str">
        <x:v>Contract manufacturer</x:v>
      </x:c>
      <x:c r="C15" s="134" t="str">
        <x:v>TBD</x:v>
      </x:c>
      <x:c r="D15" s="134" t="str">
        <x:v>PCBA</x:v>
      </x:c>
      <x:c r="E15" s="131" t="n">
        <x:v>2800</x:v>
      </x:c>
      <x:c r="F15" s="130" t="str">
        <x:v>ENGINEERING_BUDGETARY_ESTIMATE</x:v>
      </x:c>
      <x:c r="G15" s="130" t="str"/>
      <x:c r="H15" s="130" t="str">
        <x:v>RUB</x:v>
      </x:c>
      <x:c r="I15" s="130" t="str"/>
      <x:c r="J15" s="132" t="str">
        <x:v>2026-09-18</x:v>
      </x:c>
      <x:c r="K15" s="130" t="str">
        <x:v>LOW</x:v>
      </x:c>
      <x:c r="L15" s="133" t="n">
        <x:v>6</x:v>
      </x:c>
      <x:c r="M15" s="131" t="n">
        <x:f>E15*L15</x:f>
        <x:v>16800</x:v>
      </x:c>
      <x:c r="N15" s="133" t="n">
        <x:v>12</x:v>
      </x:c>
      <x:c r="O15" s="131" t="n">
        <x:f>E15*N15</x:f>
        <x:v>33600</x:v>
      </x:c>
      <x:c r="P15" s="133" t="n">
        <x:v>22</x:v>
      </x:c>
      <x:c r="Q15" s="131" t="n">
        <x:f>E15*P15</x:f>
        <x:v>61600</x:v>
      </x:c>
      <x:c r="R15" s="134" t="str">
        <x:v>Primary full-PCBA procurement track; assembly and EOL service estimate excludes components and remains subject to the CM quotation.</x:v>
      </x:c>
    </x:row>
    <x:row r="16">
      <x:c r="A16" s="130" t="str">
        <x:v>PR-004</x:v>
      </x:c>
      <x:c r="B16" s="134" t="str">
        <x:v>TBD</x:v>
      </x:c>
      <x:c r="C16" s="134" t="str">
        <x:v>TBD</x:v>
      </x:c>
      <x:c r="D16" s="134" t="str">
        <x:v>Harness</x:v>
      </x:c>
      <x:c r="E16" s="131" t="n">
        <x:v>4500</x:v>
      </x:c>
      <x:c r="F16" s="130" t="str">
        <x:v>ENGINEERING_BUDGETARY_ESTIMATE</x:v>
      </x:c>
      <x:c r="G16" s="130" t="str"/>
      <x:c r="H16" s="130" t="str">
        <x:v>RUB</x:v>
      </x:c>
      <x:c r="I16" s="130" t="str"/>
      <x:c r="J16" s="132" t="str">
        <x:v>2026-09-18</x:v>
      </x:c>
      <x:c r="K16" s="130" t="str">
        <x:v>LOW</x:v>
      </x:c>
      <x:c r="L16" s="133" t="n">
        <x:v>5</x:v>
      </x:c>
      <x:c r="M16" s="131" t="n">
        <x:f>E16*L16</x:f>
        <x:v>22500</x:v>
      </x:c>
      <x:c r="N16" s="133" t="n">
        <x:v>11</x:v>
      </x:c>
      <x:c r="O16" s="131" t="n">
        <x:f>E16*N16</x:f>
        <x:v>49500</x:v>
      </x:c>
      <x:c r="P16" s="133" t="n">
        <x:v>22</x:v>
      </x:c>
      <x:c r="Q16" s="131" t="n">
        <x:f>E16*P16</x:f>
        <x:v>99000</x:v>
      </x:c>
      <x:c r="R16" s="134" t="str">
        <x:v>Rounded engineering estimate pending supplier quotation.</x:v>
      </x:c>
    </x:row>
    <x:row r="17">
      <x:c r="A17" s="130" t="str">
        <x:v>PR-005</x:v>
      </x:c>
      <x:c r="B17" s="134" t="str">
        <x:v>TBD</x:v>
      </x:c>
      <x:c r="C17" s="134" t="str">
        <x:v>TBD</x:v>
      </x:c>
      <x:c r="D17" s="134" t="str">
        <x:v>Housing</x:v>
      </x:c>
      <x:c r="E17" s="131" t="n">
        <x:v>12000</x:v>
      </x:c>
      <x:c r="F17" s="130" t="str">
        <x:v>ENGINEERING_BUDGETARY_ESTIMATE</x:v>
      </x:c>
      <x:c r="G17" s="130" t="str"/>
      <x:c r="H17" s="130" t="str">
        <x:v>RUB</x:v>
      </x:c>
      <x:c r="I17" s="130" t="str"/>
      <x:c r="J17" s="132" t="str">
        <x:v>2026-09-18</x:v>
      </x:c>
      <x:c r="K17" s="130" t="str">
        <x:v>LOW</x:v>
      </x:c>
      <x:c r="L17" s="133" t="n">
        <x:v>0</x:v>
      </x:c>
      <x:c r="M17" s="131" t="n">
        <x:f>E17*L17</x:f>
        <x:v>0</x:v>
      </x:c>
      <x:c r="N17" s="133" t="n">
        <x:v>0</x:v>
      </x:c>
      <x:c r="O17" s="131" t="n">
        <x:f>E17*N17</x:f>
        <x:v>0</x:v>
      </x:c>
      <x:c r="P17" s="133" t="n">
        <x:v>0</x:v>
      </x:c>
      <x:c r="Q17" s="131" t="n">
        <x:f>E17*P17</x:f>
        <x:v>0</x:v>
      </x:c>
      <x:c r="R17" s="134" t="str">
        <x:v>Rounded engineering estimate pending supplier quotation.</x:v>
      </x:c>
    </x:row>
    <x:row r="18">
      <x:c r="A18" s="130" t="str">
        <x:v>PR-006</x:v>
      </x:c>
      <x:c r="B18" s="134" t="str">
        <x:v>TBD</x:v>
      </x:c>
      <x:c r="C18" s="134" t="str">
        <x:v>TBD</x:v>
      </x:c>
      <x:c r="D18" s="134" t="str">
        <x:v>Housing</x:v>
      </x:c>
      <x:c r="E18" s="131" t="n">
        <x:v>250000</x:v>
      </x:c>
      <x:c r="F18" s="130" t="str">
        <x:v>ENGINEERING_BUDGETARY_ESTIMATE</x:v>
      </x:c>
      <x:c r="G18" s="130" t="str"/>
      <x:c r="H18" s="130" t="str">
        <x:v>RUB</x:v>
      </x:c>
      <x:c r="I18" s="130" t="str"/>
      <x:c r="J18" s="132" t="str">
        <x:v>2026-09-18</x:v>
      </x:c>
      <x:c r="K18" s="130" t="str">
        <x:v>LOW</x:v>
      </x:c>
      <x:c r="L18" s="133" t="n">
        <x:v>0</x:v>
      </x:c>
      <x:c r="M18" s="131" t="n">
        <x:f>E18*L18</x:f>
        <x:v>0</x:v>
      </x:c>
      <x:c r="N18" s="133" t="n">
        <x:v>0</x:v>
      </x:c>
      <x:c r="O18" s="131" t="n">
        <x:f>E18*N18</x:f>
        <x:v>0</x:v>
      </x:c>
      <x:c r="P18" s="133" t="n">
        <x:v>0</x:v>
      </x:c>
      <x:c r="Q18" s="131" t="n">
        <x:f>E18*P18</x:f>
        <x:v>0</x:v>
      </x:c>
      <x:c r="R18" s="134" t="str">
        <x:v>Rounded engineering estimate pending supplier quotation.</x:v>
      </x:c>
    </x:row>
    <x:row r="19">
      <x:c r="A19" s="130" t="str">
        <x:v>PR-007</x:v>
      </x:c>
      <x:c r="B19" s="134" t="str">
        <x:v>TBD</x:v>
      </x:c>
      <x:c r="C19" s="134" t="str">
        <x:v>TBD</x:v>
      </x:c>
      <x:c r="D19" s="134" t="str">
        <x:v>Housing</x:v>
      </x:c>
      <x:c r="E19" s="131" t="n">
        <x:v>18000</x:v>
      </x:c>
      <x:c r="F19" s="130" t="str">
        <x:v>ENGINEERING_BUDGETARY_ESTIMATE</x:v>
      </x:c>
      <x:c r="G19" s="130" t="str"/>
      <x:c r="H19" s="130" t="str">
        <x:v>RUB</x:v>
      </x:c>
      <x:c r="I19" s="130" t="str"/>
      <x:c r="J19" s="132" t="str">
        <x:v>2026-09-18</x:v>
      </x:c>
      <x:c r="K19" s="130" t="str">
        <x:v>LOW</x:v>
      </x:c>
      <x:c r="L19" s="133" t="n">
        <x:v>4</x:v>
      </x:c>
      <x:c r="M19" s="131" t="n">
        <x:f>E19*L19</x:f>
        <x:v>72000</x:v>
      </x:c>
      <x:c r="N19" s="133" t="n">
        <x:v>10</x:v>
      </x:c>
      <x:c r="O19" s="131" t="n">
        <x:f>E19*N19</x:f>
        <x:v>180000</x:v>
      </x:c>
      <x:c r="P19" s="133" t="n">
        <x:v>20</x:v>
      </x:c>
      <x:c r="Q19" s="131" t="n">
        <x:f>E19*P19</x:f>
        <x:v>360000</x:v>
      </x:c>
      <x:c r="R19" s="134" t="str">
        <x:v>Rounded engineering estimate pending supplier quotation.</x:v>
      </x:c>
    </x:row>
    <x:row r="20">
      <x:c r="A20" s="130" t="str">
        <x:v>PR-008</x:v>
      </x:c>
      <x:c r="B20" s="134" t="str">
        <x:v>Qualified PCB fab</x:v>
      </x:c>
      <x:c r="C20" s="134" t="str">
        <x:v>TBD</x:v>
      </x:c>
      <x:c r="D20" s="134" t="str">
        <x:v>Bare PCB</x:v>
      </x:c>
      <x:c r="E20" s="131" t="n">
        <x:v>2200</x:v>
      </x:c>
      <x:c r="F20" s="130" t="str">
        <x:v>ENGINEERING_BUDGETARY_ESTIMATE</x:v>
      </x:c>
      <x:c r="G20" s="130" t="str"/>
      <x:c r="H20" s="130" t="str">
        <x:v>RUB</x:v>
      </x:c>
      <x:c r="I20" s="130" t="str"/>
      <x:c r="J20" s="132" t="str">
        <x:v>2026-09-18</x:v>
      </x:c>
      <x:c r="K20" s="130" t="str">
        <x:v>LOW</x:v>
      </x:c>
      <x:c r="L20" s="133" t="n">
        <x:v>6</x:v>
      </x:c>
      <x:c r="M20" s="131" t="n">
        <x:f>E20*L20</x:f>
        <x:v>13200</x:v>
      </x:c>
      <x:c r="N20" s="133" t="n">
        <x:v>12</x:v>
      </x:c>
      <x:c r="O20" s="131" t="n">
        <x:f>E20*N20</x:f>
        <x:v>26400</x:v>
      </x:c>
      <x:c r="P20" s="133" t="n">
        <x:v>22</x:v>
      </x:c>
      <x:c r="Q20" s="131" t="n">
        <x:f>E20*P20</x:f>
        <x:v>48400</x:v>
      </x:c>
      <x:c r="R20" s="134" t="str">
        <x:v>Alternative bare-PCB quotation track only; do not add to the selected full-PCBA purchase set.</x:v>
      </x:c>
    </x:row>
    <x:row r="21">
      <x:c r="A21" s="130" t="str">
        <x:v>PR-009</x:v>
      </x:c>
      <x:c r="B21" s="134" t="str">
        <x:v>Qualified PCB fab</x:v>
      </x:c>
      <x:c r="C21" s="134" t="str">
        <x:v>TBD</x:v>
      </x:c>
      <x:c r="D21" s="134" t="str">
        <x:v>Bare PCB</x:v>
      </x:c>
      <x:c r="E21" s="131" t="n">
        <x:v>350</x:v>
      </x:c>
      <x:c r="F21" s="130" t="str">
        <x:v>ENGINEERING_BUDGETARY_ESTIMATE</x:v>
      </x:c>
      <x:c r="G21" s="130" t="str"/>
      <x:c r="H21" s="130" t="str">
        <x:v>RUB</x:v>
      </x:c>
      <x:c r="I21" s="130" t="str"/>
      <x:c r="J21" s="132" t="str">
        <x:v>2026-09-18</x:v>
      </x:c>
      <x:c r="K21" s="130" t="str">
        <x:v>LOW</x:v>
      </x:c>
      <x:c r="L21" s="133" t="n">
        <x:v>18</x:v>
      </x:c>
      <x:c r="M21" s="131" t="n">
        <x:f>E21*L21</x:f>
        <x:v>6300</x:v>
      </x:c>
      <x:c r="N21" s="133" t="n">
        <x:v>42</x:v>
      </x:c>
      <x:c r="O21" s="131" t="n">
        <x:f>E21*N21</x:f>
        <x:v>14700</x:v>
      </x:c>
      <x:c r="P21" s="133" t="n">
        <x:v>82</x:v>
      </x:c>
      <x:c r="Q21" s="131" t="n">
        <x:f>E21*P21</x:f>
        <x:v>28700</x:v>
      </x:c>
      <x:c r="R21" s="134" t="str">
        <x:v>Alternative bare-PCB quotation track only; do not add to the selected full-PCBA purchase set.</x:v>
      </x:c>
    </x:row>
    <x:row r="22">
      <x:c r="A22" s="130" t="str">
        <x:v>PR-010</x:v>
      </x:c>
      <x:c r="B22" s="134" t="str">
        <x:v>Qualified PCB fab</x:v>
      </x:c>
      <x:c r="C22" s="134" t="str">
        <x:v>TBD</x:v>
      </x:c>
      <x:c r="D22" s="134" t="str">
        <x:v>Bare PCB</x:v>
      </x:c>
      <x:c r="E22" s="131" t="n">
        <x:v>1600</x:v>
      </x:c>
      <x:c r="F22" s="130" t="str">
        <x:v>ENGINEERING_BUDGETARY_ESTIMATE</x:v>
      </x:c>
      <x:c r="G22" s="130" t="str"/>
      <x:c r="H22" s="130" t="str">
        <x:v>RUB</x:v>
      </x:c>
      <x:c r="I22" s="130" t="str"/>
      <x:c r="J22" s="132" t="str">
        <x:v>2026-09-18</x:v>
      </x:c>
      <x:c r="K22" s="130" t="str">
        <x:v>LOW</x:v>
      </x:c>
      <x:c r="L22" s="133" t="n">
        <x:v>6</x:v>
      </x:c>
      <x:c r="M22" s="131" t="n">
        <x:f>E22*L22</x:f>
        <x:v>9600</x:v>
      </x:c>
      <x:c r="N22" s="133" t="n">
        <x:v>12</x:v>
      </x:c>
      <x:c r="O22" s="131" t="n">
        <x:f>E22*N22</x:f>
        <x:v>19200</x:v>
      </x:c>
      <x:c r="P22" s="133" t="n">
        <x:v>22</x:v>
      </x:c>
      <x:c r="Q22" s="131" t="n">
        <x:f>E22*P22</x:f>
        <x:v>35200</x:v>
      </x:c>
      <x:c r="R22" s="134" t="str">
        <x:v>Alternative bare-PCB quotation track only; do not add to the selected full-PCBA purchase set.</x:v>
      </x:c>
    </x:row>
    <x:row r="23">
      <x:c r="A23" s="130" t="str">
        <x:v>PR-011</x:v>
      </x:c>
      <x:c r="B23" s="134" t="str">
        <x:v>Littelfuse</x:v>
      </x:c>
      <x:c r="C23" s="134" t="str">
        <x:v>0451008.MRL</x:v>
      </x:c>
      <x:c r="D23" s="134" t="str">
        <x:v>Protection</x:v>
      </x:c>
      <x:c r="E23" s="131" t="n">
        <x:v>250</x:v>
      </x:c>
      <x:c r="F23" s="130" t="str">
        <x:v>ENGINEERING_BUDGETARY_ESTIMATE</x:v>
      </x:c>
      <x:c r="G23" s="130" t="str"/>
      <x:c r="H23" s="130" t="str">
        <x:v>RUB</x:v>
      </x:c>
      <x:c r="I23" s="130" t="str"/>
      <x:c r="J23" s="132" t="str">
        <x:v>2026-09-18</x:v>
      </x:c>
      <x:c r="K23" s="130" t="str">
        <x:v>LOW</x:v>
      </x:c>
      <x:c r="L23" s="133" t="n">
        <x:v>6</x:v>
      </x:c>
      <x:c r="M23" s="131" t="n">
        <x:f>E23*L23</x:f>
        <x:v>1500</x:v>
      </x:c>
      <x:c r="N23" s="133" t="n">
        <x:v>15</x:v>
      </x:c>
      <x:c r="O23" s="131" t="n">
        <x:f>E23*N23</x:f>
        <x:v>3750</x:v>
      </x:c>
      <x:c r="P23" s="133" t="n">
        <x:v>30</x:v>
      </x:c>
      <x:c r="Q23" s="131" t="n">
        <x:f>E23*P23</x:f>
        <x:v>7500</x:v>
      </x:c>
      <x:c r="R23" s="134" t="str">
        <x:v>Rounded engineering estimate pending supplier quotation.</x:v>
      </x:c>
    </x:row>
    <x:row r="24">
      <x:c r="A24" s="130" t="str">
        <x:v>PR-012</x:v>
      </x:c>
      <x:c r="B24" s="134" t="str">
        <x:v>TE Connectivity</x:v>
      </x:c>
      <x:c r="C24" s="134" t="str">
        <x:v>2336582-1</x:v>
      </x:c>
      <x:c r="D24" s="134" t="str">
        <x:v>SIM</x:v>
      </x:c>
      <x:c r="E24" s="131" t="n">
        <x:v>550</x:v>
      </x:c>
      <x:c r="F24" s="130" t="str">
        <x:v>ENGINEERING_BUDGETARY_ESTIMATE</x:v>
      </x:c>
      <x:c r="G24" s="130" t="str"/>
      <x:c r="H24" s="130" t="str">
        <x:v>RUB</x:v>
      </x:c>
      <x:c r="I24" s="130" t="str"/>
      <x:c r="J24" s="132" t="str">
        <x:v>2026-09-18</x:v>
      </x:c>
      <x:c r="K24" s="130" t="str">
        <x:v>LOW</x:v>
      </x:c>
      <x:c r="L24" s="133" t="n">
        <x:v>10</x:v>
      </x:c>
      <x:c r="M24" s="131" t="n">
        <x:f>E24*L24</x:f>
        <x:v>5500</x:v>
      </x:c>
      <x:c r="N24" s="133" t="n">
        <x:v>26</x:v>
      </x:c>
      <x:c r="O24" s="131" t="n">
        <x:f>E24*N24</x:f>
        <x:v>14300</x:v>
      </x:c>
      <x:c r="P24" s="133" t="n">
        <x:v>50</x:v>
      </x:c>
      <x:c r="Q24" s="131" t="n">
        <x:f>E24*P24</x:f>
        <x:v>27500</x:v>
      </x:c>
      <x:c r="R24" s="134" t="str">
        <x:v>Rounded engineering estimate pending supplier quotation.</x:v>
      </x:c>
    </x:row>
    <x:row r="25">
      <x:c r="A25" s="130" t="str">
        <x:v>PR-013</x:v>
      </x:c>
      <x:c r="B25" s="134" t="str">
        <x:v>Molex</x:v>
      </x:c>
      <x:c r="C25" s="134" t="str">
        <x:v>43025-1200</x:v>
      </x:c>
      <x:c r="D25" s="134" t="str">
        <x:v>Housing</x:v>
      </x:c>
      <x:c r="E25" s="131" t="n">
        <x:v>500</x:v>
      </x:c>
      <x:c r="F25" s="130" t="str">
        <x:v>ENGINEERING_BUDGETARY_ESTIMATE</x:v>
      </x:c>
      <x:c r="G25" s="130" t="str"/>
      <x:c r="H25" s="130" t="str">
        <x:v>RUB</x:v>
      </x:c>
      <x:c r="I25" s="130" t="str"/>
      <x:c r="J25" s="132" t="str">
        <x:v>2026-09-18</x:v>
      </x:c>
      <x:c r="K25" s="130" t="str">
        <x:v>LOW</x:v>
      </x:c>
      <x:c r="L25" s="133" t="n">
        <x:v>9</x:v>
      </x:c>
      <x:c r="M25" s="131" t="n">
        <x:f>E25*L25</x:f>
        <x:v>4500</x:v>
      </x:c>
      <x:c r="N25" s="133" t="n">
        <x:v>22</x:v>
      </x:c>
      <x:c r="O25" s="131" t="n">
        <x:f>E25*N25</x:f>
        <x:v>11000</x:v>
      </x:c>
      <x:c r="P25" s="133" t="n">
        <x:v>44</x:v>
      </x:c>
      <x:c r="Q25" s="131" t="n">
        <x:f>E25*P25</x:f>
        <x:v>22000</x:v>
      </x:c>
      <x:c r="R25" s="134" t="str">
        <x:v>Rounded engineering estimate pending supplier quotation.</x:v>
      </x:c>
    </x:row>
    <x:row r="26">
      <x:c r="A26" s="130" t="str">
        <x:v>PR-014</x:v>
      </x:c>
      <x:c r="B26" s="134" t="str">
        <x:v>Molex</x:v>
      </x:c>
      <x:c r="C26" s="134" t="str">
        <x:v>43030-0001</x:v>
      </x:c>
      <x:c r="D26" s="134" t="str">
        <x:v>Terminal</x:v>
      </x:c>
      <x:c r="E26" s="131" t="n">
        <x:v>45</x:v>
      </x:c>
      <x:c r="F26" s="130" t="str">
        <x:v>ENGINEERING_BUDGETARY_ESTIMATE</x:v>
      </x:c>
      <x:c r="G26" s="130" t="str"/>
      <x:c r="H26" s="130" t="str">
        <x:v>RUB</x:v>
      </x:c>
      <x:c r="I26" s="130" t="str"/>
      <x:c r="J26" s="132" t="str">
        <x:v>2026-09-18</x:v>
      </x:c>
      <x:c r="K26" s="130" t="str">
        <x:v>LOW</x:v>
      </x:c>
      <x:c r="L26" s="133" t="n">
        <x:v>51</x:v>
      </x:c>
      <x:c r="M26" s="131" t="n">
        <x:f>E26*L26</x:f>
        <x:v>2295</x:v>
      </x:c>
      <x:c r="N26" s="133" t="n">
        <x:v>126</x:v>
      </x:c>
      <x:c r="O26" s="131" t="n">
        <x:f>E26*N26</x:f>
        <x:v>5670</x:v>
      </x:c>
      <x:c r="P26" s="133" t="n">
        <x:v>252</x:v>
      </x:c>
      <x:c r="Q26" s="131" t="n">
        <x:f>E26*P26</x:f>
        <x:v>11340</x:v>
      </x:c>
      <x:c r="R26" s="134" t="str">
        <x:v>Rounded engineering estimate pending supplier quotation.</x:v>
      </x:c>
    </x:row>
    <x:row r="27">
      <x:c r="A27" s="130" t="str">
        <x:v>PR-015</x:v>
      </x:c>
      <x:c r="B27" s="134" t="str">
        <x:v>Molex</x:v>
      </x:c>
      <x:c r="C27" s="134" t="str">
        <x:v>43030-0038</x:v>
      </x:c>
      <x:c r="D27" s="134" t="str">
        <x:v>Terminal</x:v>
      </x:c>
      <x:c r="E27" s="131" t="n">
        <x:v>55</x:v>
      </x:c>
      <x:c r="F27" s="130" t="str">
        <x:v>ENGINEERING_BUDGETARY_ESTIMATE</x:v>
      </x:c>
      <x:c r="G27" s="130" t="str"/>
      <x:c r="H27" s="130" t="str">
        <x:v>RUB</x:v>
      </x:c>
      <x:c r="I27" s="130" t="str"/>
      <x:c r="J27" s="132" t="str">
        <x:v>2026-09-18</x:v>
      </x:c>
      <x:c r="K27" s="130" t="str">
        <x:v>LOW</x:v>
      </x:c>
      <x:c r="L27" s="133" t="n">
        <x:v>51</x:v>
      </x:c>
      <x:c r="M27" s="131" t="n">
        <x:f>E27*L27</x:f>
        <x:v>2805</x:v>
      </x:c>
      <x:c r="N27" s="133" t="n">
        <x:v>126</x:v>
      </x:c>
      <x:c r="O27" s="131" t="n">
        <x:f>E27*N27</x:f>
        <x:v>6930</x:v>
      </x:c>
      <x:c r="P27" s="133" t="n">
        <x:v>252</x:v>
      </x:c>
      <x:c r="Q27" s="131" t="n">
        <x:f>E27*P27</x:f>
        <x:v>13860</x:v>
      </x:c>
      <x:c r="R27" s="134" t="str">
        <x:v>Rounded engineering estimate pending supplier quotation.</x:v>
      </x:c>
    </x:row>
    <x:row r="28">
      <x:c r="A28" s="130" t="str">
        <x:v>PR-016</x:v>
      </x:c>
      <x:c r="B28" s="134" t="str">
        <x:v>Molex</x:v>
      </x:c>
      <x:c r="C28" s="134" t="str">
        <x:v>430450213</x:v>
      </x:c>
      <x:c r="D28" s="134" t="str">
        <x:v>Connector</x:v>
      </x:c>
      <x:c r="E28" s="131" t="n">
        <x:v>350</x:v>
      </x:c>
      <x:c r="F28" s="130" t="str">
        <x:v>ENGINEERING_BUDGETARY_ESTIMATE</x:v>
      </x:c>
      <x:c r="G28" s="130" t="str"/>
      <x:c r="H28" s="130" t="str">
        <x:v>RUB</x:v>
      </x:c>
      <x:c r="I28" s="130" t="str"/>
      <x:c r="J28" s="132" t="str">
        <x:v>2026-09-18</x:v>
      </x:c>
      <x:c r="K28" s="130" t="str">
        <x:v>LOW</x:v>
      </x:c>
      <x:c r="L28" s="133" t="n">
        <x:v>5</x:v>
      </x:c>
      <x:c r="M28" s="131" t="n">
        <x:f>E28*L28</x:f>
        <x:v>1750</x:v>
      </x:c>
      <x:c r="N28" s="133" t="n">
        <x:v>13</x:v>
      </x:c>
      <x:c r="O28" s="131" t="n">
        <x:f>E28*N28</x:f>
        <x:v>4550</x:v>
      </x:c>
      <x:c r="P28" s="133" t="n">
        <x:v>25</x:v>
      </x:c>
      <x:c r="Q28" s="131" t="n">
        <x:f>E28*P28</x:f>
        <x:v>8750</x:v>
      </x:c>
      <x:c r="R28" s="134" t="str">
        <x:v>Rounded engineering estimate pending supplier quotation.</x:v>
      </x:c>
    </x:row>
    <x:row r="29">
      <x:c r="A29" s="130" t="str">
        <x:v>PR-017</x:v>
      </x:c>
      <x:c r="B29" s="134" t="str">
        <x:v>Molex</x:v>
      </x:c>
      <x:c r="C29" s="134" t="str">
        <x:v>430451202</x:v>
      </x:c>
      <x:c r="D29" s="134" t="str">
        <x:v>Connector</x:v>
      </x:c>
      <x:c r="E29" s="131" t="n">
        <x:v>900</x:v>
      </x:c>
      <x:c r="F29" s="130" t="str">
        <x:v>ENGINEERING_BUDGETARY_ESTIMATE</x:v>
      </x:c>
      <x:c r="G29" s="130" t="str"/>
      <x:c r="H29" s="130" t="str">
        <x:v>RUB</x:v>
      </x:c>
      <x:c r="I29" s="130" t="str"/>
      <x:c r="J29" s="132" t="str">
        <x:v>2026-09-18</x:v>
      </x:c>
      <x:c r="K29" s="130" t="str">
        <x:v>LOW</x:v>
      </x:c>
      <x:c r="L29" s="133" t="n">
        <x:v>10</x:v>
      </x:c>
      <x:c r="M29" s="131" t="n">
        <x:f>E29*L29</x:f>
        <x:v>9000</x:v>
      </x:c>
      <x:c r="N29" s="133" t="n">
        <x:v>26</x:v>
      </x:c>
      <x:c r="O29" s="131" t="n">
        <x:f>E29*N29</x:f>
        <x:v>23400</x:v>
      </x:c>
      <x:c r="P29" s="133" t="n">
        <x:v>50</x:v>
      </x:c>
      <x:c r="Q29" s="131" t="n">
        <x:f>E29*P29</x:f>
        <x:v>45000</x:v>
      </x:c>
      <x:c r="R29" s="134" t="str">
        <x:v>Rounded engineering estimate pending supplier quotation.</x:v>
      </x:c>
    </x:row>
    <x:row r="30">
      <x:c r="A30" s="130" t="str">
        <x:v>PR-018</x:v>
      </x:c>
      <x:c r="B30" s="134" t="str">
        <x:v>Molex</x:v>
      </x:c>
      <x:c r="C30" s="134" t="str">
        <x:v>5040500291</x:v>
      </x:c>
      <x:c r="D30" s="134" t="str">
        <x:v>Connector</x:v>
      </x:c>
      <x:c r="E30" s="131" t="n">
        <x:v>250</x:v>
      </x:c>
      <x:c r="F30" s="130" t="str">
        <x:v>ENGINEERING_BUDGETARY_ESTIMATE</x:v>
      </x:c>
      <x:c r="G30" s="130" t="str"/>
      <x:c r="H30" s="130" t="str">
        <x:v>RUB</x:v>
      </x:c>
      <x:c r="I30" s="130" t="str"/>
      <x:c r="J30" s="132" t="str">
        <x:v>2026-09-18</x:v>
      </x:c>
      <x:c r="K30" s="130" t="str">
        <x:v>LOW</x:v>
      </x:c>
      <x:c r="L30" s="133" t="n">
        <x:v>5</x:v>
      </x:c>
      <x:c r="M30" s="131" t="n">
        <x:f>E30*L30</x:f>
        <x:v>1250</x:v>
      </x:c>
      <x:c r="N30" s="133" t="n">
        <x:v>13</x:v>
      </x:c>
      <x:c r="O30" s="131" t="n">
        <x:f>E30*N30</x:f>
        <x:v>3250</x:v>
      </x:c>
      <x:c r="P30" s="133" t="n">
        <x:v>25</x:v>
      </x:c>
      <x:c r="Q30" s="131" t="n">
        <x:f>E30*P30</x:f>
        <x:v>6250</x:v>
      </x:c>
      <x:c r="R30" s="134" t="str">
        <x:v>Rounded engineering estimate pending supplier quotation.</x:v>
      </x:c>
    </x:row>
    <x:row r="31">
      <x:c r="A31" s="130" t="str">
        <x:v>PR-019</x:v>
      </x:c>
      <x:c r="B31" s="134" t="str">
        <x:v>Molex</x:v>
      </x:c>
      <x:c r="C31" s="134" t="str">
        <x:v>5040500691</x:v>
      </x:c>
      <x:c r="D31" s="134" t="str">
        <x:v>Connector</x:v>
      </x:c>
      <x:c r="E31" s="131" t="n">
        <x:v>480</x:v>
      </x:c>
      <x:c r="F31" s="130" t="str">
        <x:v>ENGINEERING_BUDGETARY_ESTIMATE</x:v>
      </x:c>
      <x:c r="G31" s="130" t="str"/>
      <x:c r="H31" s="130" t="str">
        <x:v>RUB</x:v>
      </x:c>
      <x:c r="I31" s="130" t="str"/>
      <x:c r="J31" s="132" t="str">
        <x:v>2026-09-18</x:v>
      </x:c>
      <x:c r="K31" s="130" t="str">
        <x:v>LOW</x:v>
      </x:c>
      <x:c r="L31" s="133" t="n">
        <x:v>38</x:v>
      </x:c>
      <x:c r="M31" s="131" t="n">
        <x:f>E31*L31</x:f>
        <x:v>18240</x:v>
      </x:c>
      <x:c r="N31" s="133" t="n">
        <x:v>92</x:v>
      </x:c>
      <x:c r="O31" s="131" t="n">
        <x:f>E31*N31</x:f>
        <x:v>44160</x:v>
      </x:c>
      <x:c r="P31" s="133" t="n">
        <x:v>184</x:v>
      </x:c>
      <x:c r="Q31" s="131" t="n">
        <x:f>E31*P31</x:f>
        <x:v>88320</x:v>
      </x:c>
      <x:c r="R31" s="134" t="str">
        <x:v>Rounded engineering estimate pending supplier quotation.</x:v>
      </x:c>
    </x:row>
    <x:row r="32">
      <x:c r="A32" s="130" t="str">
        <x:v>PR-020</x:v>
      </x:c>
      <x:c r="B32" s="134" t="str">
        <x:v>Molex</x:v>
      </x:c>
      <x:c r="C32" s="134" t="str">
        <x:v>5040510601</x:v>
      </x:c>
      <x:c r="D32" s="134" t="str">
        <x:v>Housing</x:v>
      </x:c>
      <x:c r="E32" s="131" t="n">
        <x:v>180</x:v>
      </x:c>
      <x:c r="F32" s="130" t="str">
        <x:v>ENGINEERING_BUDGETARY_ESTIMATE</x:v>
      </x:c>
      <x:c r="G32" s="130" t="str"/>
      <x:c r="H32" s="130" t="str">
        <x:v>RUB</x:v>
      </x:c>
      <x:c r="I32" s="130" t="str"/>
      <x:c r="J32" s="132" t="str">
        <x:v>2026-09-18</x:v>
      </x:c>
      <x:c r="K32" s="130" t="str">
        <x:v>LOW</x:v>
      </x:c>
      <x:c r="L32" s="133" t="n">
        <x:v>36</x:v>
      </x:c>
      <x:c r="M32" s="131" t="n">
        <x:f>E32*L32</x:f>
        <x:v>6480</x:v>
      </x:c>
      <x:c r="N32" s="133" t="n">
        <x:v>88</x:v>
      </x:c>
      <x:c r="O32" s="131" t="n">
        <x:f>E32*N32</x:f>
        <x:v>15840</x:v>
      </x:c>
      <x:c r="P32" s="133" t="n">
        <x:v>176</x:v>
      </x:c>
      <x:c r="Q32" s="131" t="n">
        <x:f>E32*P32</x:f>
        <x:v>31680</x:v>
      </x:c>
      <x:c r="R32" s="134" t="str">
        <x:v>Rounded engineering estimate pending supplier quotation.</x:v>
      </x:c>
    </x:row>
    <x:row r="33">
      <x:c r="A33" s="130" t="str">
        <x:v>PR-021</x:v>
      </x:c>
      <x:c r="B33" s="134" t="str">
        <x:v>Molex</x:v>
      </x:c>
      <x:c r="C33" s="134" t="str">
        <x:v>5040520098</x:v>
      </x:c>
      <x:c r="D33" s="134" t="str">
        <x:v>Terminal</x:v>
      </x:c>
      <x:c r="E33" s="131" t="n">
        <x:v>35</x:v>
      </x:c>
      <x:c r="F33" s="130" t="str">
        <x:v>ENGINEERING_BUDGETARY_ESTIMATE</x:v>
      </x:c>
      <x:c r="G33" s="130" t="str"/>
      <x:c r="H33" s="130" t="str">
        <x:v>RUB</x:v>
      </x:c>
      <x:c r="I33" s="130" t="str"/>
      <x:c r="J33" s="132" t="str">
        <x:v>2026-09-18</x:v>
      </x:c>
      <x:c r="K33" s="130" t="str">
        <x:v>LOW</x:v>
      </x:c>
      <x:c r="L33" s="133" t="n">
        <x:v>240</x:v>
      </x:c>
      <x:c r="M33" s="131" t="n">
        <x:f>E33*L33</x:f>
        <x:v>8400</x:v>
      </x:c>
      <x:c r="N33" s="133" t="n">
        <x:v>528</x:v>
      </x:c>
      <x:c r="O33" s="131" t="n">
        <x:f>E33*N33</x:f>
        <x:v>18480</x:v>
      </x:c>
      <x:c r="P33" s="133" t="n">
        <x:v>1008</x:v>
      </x:c>
      <x:c r="Q33" s="131" t="n">
        <x:f>E33*P33</x:f>
        <x:v>35280</x:v>
      </x:c>
      <x:c r="R33" s="134" t="str">
        <x:v>Rounded engineering estimate pending supplier quotation.</x:v>
      </x:c>
    </x:row>
    <x:row r="34">
      <x:c r="A34" s="130" t="str">
        <x:v>PR-022</x:v>
      </x:c>
      <x:c r="B34" s="134" t="str">
        <x:v>Taoglas</x:v>
      </x:c>
      <x:c r="C34" s="134" t="str">
        <x:v>AA.166.A.301111</x:v>
      </x:c>
      <x:c r="D34" s="134" t="str">
        <x:v>Antenna</x:v>
      </x:c>
      <x:c r="E34" s="131" t="n">
        <x:v>3300</x:v>
      </x:c>
      <x:c r="F34" s="130" t="str">
        <x:v>PUBLIC_AUTHORIZED_CHANNEL_PRICE</x:v>
      </x:c>
      <x:c r="G34" s="130" t="str">
        <x:v>EUR 23.80 at qty 10</x:v>
      </x:c>
      <x:c r="H34" s="130" t="str">
        <x:v>EUR</x:v>
      </x:c>
      <x:c r="I34" s="130" t="str">
        <x:v>https://www.mouser.lu/en/ProductDetail/Taoglas/AA.166.A.301111?qs=MLItCLRbWsy9cGP7TTjqEA%3D%3D</x:v>
      </x:c>
      <x:c r="J34" s="132" t="str">
        <x:v>2026-09-18</x:v>
      </x:c>
      <x:c r="K34" s="130" t="str">
        <x:v>MEDIUM</x:v>
      </x:c>
      <x:c r="L34" s="133" t="n">
        <x:v>5</x:v>
      </x:c>
      <x:c r="M34" s="131" t="n">
        <x:f>E34*L34</x:f>
        <x:v>16500</x:v>
      </x:c>
      <x:c r="N34" s="133" t="n">
        <x:v>11</x:v>
      </x:c>
      <x:c r="O34" s="131" t="n">
        <x:f>E34*N34</x:f>
        <x:v>36300</x:v>
      </x:c>
      <x:c r="P34" s="133" t="n">
        <x:v>22</x:v>
      </x:c>
      <x:c r="Q34" s="131" t="n">
        <x:f>E34*P34</x:f>
        <x:v>72600</x:v>
      </x:c>
      <x:c r="R34" s="134" t="str">
        <x:v>Published price converted to a rounded landed-RUB planning value; final cart/quote controls.</x:v>
      </x:c>
    </x:row>
    <x:row r="35">
      <x:c r="A35" s="130" t="str">
        <x:v>PR-023</x:v>
      </x:c>
      <x:c r="B35" s="134" t="str">
        <x:v>Abracon</x:v>
      </x:c>
      <x:c r="C35" s="134" t="str">
        <x:v>ABSES5AF-L100KM</x:v>
      </x:c>
      <x:c r="D35" s="134" t="str">
        <x:v>SAW_Filter</x:v>
      </x:c>
      <x:c r="E35" s="131" t="n">
        <x:v>550</x:v>
      </x:c>
      <x:c r="F35" s="130" t="str">
        <x:v>ENGINEERING_BUDGETARY_ESTIMATE</x:v>
      </x:c>
      <x:c r="G35" s="130" t="str"/>
      <x:c r="H35" s="130" t="str">
        <x:v>RUB</x:v>
      </x:c>
      <x:c r="I35" s="130" t="str"/>
      <x:c r="J35" s="132" t="str">
        <x:v>2026-09-18</x:v>
      </x:c>
      <x:c r="K35" s="130" t="str">
        <x:v>LOW</x:v>
      </x:c>
      <x:c r="L35" s="133" t="n">
        <x:v>4</x:v>
      </x:c>
      <x:c r="M35" s="131" t="n">
        <x:f>E35*L35</x:f>
        <x:v>2200</x:v>
      </x:c>
      <x:c r="N35" s="133" t="n">
        <x:v>10</x:v>
      </x:c>
      <x:c r="O35" s="131" t="n">
        <x:f>E35*N35</x:f>
        <x:v>5500</x:v>
      </x:c>
      <x:c r="P35" s="133" t="n">
        <x:v>20</x:v>
      </x:c>
      <x:c r="Q35" s="131" t="n">
        <x:f>E35*P35</x:f>
        <x:v>11000</x:v>
      </x:c>
      <x:c r="R35" s="134" t="str">
        <x:v>Rounded engineering estimate pending supplier quotation.</x:v>
      </x:c>
    </x:row>
    <x:row r="36">
      <x:c r="A36" s="130" t="str">
        <x:v>PR-024</x:v>
      </x:c>
      <x:c r="B36" s="134" t="str">
        <x:v>Quectel</x:v>
      </x:c>
      <x:c r="C36" s="134" t="str">
        <x:v>BG95-M3</x:v>
      </x:c>
      <x:c r="D36" s="134" t="str">
        <x:v>Cellular</x:v>
      </x:c>
      <x:c r="E36" s="131" t="n">
        <x:v>3500</x:v>
      </x:c>
      <x:c r="F36" s="130" t="str">
        <x:v>ENGINEERING_BUDGETARY_ESTIMATE</x:v>
      </x:c>
      <x:c r="G36" s="130" t="str"/>
      <x:c r="H36" s="130" t="str">
        <x:v>RUB</x:v>
      </x:c>
      <x:c r="I36" s="130" t="str"/>
      <x:c r="J36" s="132" t="str">
        <x:v>2026-09-18</x:v>
      </x:c>
      <x:c r="K36" s="130" t="str">
        <x:v>LOW</x:v>
      </x:c>
      <x:c r="L36" s="133" t="n">
        <x:v>5</x:v>
      </x:c>
      <x:c r="M36" s="131" t="n">
        <x:f>E36*L36</x:f>
        <x:v>17500</x:v>
      </x:c>
      <x:c r="N36" s="133" t="n">
        <x:v>13</x:v>
      </x:c>
      <x:c r="O36" s="131" t="n">
        <x:f>E36*N36</x:f>
        <x:v>45500</x:v>
      </x:c>
      <x:c r="P36" s="133" t="n">
        <x:v>25</x:v>
      </x:c>
      <x:c r="Q36" s="131" t="n">
        <x:f>E36*P36</x:f>
        <x:v>87500</x:v>
      </x:c>
      <x:c r="R36" s="134" t="str">
        <x:v>Rounded engineering estimate pending supplier quotation.</x:v>
      </x:c>
    </x:row>
    <x:row r="37">
      <x:c r="A37" s="130" t="str">
        <x:v>PR-025</x:v>
      </x:c>
      <x:c r="B37" s="134" t="str">
        <x:v>Murata</x:v>
      </x:c>
      <x:c r="C37" s="134" t="str">
        <x:v>BLM31KN601SN1L</x:v>
      </x:c>
      <x:c r="D37" s="134" t="str">
        <x:v>Ferrite_Bead</x:v>
      </x:c>
      <x:c r="E37" s="131" t="n">
        <x:v>45</x:v>
      </x:c>
      <x:c r="F37" s="130" t="str">
        <x:v>ENGINEERING_BUDGETARY_ESTIMATE</x:v>
      </x:c>
      <x:c r="G37" s="130" t="str"/>
      <x:c r="H37" s="130" t="str">
        <x:v>RUB</x:v>
      </x:c>
      <x:c r="I37" s="130" t="str"/>
      <x:c r="J37" s="132" t="str">
        <x:v>2026-09-18</x:v>
      </x:c>
      <x:c r="K37" s="130" t="str">
        <x:v>LOW</x:v>
      </x:c>
      <x:c r="L37" s="133" t="n">
        <x:v>4</x:v>
      </x:c>
      <x:c r="M37" s="131" t="n">
        <x:f>E37*L37</x:f>
        <x:v>180</x:v>
      </x:c>
      <x:c r="N37" s="133" t="n">
        <x:v>10</x:v>
      </x:c>
      <x:c r="O37" s="131" t="n">
        <x:f>E37*N37</x:f>
        <x:v>450</x:v>
      </x:c>
      <x:c r="P37" s="133" t="n">
        <x:v>20</x:v>
      </x:c>
      <x:c r="Q37" s="131" t="n">
        <x:f>E37*P37</x:f>
        <x:v>900</x:v>
      </x:c>
      <x:c r="R37" s="134" t="str">
        <x:v>Rounded engineering estimate pending supplier quotation.</x:v>
      </x:c>
    </x:row>
    <x:row r="38">
      <x:c r="A38" s="130" t="str">
        <x:v>PR-026</x:v>
      </x:c>
      <x:c r="B38" s="134" t="str">
        <x:v>Taoglas</x:v>
      </x:c>
      <x:c r="C38" s="134" t="str">
        <x:v>CAB.0243</x:v>
      </x:c>
      <x:c r="D38" s="134" t="str">
        <x:v>RF cable</x:v>
      </x:c>
      <x:c r="E38" s="131" t="n">
        <x:v>650</x:v>
      </x:c>
      <x:c r="F38" s="130" t="str">
        <x:v>PUBLIC_AUTHORIZED_CHANNEL_PRICE</x:v>
      </x:c>
      <x:c r="G38" s="130" t="str">
        <x:v>$5.2068 at qty 50</x:v>
      </x:c>
      <x:c r="H38" s="130" t="str">
        <x:v>USD</x:v>
      </x:c>
      <x:c r="I38" s="130" t="str">
        <x:v>https://www.digikey.com/en/products/detail/taoglas-limited/CAB-0243/24770240</x:v>
      </x:c>
      <x:c r="J38" s="132" t="str">
        <x:v>2026-09-18</x:v>
      </x:c>
      <x:c r="K38" s="130" t="str">
        <x:v>MEDIUM</x:v>
      </x:c>
      <x:c r="L38" s="133" t="n">
        <x:v>14</x:v>
      </x:c>
      <x:c r="M38" s="131" t="n">
        <x:f>E38*L38</x:f>
        <x:v>9100</x:v>
      </x:c>
      <x:c r="N38" s="133" t="n">
        <x:v>33</x:v>
      </x:c>
      <x:c r="O38" s="131" t="n">
        <x:f>E38*N38</x:f>
        <x:v>21450</x:v>
      </x:c>
      <x:c r="P38" s="133" t="n">
        <x:v>66</x:v>
      </x:c>
      <x:c r="Q38" s="131" t="n">
        <x:f>E38*P38</x:f>
        <x:v>42900</x:v>
      </x:c>
      <x:c r="R38" s="134" t="str">
        <x:v>Published price converted to a rounded landed-RUB planning value; final cart/quote controls.</x:v>
      </x:c>
    </x:row>
    <x:row r="39">
      <x:c r="A39" s="130" t="str">
        <x:v>PR-027</x:v>
      </x:c>
      <x:c r="B39" s="134" t="str">
        <x:v>TDK</x:v>
      </x:c>
      <x:c r="C39" s="134" t="str">
        <x:v>CGA2B3X7R1E104K050BB</x:v>
      </x:c>
      <x:c r="D39" s="134" t="str">
        <x:v>Passive</x:v>
      </x:c>
      <x:c r="E39" s="131" t="n">
        <x:v>25</x:v>
      </x:c>
      <x:c r="F39" s="130" t="str">
        <x:v>ENGINEERING_BUDGETARY_ESTIMATE</x:v>
      </x:c>
      <x:c r="G39" s="130" t="str"/>
      <x:c r="H39" s="130" t="str">
        <x:v>RUB</x:v>
      </x:c>
      <x:c r="I39" s="130" t="str"/>
      <x:c r="J39" s="132" t="str">
        <x:v>2026-09-18</x:v>
      </x:c>
      <x:c r="K39" s="130" t="str">
        <x:v>LOW</x:v>
      </x:c>
      <x:c r="L39" s="133" t="n">
        <x:v>56</x:v>
      </x:c>
      <x:c r="M39" s="131" t="n">
        <x:f>E39*L39</x:f>
        <x:v>1400</x:v>
      </x:c>
      <x:c r="N39" s="133" t="n">
        <x:v>80</x:v>
      </x:c>
      <x:c r="O39" s="131" t="n">
        <x:f>E39*N39</x:f>
        <x:v>2000</x:v>
      </x:c>
      <x:c r="P39" s="133" t="n">
        <x:v>120</x:v>
      </x:c>
      <x:c r="Q39" s="131" t="n">
        <x:f>E39*P39</x:f>
        <x:v>3000</x:v>
      </x:c>
      <x:c r="R39" s="134" t="str">
        <x:v>Rounded engineering estimate pending supplier quotation.</x:v>
      </x:c>
    </x:row>
    <x:row r="40">
      <x:c r="A40" s="130" t="str">
        <x:v>PR-028</x:v>
      </x:c>
      <x:c r="B40" s="134" t="str">
        <x:v>TDK</x:v>
      </x:c>
      <x:c r="C40" s="134" t="str">
        <x:v>CGA2B3X7R1E104K050BB</x:v>
      </x:c>
      <x:c r="D40" s="134" t="str">
        <x:v>Passive</x:v>
      </x:c>
      <x:c r="E40" s="131" t="n">
        <x:v>25</x:v>
      </x:c>
      <x:c r="F40" s="130" t="str">
        <x:v>ENGINEERING_BUDGETARY_ESTIMATE</x:v>
      </x:c>
      <x:c r="G40" s="130" t="str"/>
      <x:c r="H40" s="130" t="str">
        <x:v>RUB</x:v>
      </x:c>
      <x:c r="I40" s="130" t="str"/>
      <x:c r="J40" s="132" t="str">
        <x:v>2026-09-18</x:v>
      </x:c>
      <x:c r="K40" s="130" t="str">
        <x:v>LOW</x:v>
      </x:c>
      <x:c r="L40" s="133" t="n">
        <x:v>56</x:v>
      </x:c>
      <x:c r="M40" s="131" t="n">
        <x:f>E40*L40</x:f>
        <x:v>1400</x:v>
      </x:c>
      <x:c r="N40" s="133" t="n">
        <x:v>80</x:v>
      </x:c>
      <x:c r="O40" s="131" t="n">
        <x:f>E40*N40</x:f>
        <x:v>2000</x:v>
      </x:c>
      <x:c r="P40" s="133" t="n">
        <x:v>120</x:v>
      </x:c>
      <x:c r="Q40" s="131" t="n">
        <x:f>E40*P40</x:f>
        <x:v>3000</x:v>
      </x:c>
      <x:c r="R40" s="134" t="str">
        <x:v>Rounded engineering estimate pending supplier quotation.</x:v>
      </x:c>
    </x:row>
    <x:row r="41">
      <x:c r="A41" s="130" t="str">
        <x:v>PR-029</x:v>
      </x:c>
      <x:c r="B41" s="134" t="str">
        <x:v>TDK</x:v>
      </x:c>
      <x:c r="C41" s="134" t="str">
        <x:v>CGA3E1X7R1A225K080AC</x:v>
      </x:c>
      <x:c r="D41" s="134" t="str">
        <x:v>Passive</x:v>
      </x:c>
      <x:c r="E41" s="131" t="n">
        <x:v>25</x:v>
      </x:c>
      <x:c r="F41" s="130" t="str">
        <x:v>ENGINEERING_BUDGETARY_ESTIMATE</x:v>
      </x:c>
      <x:c r="G41" s="130" t="str"/>
      <x:c r="H41" s="130" t="str">
        <x:v>RUB</x:v>
      </x:c>
      <x:c r="I41" s="130" t="str"/>
      <x:c r="J41" s="132" t="str">
        <x:v>2026-09-18</x:v>
      </x:c>
      <x:c r="K41" s="130" t="str">
        <x:v>LOW</x:v>
      </x:c>
      <x:c r="L41" s="133" t="n">
        <x:v>48</x:v>
      </x:c>
      <x:c r="M41" s="131" t="n">
        <x:f>E41*L41</x:f>
        <x:v>1200</x:v>
      </x:c>
      <x:c r="N41" s="133" t="n">
        <x:v>60</x:v>
      </x:c>
      <x:c r="O41" s="131" t="n">
        <x:f>E41*N41</x:f>
        <x:v>1500</x:v>
      </x:c>
      <x:c r="P41" s="133" t="n">
        <x:v>80</x:v>
      </x:c>
      <x:c r="Q41" s="131" t="n">
        <x:f>E41*P41</x:f>
        <x:v>2000</x:v>
      </x:c>
      <x:c r="R41" s="134" t="str">
        <x:v>Rounded engineering estimate pending supplier quotation.</x:v>
      </x:c>
    </x:row>
    <x:row r="42">
      <x:c r="A42" s="130" t="str">
        <x:v>PR-030</x:v>
      </x:c>
      <x:c r="B42" s="134" t="str">
        <x:v>TDK</x:v>
      </x:c>
      <x:c r="C42" s="134" t="str">
        <x:v>CGA3E2X7R1H104K080AA</x:v>
      </x:c>
      <x:c r="D42" s="134" t="str">
        <x:v>Passive</x:v>
      </x:c>
      <x:c r="E42" s="131" t="n">
        <x:v>25</x:v>
      </x:c>
      <x:c r="F42" s="130" t="str">
        <x:v>ENGINEERING_BUDGETARY_ESTIMATE</x:v>
      </x:c>
      <x:c r="G42" s="130" t="str"/>
      <x:c r="H42" s="130" t="str">
        <x:v>RUB</x:v>
      </x:c>
      <x:c r="I42" s="130" t="str"/>
      <x:c r="J42" s="132" t="str">
        <x:v>2026-09-18</x:v>
      </x:c>
      <x:c r="K42" s="130" t="str">
        <x:v>LOW</x:v>
      </x:c>
      <x:c r="L42" s="133" t="n">
        <x:v>52</x:v>
      </x:c>
      <x:c r="M42" s="131" t="n">
        <x:f>E42*L42</x:f>
        <x:v>1300</x:v>
      </x:c>
      <x:c r="N42" s="133" t="n">
        <x:v>70</x:v>
      </x:c>
      <x:c r="O42" s="131" t="n">
        <x:f>E42*N42</x:f>
        <x:v>1750</x:v>
      </x:c>
      <x:c r="P42" s="133" t="n">
        <x:v>100</x:v>
      </x:c>
      <x:c r="Q42" s="131" t="n">
        <x:f>E42*P42</x:f>
        <x:v>2500</x:v>
      </x:c>
      <x:c r="R42" s="134" t="str">
        <x:v>Rounded engineering estimate pending supplier quotation.</x:v>
      </x:c>
    </x:row>
    <x:row r="43">
      <x:c r="A43" s="130" t="str">
        <x:v>PR-031</x:v>
      </x:c>
      <x:c r="B43" s="134" t="str">
        <x:v>TDK</x:v>
      </x:c>
      <x:c r="C43" s="134" t="str">
        <x:v>CGA6P3X7R1E226M250AB</x:v>
      </x:c>
      <x:c r="D43" s="134" t="str">
        <x:v>Passive</x:v>
      </x:c>
      <x:c r="E43" s="131" t="n">
        <x:v>25</x:v>
      </x:c>
      <x:c r="F43" s="130" t="str">
        <x:v>ENGINEERING_BUDGETARY_ESTIMATE</x:v>
      </x:c>
      <x:c r="G43" s="130" t="str"/>
      <x:c r="H43" s="130" t="str">
        <x:v>RUB</x:v>
      </x:c>
      <x:c r="I43" s="130" t="str"/>
      <x:c r="J43" s="132" t="str">
        <x:v>2026-09-18</x:v>
      </x:c>
      <x:c r="K43" s="130" t="str">
        <x:v>LOW</x:v>
      </x:c>
      <x:c r="L43" s="133" t="n">
        <x:v>112</x:v>
      </x:c>
      <x:c r="M43" s="131" t="n">
        <x:f>E43*L43</x:f>
        <x:v>2800</x:v>
      </x:c>
      <x:c r="N43" s="133" t="n">
        <x:v>160</x:v>
      </x:c>
      <x:c r="O43" s="131" t="n">
        <x:f>E43*N43</x:f>
        <x:v>4000</x:v>
      </x:c>
      <x:c r="P43" s="133" t="n">
        <x:v>240</x:v>
      </x:c>
      <x:c r="Q43" s="131" t="n">
        <x:f>E43*P43</x:f>
        <x:v>6000</x:v>
      </x:c>
      <x:c r="R43" s="134" t="str">
        <x:v>Rounded engineering estimate pending supplier quotation.</x:v>
      </x:c>
    </x:row>
    <x:row r="44">
      <x:c r="A44" s="130" t="str">
        <x:v>PR-032</x:v>
      </x:c>
      <x:c r="B44" s="134" t="str">
        <x:v>TDK</x:v>
      </x:c>
      <x:c r="C44" s="134" t="str">
        <x:v>CGA6P3X7R1H475K250AB</x:v>
      </x:c>
      <x:c r="D44" s="134" t="str">
        <x:v>Passive</x:v>
      </x:c>
      <x:c r="E44" s="131" t="n">
        <x:v>25</x:v>
      </x:c>
      <x:c r="F44" s="130" t="str">
        <x:v>ENGINEERING_BUDGETARY_ESTIMATE</x:v>
      </x:c>
      <x:c r="G44" s="130" t="str"/>
      <x:c r="H44" s="130" t="str">
        <x:v>RUB</x:v>
      </x:c>
      <x:c r="I44" s="130" t="str"/>
      <x:c r="J44" s="132" t="str">
        <x:v>2026-09-18</x:v>
      </x:c>
      <x:c r="K44" s="130" t="str">
        <x:v>LOW</x:v>
      </x:c>
      <x:c r="L44" s="133" t="n">
        <x:v>52</x:v>
      </x:c>
      <x:c r="M44" s="131" t="n">
        <x:f>E44*L44</x:f>
        <x:v>1300</x:v>
      </x:c>
      <x:c r="N44" s="133" t="n">
        <x:v>70</x:v>
      </x:c>
      <x:c r="O44" s="131" t="n">
        <x:f>E44*N44</x:f>
        <x:v>1750</x:v>
      </x:c>
      <x:c r="P44" s="133" t="n">
        <x:v>100</x:v>
      </x:c>
      <x:c r="Q44" s="131" t="n">
        <x:f>E44*P44</x:f>
        <x:v>2500</x:v>
      </x:c>
      <x:c r="R44" s="134" t="str">
        <x:v>Rounded engineering estimate pending supplier quotation.</x:v>
      </x:c>
    </x:row>
    <x:row r="45">
      <x:c r="A45" s="130" t="str">
        <x:v>PR-033</x:v>
      </x:c>
      <x:c r="B45" s="134" t="str">
        <x:v>Texas Instruments</x:v>
      </x:c>
      <x:c r="C45" s="134" t="str">
        <x:v>CSD18540Q5B</x:v>
      </x:c>
      <x:c r="D45" s="134" t="str">
        <x:v>Protection</x:v>
      </x:c>
      <x:c r="E45" s="131" t="n">
        <x:v>450</x:v>
      </x:c>
      <x:c r="F45" s="130" t="str">
        <x:v>ENGINEERING_BUDGETARY_ESTIMATE</x:v>
      </x:c>
      <x:c r="G45" s="130" t="str"/>
      <x:c r="H45" s="130" t="str">
        <x:v>RUB</x:v>
      </x:c>
      <x:c r="I45" s="130" t="str"/>
      <x:c r="J45" s="132" t="str">
        <x:v>2026-09-18</x:v>
      </x:c>
      <x:c r="K45" s="130" t="str">
        <x:v>LOW</x:v>
      </x:c>
      <x:c r="L45" s="133" t="n">
        <x:v>5</x:v>
      </x:c>
      <x:c r="M45" s="131" t="n">
        <x:f>E45*L45</x:f>
        <x:v>2250</x:v>
      </x:c>
      <x:c r="N45" s="133" t="n">
        <x:v>13</x:v>
      </x:c>
      <x:c r="O45" s="131" t="n">
        <x:f>E45*N45</x:f>
        <x:v>5850</x:v>
      </x:c>
      <x:c r="P45" s="133" t="n">
        <x:v>25</x:v>
      </x:c>
      <x:c r="Q45" s="131" t="n">
        <x:f>E45*P45</x:f>
        <x:v>11250</x:v>
      </x:c>
      <x:c r="R45" s="134" t="str">
        <x:v>Rounded engineering estimate pending supplier quotation.</x:v>
      </x:c>
    </x:row>
    <x:row r="46">
      <x:c r="A46" s="130" t="str">
        <x:v>PR-034</x:v>
      </x:c>
      <x:c r="B46" s="134" t="str">
        <x:v>Ebyte</x:v>
      </x:c>
      <x:c r="C46" s="134" t="str">
        <x:v>E22-900M22S</x:v>
      </x:c>
      <x:c r="D46" s="134" t="str">
        <x:v>LoRa</x:v>
      </x:c>
      <x:c r="E46" s="131" t="n">
        <x:v>1500</x:v>
      </x:c>
      <x:c r="F46" s="130" t="str">
        <x:v>ENGINEERING_BUDGETARY_ESTIMATE</x:v>
      </x:c>
      <x:c r="G46" s="130" t="str"/>
      <x:c r="H46" s="130" t="str">
        <x:v>RUB</x:v>
      </x:c>
      <x:c r="I46" s="130" t="str"/>
      <x:c r="J46" s="132" t="str">
        <x:v>2026-09-18</x:v>
      </x:c>
      <x:c r="K46" s="130" t="str">
        <x:v>LOW</x:v>
      </x:c>
      <x:c r="L46" s="133" t="n">
        <x:v>6</x:v>
      </x:c>
      <x:c r="M46" s="131" t="n">
        <x:f>E46*L46</x:f>
        <x:v>9000</x:v>
      </x:c>
      <x:c r="N46" s="133" t="n">
        <x:v>13</x:v>
      </x:c>
      <x:c r="O46" s="131" t="n">
        <x:f>E46*N46</x:f>
        <x:v>19500</x:v>
      </x:c>
      <x:c r="P46" s="133" t="n">
        <x:v>26</x:v>
      </x:c>
      <x:c r="Q46" s="131" t="n">
        <x:f>E46*P46</x:f>
        <x:v>39000</x:v>
      </x:c>
      <x:c r="R46" s="134" t="str">
        <x:v>Rounded engineering estimate pending supplier quotation.</x:v>
      </x:c>
    </x:row>
    <x:row r="47">
      <x:c r="A47" s="130" t="str">
        <x:v>PR-035</x:v>
      </x:c>
      <x:c r="B47" s="134" t="str">
        <x:v>Panasonic Industry</x:v>
      </x:c>
      <x:c r="C47" s="134" t="str">
        <x:v>EEH-ZK1V101XP</x:v>
      </x:c>
      <x:c r="D47" s="134" t="str">
        <x:v>Passive</x:v>
      </x:c>
      <x:c r="E47" s="131" t="n">
        <x:v>120</x:v>
      </x:c>
      <x:c r="F47" s="130" t="str">
        <x:v>ENGINEERING_BUDGETARY_ESTIMATE</x:v>
      </x:c>
      <x:c r="G47" s="130" t="str"/>
      <x:c r="H47" s="130" t="str">
        <x:v>RUB</x:v>
      </x:c>
      <x:c r="I47" s="130" t="str"/>
      <x:c r="J47" s="132" t="str">
        <x:v>2026-09-18</x:v>
      </x:c>
      <x:c r="K47" s="130" t="str">
        <x:v>LOW</x:v>
      </x:c>
      <x:c r="L47" s="133" t="n">
        <x:v>44</x:v>
      </x:c>
      <x:c r="M47" s="131" t="n">
        <x:f>E47*L47</x:f>
        <x:v>5280</x:v>
      </x:c>
      <x:c r="N47" s="133" t="n">
        <x:v>50</x:v>
      </x:c>
      <x:c r="O47" s="131" t="n">
        <x:f>E47*N47</x:f>
        <x:v>6000</x:v>
      </x:c>
      <x:c r="P47" s="133" t="n">
        <x:v>60</x:v>
      </x:c>
      <x:c r="Q47" s="131" t="n">
        <x:f>E47*P47</x:f>
        <x:v>7200</x:v>
      </x:c>
      <x:c r="R47" s="134" t="str">
        <x:v>Rounded engineering estimate pending supplier quotation.</x:v>
      </x:c>
    </x:row>
    <x:row r="48">
      <x:c r="A48" s="130" t="str">
        <x:v>PR-036</x:v>
      </x:c>
      <x:c r="B48" s="134" t="str">
        <x:v>Panasonic Industry</x:v>
      </x:c>
      <x:c r="C48" s="134" t="str">
        <x:v>ERA-2AEB104X</x:v>
      </x:c>
      <x:c r="D48" s="134" t="str">
        <x:v>Passive</x:v>
      </x:c>
      <x:c r="E48" s="131" t="n">
        <x:v>25</x:v>
      </x:c>
      <x:c r="F48" s="130" t="str">
        <x:v>ENGINEERING_BUDGETARY_ESTIMATE</x:v>
      </x:c>
      <x:c r="G48" s="130" t="str"/>
      <x:c r="H48" s="130" t="str">
        <x:v>RUB</x:v>
      </x:c>
      <x:c r="I48" s="130" t="str"/>
      <x:c r="J48" s="132" t="str">
        <x:v>2026-09-18</x:v>
      </x:c>
      <x:c r="K48" s="130" t="str">
        <x:v>LOW</x:v>
      </x:c>
      <x:c r="L48" s="133" t="n">
        <x:v>44</x:v>
      </x:c>
      <x:c r="M48" s="131" t="n">
        <x:f>E48*L48</x:f>
        <x:v>1100</x:v>
      </x:c>
      <x:c r="N48" s="133" t="n">
        <x:v>50</x:v>
      </x:c>
      <x:c r="O48" s="131" t="n">
        <x:f>E48*N48</x:f>
        <x:v>1250</x:v>
      </x:c>
      <x:c r="P48" s="133" t="n">
        <x:v>60</x:v>
      </x:c>
      <x:c r="Q48" s="131" t="n">
        <x:f>E48*P48</x:f>
        <x:v>1500</x:v>
      </x:c>
      <x:c r="R48" s="134" t="str">
        <x:v>Rounded engineering estimate pending supplier quotation.</x:v>
      </x:c>
    </x:row>
    <x:row r="49">
      <x:c r="A49" s="130" t="str">
        <x:v>PR-037</x:v>
      </x:c>
      <x:c r="B49" s="134" t="str">
        <x:v>Panasonic Industry</x:v>
      </x:c>
      <x:c r="C49" s="134" t="str">
        <x:v>ERA-2AEB3572X</x:v>
      </x:c>
      <x:c r="D49" s="134" t="str">
        <x:v>Passive</x:v>
      </x:c>
      <x:c r="E49" s="131" t="n">
        <x:v>25</x:v>
      </x:c>
      <x:c r="F49" s="130" t="str">
        <x:v>ENGINEERING_BUDGETARY_ESTIMATE</x:v>
      </x:c>
      <x:c r="G49" s="130" t="str"/>
      <x:c r="H49" s="130" t="str">
        <x:v>RUB</x:v>
      </x:c>
      <x:c r="I49" s="130" t="str"/>
      <x:c r="J49" s="132" t="str">
        <x:v>2026-09-18</x:v>
      </x:c>
      <x:c r="K49" s="130" t="str">
        <x:v>LOW</x:v>
      </x:c>
      <x:c r="L49" s="133" t="n">
        <x:v>44</x:v>
      </x:c>
      <x:c r="M49" s="131" t="n">
        <x:f>E49*L49</x:f>
        <x:v>1100</x:v>
      </x:c>
      <x:c r="N49" s="133" t="n">
        <x:v>50</x:v>
      </x:c>
      <x:c r="O49" s="131" t="n">
        <x:f>E49*N49</x:f>
        <x:v>1250</x:v>
      </x:c>
      <x:c r="P49" s="133" t="n">
        <x:v>60</x:v>
      </x:c>
      <x:c r="Q49" s="131" t="n">
        <x:f>E49*P49</x:f>
        <x:v>1500</x:v>
      </x:c>
      <x:c r="R49" s="134" t="str">
        <x:v>Rounded engineering estimate pending supplier quotation.</x:v>
      </x:c>
    </x:row>
    <x:row r="50">
      <x:c r="A50" s="130" t="str">
        <x:v>PR-038</x:v>
      </x:c>
      <x:c r="B50" s="134" t="str">
        <x:v>Panasonic Industry</x:v>
      </x:c>
      <x:c r="C50" s="134" t="str">
        <x:v>ERA-2AEB8662X</x:v>
      </x:c>
      <x:c r="D50" s="134" t="str">
        <x:v>Passive</x:v>
      </x:c>
      <x:c r="E50" s="131" t="n">
        <x:v>25</x:v>
      </x:c>
      <x:c r="F50" s="130" t="str">
        <x:v>ENGINEERING_BUDGETARY_ESTIMATE</x:v>
      </x:c>
      <x:c r="G50" s="130" t="str"/>
      <x:c r="H50" s="130" t="str">
        <x:v>RUB</x:v>
      </x:c>
      <x:c r="I50" s="130" t="str"/>
      <x:c r="J50" s="132" t="str">
        <x:v>2026-09-18</x:v>
      </x:c>
      <x:c r="K50" s="130" t="str">
        <x:v>LOW</x:v>
      </x:c>
      <x:c r="L50" s="133" t="n">
        <x:v>48</x:v>
      </x:c>
      <x:c r="M50" s="131" t="n">
        <x:f>E50*L50</x:f>
        <x:v>1200</x:v>
      </x:c>
      <x:c r="N50" s="133" t="n">
        <x:v>60</x:v>
      </x:c>
      <x:c r="O50" s="131" t="n">
        <x:f>E50*N50</x:f>
        <x:v>1500</x:v>
      </x:c>
      <x:c r="P50" s="133" t="n">
        <x:v>80</x:v>
      </x:c>
      <x:c r="Q50" s="131" t="n">
        <x:f>E50*P50</x:f>
        <x:v>2000</x:v>
      </x:c>
      <x:c r="R50" s="134" t="str">
        <x:v>Rounded engineering estimate pending supplier quotation.</x:v>
      </x:c>
    </x:row>
    <x:row r="51">
      <x:c r="A51" s="130" t="str">
        <x:v>PR-039</x:v>
      </x:c>
      <x:c r="B51" s="134" t="str">
        <x:v>Panasonic</x:v>
      </x:c>
      <x:c r="C51" s="134" t="str">
        <x:v>ERJ-2GE0R00X</x:v>
      </x:c>
      <x:c r="D51" s="134" t="str">
        <x:v>Resistor</x:v>
      </x:c>
      <x:c r="E51" s="131" t="n">
        <x:v>12</x:v>
      </x:c>
      <x:c r="F51" s="130" t="str">
        <x:v>ENGINEERING_BUDGETARY_ESTIMATE</x:v>
      </x:c>
      <x:c r="G51" s="130" t="str"/>
      <x:c r="H51" s="130" t="str">
        <x:v>RUB</x:v>
      </x:c>
      <x:c r="I51" s="130" t="str"/>
      <x:c r="J51" s="132" t="str">
        <x:v>2026-09-18</x:v>
      </x:c>
      <x:c r="K51" s="130" t="str">
        <x:v>LOW</x:v>
      </x:c>
      <x:c r="L51" s="133" t="n">
        <x:v>0</x:v>
      </x:c>
      <x:c r="M51" s="131" t="n">
        <x:f>E51*L51</x:f>
        <x:v>0</x:v>
      </x:c>
      <x:c r="N51" s="133" t="n">
        <x:v>0</x:v>
      </x:c>
      <x:c r="O51" s="131" t="n">
        <x:f>E51*N51</x:f>
        <x:v>0</x:v>
      </x:c>
      <x:c r="P51" s="133" t="n">
        <x:v>0</x:v>
      </x:c>
      <x:c r="Q51" s="131" t="n">
        <x:f>E51*P51</x:f>
        <x:v>0</x:v>
      </x:c>
      <x:c r="R51" s="134" t="str">
        <x:v>Rounded engineering estimate pending supplier quotation.</x:v>
      </x:c>
    </x:row>
    <x:row r="52">
      <x:c r="A52" s="130" t="str">
        <x:v>PR-040</x:v>
      </x:c>
      <x:c r="B52" s="134" t="str">
        <x:v>Panasonic</x:v>
      </x:c>
      <x:c r="C52" s="134" t="str">
        <x:v>ERJ-2GE0R00X</x:v>
      </x:c>
      <x:c r="D52" s="134" t="str">
        <x:v>Resistor</x:v>
      </x:c>
      <x:c r="E52" s="131" t="n">
        <x:v>12</x:v>
      </x:c>
      <x:c r="F52" s="130" t="str">
        <x:v>ENGINEERING_BUDGETARY_ESTIMATE</x:v>
      </x:c>
      <x:c r="G52" s="130" t="str"/>
      <x:c r="H52" s="130" t="str">
        <x:v>RUB</x:v>
      </x:c>
      <x:c r="I52" s="130" t="str"/>
      <x:c r="J52" s="132" t="str">
        <x:v>2026-09-18</x:v>
      </x:c>
      <x:c r="K52" s="130" t="str">
        <x:v>LOW</x:v>
      </x:c>
      <x:c r="L52" s="133" t="n">
        <x:v>48</x:v>
      </x:c>
      <x:c r="M52" s="131" t="n">
        <x:f>E52*L52</x:f>
        <x:v>576</x:v>
      </x:c>
      <x:c r="N52" s="133" t="n">
        <x:v>120</x:v>
      </x:c>
      <x:c r="O52" s="131" t="n">
        <x:f>E52*N52</x:f>
        <x:v>1440</x:v>
      </x:c>
      <x:c r="P52" s="133" t="n">
        <x:v>240</x:v>
      </x:c>
      <x:c r="Q52" s="131" t="n">
        <x:f>E52*P52</x:f>
        <x:v>2880</x:v>
      </x:c>
      <x:c r="R52" s="134" t="str">
        <x:v>Rounded engineering estimate pending supplier quotation.</x:v>
      </x:c>
    </x:row>
    <x:row r="53">
      <x:c r="A53" s="130" t="str">
        <x:v>PR-041</x:v>
      </x:c>
      <x:c r="B53" s="134" t="str">
        <x:v>Panasonic Industry</x:v>
      </x:c>
      <x:c r="C53" s="134" t="str">
        <x:v>ERJ-2GE0R00X</x:v>
      </x:c>
      <x:c r="D53" s="134" t="str">
        <x:v>Passive</x:v>
      </x:c>
      <x:c r="E53" s="131" t="n">
        <x:v>25</x:v>
      </x:c>
      <x:c r="F53" s="130" t="str">
        <x:v>ENGINEERING_BUDGETARY_ESTIMATE</x:v>
      </x:c>
      <x:c r="G53" s="130" t="str"/>
      <x:c r="H53" s="130" t="str">
        <x:v>RUB</x:v>
      </x:c>
      <x:c r="I53" s="130" t="str"/>
      <x:c r="J53" s="132" t="str">
        <x:v>2026-09-18</x:v>
      </x:c>
      <x:c r="K53" s="130" t="str">
        <x:v>LOW</x:v>
      </x:c>
      <x:c r="L53" s="133" t="n">
        <x:v>0</x:v>
      </x:c>
      <x:c r="M53" s="131" t="n">
        <x:f>E53*L53</x:f>
        <x:v>0</x:v>
      </x:c>
      <x:c r="N53" s="133" t="n">
        <x:v>0</x:v>
      </x:c>
      <x:c r="O53" s="131" t="n">
        <x:f>E53*N53</x:f>
        <x:v>0</x:v>
      </x:c>
      <x:c r="P53" s="133" t="n">
        <x:v>0</x:v>
      </x:c>
      <x:c r="Q53" s="131" t="n">
        <x:f>E53*P53</x:f>
        <x:v>0</x:v>
      </x:c>
      <x:c r="R53" s="134" t="str">
        <x:v>Rounded engineering estimate pending supplier quotation.</x:v>
      </x:c>
    </x:row>
    <x:row r="54">
      <x:c r="A54" s="130" t="str">
        <x:v>PR-042</x:v>
      </x:c>
      <x:c r="B54" s="134" t="str">
        <x:v>Panasonic Industry</x:v>
      </x:c>
      <x:c r="C54" s="134" t="str">
        <x:v>ERJ-2GE0R00X</x:v>
      </x:c>
      <x:c r="D54" s="134" t="str">
        <x:v>Passive</x:v>
      </x:c>
      <x:c r="E54" s="131" t="n">
        <x:v>25</x:v>
      </x:c>
      <x:c r="F54" s="130" t="str">
        <x:v>ENGINEERING_BUDGETARY_ESTIMATE</x:v>
      </x:c>
      <x:c r="G54" s="130" t="str"/>
      <x:c r="H54" s="130" t="str">
        <x:v>RUB</x:v>
      </x:c>
      <x:c r="I54" s="130" t="str"/>
      <x:c r="J54" s="132" t="str">
        <x:v>2026-09-18</x:v>
      </x:c>
      <x:c r="K54" s="130" t="str">
        <x:v>LOW</x:v>
      </x:c>
      <x:c r="L54" s="133" t="n">
        <x:v>48</x:v>
      </x:c>
      <x:c r="M54" s="131" t="n">
        <x:f>E54*L54</x:f>
        <x:v>1200</x:v>
      </x:c>
      <x:c r="N54" s="133" t="n">
        <x:v>60</x:v>
      </x:c>
      <x:c r="O54" s="131" t="n">
        <x:f>E54*N54</x:f>
        <x:v>1500</x:v>
      </x:c>
      <x:c r="P54" s="133" t="n">
        <x:v>80</x:v>
      </x:c>
      <x:c r="Q54" s="131" t="n">
        <x:f>E54*P54</x:f>
        <x:v>2000</x:v>
      </x:c>
      <x:c r="R54" s="134" t="str">
        <x:v>Rounded engineering estimate pending supplier quotation.</x:v>
      </x:c>
    </x:row>
    <x:row r="55">
      <x:c r="A55" s="130" t="str">
        <x:v>PR-043</x:v>
      </x:c>
      <x:c r="B55" s="134" t="str">
        <x:v>Panasonic Industry</x:v>
      </x:c>
      <x:c r="C55" s="134" t="str">
        <x:v>ERJ-2GE0R00X</x:v>
      </x:c>
      <x:c r="D55" s="134" t="str">
        <x:v>Passive</x:v>
      </x:c>
      <x:c r="E55" s="131" t="n">
        <x:v>25</x:v>
      </x:c>
      <x:c r="F55" s="130" t="str">
        <x:v>ENGINEERING_BUDGETARY_ESTIMATE</x:v>
      </x:c>
      <x:c r="G55" s="130" t="str"/>
      <x:c r="H55" s="130" t="str">
        <x:v>RUB</x:v>
      </x:c>
      <x:c r="I55" s="130" t="str"/>
      <x:c r="J55" s="132" t="str">
        <x:v>2026-09-18</x:v>
      </x:c>
      <x:c r="K55" s="130" t="str">
        <x:v>LOW</x:v>
      </x:c>
      <x:c r="L55" s="133" t="n">
        <x:v>56</x:v>
      </x:c>
      <x:c r="M55" s="131" t="n">
        <x:f>E55*L55</x:f>
        <x:v>1400</x:v>
      </x:c>
      <x:c r="N55" s="133" t="n">
        <x:v>80</x:v>
      </x:c>
      <x:c r="O55" s="131" t="n">
        <x:f>E55*N55</x:f>
        <x:v>2000</x:v>
      </x:c>
      <x:c r="P55" s="133" t="n">
        <x:v>120</x:v>
      </x:c>
      <x:c r="Q55" s="131" t="n">
        <x:f>E55*P55</x:f>
        <x:v>3000</x:v>
      </x:c>
      <x:c r="R55" s="134" t="str">
        <x:v>Rounded engineering estimate pending supplier quotation.</x:v>
      </x:c>
    </x:row>
    <x:row r="56">
      <x:c r="A56" s="130" t="str">
        <x:v>PR-044</x:v>
      </x:c>
      <x:c r="B56" s="134" t="str">
        <x:v>Panasonic</x:v>
      </x:c>
      <x:c r="C56" s="134" t="str">
        <x:v>ERJ-2GEJ104X</x:v>
      </x:c>
      <x:c r="D56" s="134" t="str">
        <x:v>Resistor</x:v>
      </x:c>
      <x:c r="E56" s="131" t="n">
        <x:v>12</x:v>
      </x:c>
      <x:c r="F56" s="130" t="str">
        <x:v>ENGINEERING_BUDGETARY_ESTIMATE</x:v>
      </x:c>
      <x:c r="G56" s="130" t="str"/>
      <x:c r="H56" s="130" t="str">
        <x:v>RUB</x:v>
      </x:c>
      <x:c r="I56" s="130" t="str"/>
      <x:c r="J56" s="132" t="str">
        <x:v>2026-09-18</x:v>
      </x:c>
      <x:c r="K56" s="130" t="str">
        <x:v>LOW</x:v>
      </x:c>
      <x:c r="L56" s="133" t="n">
        <x:v>8</x:v>
      </x:c>
      <x:c r="M56" s="131" t="n">
        <x:f>E56*L56</x:f>
        <x:v>96</x:v>
      </x:c>
      <x:c r="N56" s="133" t="n">
        <x:v>20</x:v>
      </x:c>
      <x:c r="O56" s="131" t="n">
        <x:f>E56*N56</x:f>
        <x:v>240</x:v>
      </x:c>
      <x:c r="P56" s="133" t="n">
        <x:v>40</x:v>
      </x:c>
      <x:c r="Q56" s="131" t="n">
        <x:f>E56*P56</x:f>
        <x:v>480</x:v>
      </x:c>
      <x:c r="R56" s="134" t="str">
        <x:v>Rounded engineering estimate pending supplier quotation.</x:v>
      </x:c>
    </x:row>
    <x:row r="57">
      <x:c r="A57" s="130" t="str">
        <x:v>PR-045</x:v>
      </x:c>
      <x:c r="B57" s="134" t="str">
        <x:v>Panasonic</x:v>
      </x:c>
      <x:c r="C57" s="134" t="str">
        <x:v>ERJ-2GEJ561X</x:v>
      </x:c>
      <x:c r="D57" s="134" t="str">
        <x:v>Resistor</x:v>
      </x:c>
      <x:c r="E57" s="131" t="n">
        <x:v>12</x:v>
      </x:c>
      <x:c r="F57" s="130" t="str">
        <x:v>ENGINEERING_BUDGETARY_ESTIMATE</x:v>
      </x:c>
      <x:c r="G57" s="130" t="str"/>
      <x:c r="H57" s="130" t="str">
        <x:v>RUB</x:v>
      </x:c>
      <x:c r="I57" s="130" t="str"/>
      <x:c r="J57" s="132" t="str">
        <x:v>2026-09-18</x:v>
      </x:c>
      <x:c r="K57" s="130" t="str">
        <x:v>LOW</x:v>
      </x:c>
      <x:c r="L57" s="133" t="n">
        <x:v>4</x:v>
      </x:c>
      <x:c r="M57" s="131" t="n">
        <x:f>E57*L57</x:f>
        <x:v>48</x:v>
      </x:c>
      <x:c r="N57" s="133" t="n">
        <x:v>10</x:v>
      </x:c>
      <x:c r="O57" s="131" t="n">
        <x:f>E57*N57</x:f>
        <x:v>120</x:v>
      </x:c>
      <x:c r="P57" s="133" t="n">
        <x:v>20</x:v>
      </x:c>
      <x:c r="Q57" s="131" t="n">
        <x:f>E57*P57</x:f>
        <x:v>240</x:v>
      </x:c>
      <x:c r="R57" s="134" t="str">
        <x:v>Rounded engineering estimate pending supplier quotation.</x:v>
      </x:c>
    </x:row>
    <x:row r="58">
      <x:c r="A58" s="130" t="str">
        <x:v>PR-046</x:v>
      </x:c>
      <x:c r="B58" s="134" t="str">
        <x:v>Panasonic</x:v>
      </x:c>
      <x:c r="C58" s="134" t="str">
        <x:v>ERJ-2RKF1001X</x:v>
      </x:c>
      <x:c r="D58" s="134" t="str">
        <x:v>Resistor</x:v>
      </x:c>
      <x:c r="E58" s="131" t="n">
        <x:v>12</x:v>
      </x:c>
      <x:c r="F58" s="130" t="str">
        <x:v>ENGINEERING_BUDGETARY_ESTIMATE</x:v>
      </x:c>
      <x:c r="G58" s="130" t="str"/>
      <x:c r="H58" s="130" t="str">
        <x:v>RUB</x:v>
      </x:c>
      <x:c r="I58" s="130" t="str"/>
      <x:c r="J58" s="132" t="str">
        <x:v>2026-09-18</x:v>
      </x:c>
      <x:c r="K58" s="130" t="str">
        <x:v>LOW</x:v>
      </x:c>
      <x:c r="L58" s="133" t="n">
        <x:v>20</x:v>
      </x:c>
      <x:c r="M58" s="131" t="n">
        <x:f>E58*L58</x:f>
        <x:v>240</x:v>
      </x:c>
      <x:c r="N58" s="133" t="n">
        <x:v>50</x:v>
      </x:c>
      <x:c r="O58" s="131" t="n">
        <x:f>E58*N58</x:f>
        <x:v>600</x:v>
      </x:c>
      <x:c r="P58" s="133" t="n">
        <x:v>100</x:v>
      </x:c>
      <x:c r="Q58" s="131" t="n">
        <x:f>E58*P58</x:f>
        <x:v>1200</x:v>
      </x:c>
      <x:c r="R58" s="134" t="str">
        <x:v>Rounded engineering estimate pending supplier quotation.</x:v>
      </x:c>
    </x:row>
    <x:row r="59">
      <x:c r="A59" s="130" t="str">
        <x:v>PR-047</x:v>
      </x:c>
      <x:c r="B59" s="134" t="str">
        <x:v>Panasonic</x:v>
      </x:c>
      <x:c r="C59" s="134" t="str">
        <x:v>ERJ-2RKF1002X</x:v>
      </x:c>
      <x:c r="D59" s="134" t="str">
        <x:v>Resistor</x:v>
      </x:c>
      <x:c r="E59" s="131" t="n">
        <x:v>12</x:v>
      </x:c>
      <x:c r="F59" s="130" t="str">
        <x:v>ENGINEERING_BUDGETARY_ESTIMATE</x:v>
      </x:c>
      <x:c r="G59" s="130" t="str"/>
      <x:c r="H59" s="130" t="str">
        <x:v>RUB</x:v>
      </x:c>
      <x:c r="I59" s="130" t="str"/>
      <x:c r="J59" s="132" t="str">
        <x:v>2026-09-18</x:v>
      </x:c>
      <x:c r="K59" s="130" t="str">
        <x:v>LOW</x:v>
      </x:c>
      <x:c r="L59" s="133" t="n">
        <x:v>76</x:v>
      </x:c>
      <x:c r="M59" s="131" t="n">
        <x:f>E59*L59</x:f>
        <x:v>912</x:v>
      </x:c>
      <x:c r="N59" s="133" t="n">
        <x:v>190</x:v>
      </x:c>
      <x:c r="O59" s="131" t="n">
        <x:f>E59*N59</x:f>
        <x:v>2280</x:v>
      </x:c>
      <x:c r="P59" s="133" t="n">
        <x:v>380</x:v>
      </x:c>
      <x:c r="Q59" s="131" t="n">
        <x:f>E59*P59</x:f>
        <x:v>4560</x:v>
      </x:c>
      <x:c r="R59" s="134" t="str">
        <x:v>Rounded engineering estimate pending supplier quotation.</x:v>
      </x:c>
    </x:row>
    <x:row r="60">
      <x:c r="A60" s="130" t="str">
        <x:v>PR-048</x:v>
      </x:c>
      <x:c r="B60" s="134" t="str">
        <x:v>Panasonic Industry</x:v>
      </x:c>
      <x:c r="C60" s="134" t="str">
        <x:v>ERJ-2RKF1002X</x:v>
      </x:c>
      <x:c r="D60" s="134" t="str">
        <x:v>Passive</x:v>
      </x:c>
      <x:c r="E60" s="131" t="n">
        <x:v>25</x:v>
      </x:c>
      <x:c r="F60" s="130" t="str">
        <x:v>ENGINEERING_BUDGETARY_ESTIMATE</x:v>
      </x:c>
      <x:c r="G60" s="130" t="str"/>
      <x:c r="H60" s="130" t="str">
        <x:v>RUB</x:v>
      </x:c>
      <x:c r="I60" s="130" t="str"/>
      <x:c r="J60" s="132" t="str">
        <x:v>2026-09-18</x:v>
      </x:c>
      <x:c r="K60" s="130" t="str">
        <x:v>LOW</x:v>
      </x:c>
      <x:c r="L60" s="133" t="n">
        <x:v>0</x:v>
      </x:c>
      <x:c r="M60" s="131" t="n">
        <x:f>E60*L60</x:f>
        <x:v>0</x:v>
      </x:c>
      <x:c r="N60" s="133" t="n">
        <x:v>0</x:v>
      </x:c>
      <x:c r="O60" s="131" t="n">
        <x:f>E60*N60</x:f>
        <x:v>0</x:v>
      </x:c>
      <x:c r="P60" s="133" t="n">
        <x:v>0</x:v>
      </x:c>
      <x:c r="Q60" s="131" t="n">
        <x:f>E60*P60</x:f>
        <x:v>0</x:v>
      </x:c>
      <x:c r="R60" s="134" t="str">
        <x:v>Rounded engineering estimate pending supplier quotation.</x:v>
      </x:c>
    </x:row>
    <x:row r="61">
      <x:c r="A61" s="130" t="str">
        <x:v>PR-049</x:v>
      </x:c>
      <x:c r="B61" s="134" t="str">
        <x:v>Panasonic Industry</x:v>
      </x:c>
      <x:c r="C61" s="134" t="str">
        <x:v>ERJ-2RKF1002X</x:v>
      </x:c>
      <x:c r="D61" s="134" t="str">
        <x:v>Passive</x:v>
      </x:c>
      <x:c r="E61" s="131" t="n">
        <x:v>25</x:v>
      </x:c>
      <x:c r="F61" s="130" t="str">
        <x:v>ENGINEERING_BUDGETARY_ESTIMATE</x:v>
      </x:c>
      <x:c r="G61" s="130" t="str"/>
      <x:c r="H61" s="130" t="str">
        <x:v>RUB</x:v>
      </x:c>
      <x:c r="I61" s="130" t="str"/>
      <x:c r="J61" s="132" t="str">
        <x:v>2026-09-18</x:v>
      </x:c>
      <x:c r="K61" s="130" t="str">
        <x:v>LOW</x:v>
      </x:c>
      <x:c r="L61" s="133" t="n">
        <x:v>48</x:v>
      </x:c>
      <x:c r="M61" s="131" t="n">
        <x:f>E61*L61</x:f>
        <x:v>1200</x:v>
      </x:c>
      <x:c r="N61" s="133" t="n">
        <x:v>60</x:v>
      </x:c>
      <x:c r="O61" s="131" t="n">
        <x:f>E61*N61</x:f>
        <x:v>1500</x:v>
      </x:c>
      <x:c r="P61" s="133" t="n">
        <x:v>80</x:v>
      </x:c>
      <x:c r="Q61" s="131" t="n">
        <x:f>E61*P61</x:f>
        <x:v>2000</x:v>
      </x:c>
      <x:c r="R61" s="134" t="str">
        <x:v>Rounded engineering estimate pending supplier quotation.</x:v>
      </x:c>
    </x:row>
    <x:row r="62">
      <x:c r="A62" s="130" t="str">
        <x:v>PR-050</x:v>
      </x:c>
      <x:c r="B62" s="134" t="str">
        <x:v>Panasonic</x:v>
      </x:c>
      <x:c r="C62" s="134" t="str">
        <x:v>ERJ-2RKF1003X</x:v>
      </x:c>
      <x:c r="D62" s="134" t="str">
        <x:v>Resistor</x:v>
      </x:c>
      <x:c r="E62" s="131" t="n">
        <x:v>12</x:v>
      </x:c>
      <x:c r="F62" s="130" t="str">
        <x:v>ENGINEERING_BUDGETARY_ESTIMATE</x:v>
      </x:c>
      <x:c r="G62" s="130" t="str"/>
      <x:c r="H62" s="130" t="str">
        <x:v>RUB</x:v>
      </x:c>
      <x:c r="I62" s="130" t="str"/>
      <x:c r="J62" s="132" t="str">
        <x:v>2026-09-18</x:v>
      </x:c>
      <x:c r="K62" s="130" t="str">
        <x:v>LOW</x:v>
      </x:c>
      <x:c r="L62" s="133" t="n">
        <x:v>0</x:v>
      </x:c>
      <x:c r="M62" s="131" t="n">
        <x:f>E62*L62</x:f>
        <x:v>0</x:v>
      </x:c>
      <x:c r="N62" s="133" t="n">
        <x:v>0</x:v>
      </x:c>
      <x:c r="O62" s="131" t="n">
        <x:f>E62*N62</x:f>
        <x:v>0</x:v>
      </x:c>
      <x:c r="P62" s="133" t="n">
        <x:v>0</x:v>
      </x:c>
      <x:c r="Q62" s="131" t="n">
        <x:f>E62*P62</x:f>
        <x:v>0</x:v>
      </x:c>
      <x:c r="R62" s="134" t="str">
        <x:v>Rounded engineering estimate pending supplier quotation.</x:v>
      </x:c>
    </x:row>
    <x:row r="63">
      <x:c r="A63" s="130" t="str">
        <x:v>PR-051</x:v>
      </x:c>
      <x:c r="B63" s="134" t="str">
        <x:v>Panasonic</x:v>
      </x:c>
      <x:c r="C63" s="134" t="str">
        <x:v>ERJ-2RKF1003X</x:v>
      </x:c>
      <x:c r="D63" s="134" t="str">
        <x:v>Resistor</x:v>
      </x:c>
      <x:c r="E63" s="131" t="n">
        <x:v>12</x:v>
      </x:c>
      <x:c r="F63" s="130" t="str">
        <x:v>ENGINEERING_BUDGETARY_ESTIMATE</x:v>
      </x:c>
      <x:c r="G63" s="130" t="str"/>
      <x:c r="H63" s="130" t="str">
        <x:v>RUB</x:v>
      </x:c>
      <x:c r="I63" s="130" t="str"/>
      <x:c r="J63" s="132" t="str">
        <x:v>2026-09-18</x:v>
      </x:c>
      <x:c r="K63" s="130" t="str">
        <x:v>LOW</x:v>
      </x:c>
      <x:c r="L63" s="133" t="n">
        <x:v>84</x:v>
      </x:c>
      <x:c r="M63" s="131" t="n">
        <x:f>E63*L63</x:f>
        <x:v>1008</x:v>
      </x:c>
      <x:c r="N63" s="133" t="n">
        <x:v>210</x:v>
      </x:c>
      <x:c r="O63" s="131" t="n">
        <x:f>E63*N63</x:f>
        <x:v>2520</x:v>
      </x:c>
      <x:c r="P63" s="133" t="n">
        <x:v>420</x:v>
      </x:c>
      <x:c r="Q63" s="131" t="n">
        <x:f>E63*P63</x:f>
        <x:v>5040</x:v>
      </x:c>
      <x:c r="R63" s="134" t="str">
        <x:v>Rounded engineering estimate pending supplier quotation.</x:v>
      </x:c>
    </x:row>
    <x:row r="64">
      <x:c r="A64" s="130" t="str">
        <x:v>PR-052</x:v>
      </x:c>
      <x:c r="B64" s="134" t="str">
        <x:v>Panasonic Industry</x:v>
      </x:c>
      <x:c r="C64" s="134" t="str">
        <x:v>ERJ-2RKF1003X</x:v>
      </x:c>
      <x:c r="D64" s="134" t="str">
        <x:v>Passive</x:v>
      </x:c>
      <x:c r="E64" s="131" t="n">
        <x:v>25</x:v>
      </x:c>
      <x:c r="F64" s="130" t="str">
        <x:v>ENGINEERING_BUDGETARY_ESTIMATE</x:v>
      </x:c>
      <x:c r="G64" s="130" t="str"/>
      <x:c r="H64" s="130" t="str">
        <x:v>RUB</x:v>
      </x:c>
      <x:c r="I64" s="130" t="str"/>
      <x:c r="J64" s="132" t="str">
        <x:v>2026-09-18</x:v>
      </x:c>
      <x:c r="K64" s="130" t="str">
        <x:v>LOW</x:v>
      </x:c>
      <x:c r="L64" s="133" t="n">
        <x:v>48</x:v>
      </x:c>
      <x:c r="M64" s="131" t="n">
        <x:f>E64*L64</x:f>
        <x:v>1200</x:v>
      </x:c>
      <x:c r="N64" s="133" t="n">
        <x:v>60</x:v>
      </x:c>
      <x:c r="O64" s="131" t="n">
        <x:f>E64*N64</x:f>
        <x:v>1500</x:v>
      </x:c>
      <x:c r="P64" s="133" t="n">
        <x:v>80</x:v>
      </x:c>
      <x:c r="Q64" s="131" t="n">
        <x:f>E64*P64</x:f>
        <x:v>2000</x:v>
      </x:c>
      <x:c r="R64" s="134" t="str">
        <x:v>Rounded engineering estimate pending supplier quotation.</x:v>
      </x:c>
    </x:row>
    <x:row r="65">
      <x:c r="A65" s="130" t="str">
        <x:v>PR-053</x:v>
      </x:c>
      <x:c r="B65" s="134" t="str">
        <x:v>Panasonic</x:v>
      </x:c>
      <x:c r="C65" s="134" t="str">
        <x:v>ERJ-2RKF1004X</x:v>
      </x:c>
      <x:c r="D65" s="134" t="str">
        <x:v>Resistor</x:v>
      </x:c>
      <x:c r="E65" s="131" t="n">
        <x:v>12</x:v>
      </x:c>
      <x:c r="F65" s="130" t="str">
        <x:v>ENGINEERING_BUDGETARY_ESTIMATE</x:v>
      </x:c>
      <x:c r="G65" s="130" t="str"/>
      <x:c r="H65" s="130" t="str">
        <x:v>RUB</x:v>
      </x:c>
      <x:c r="I65" s="130" t="str"/>
      <x:c r="J65" s="132" t="str">
        <x:v>2026-09-18</x:v>
      </x:c>
      <x:c r="K65" s="130" t="str">
        <x:v>LOW</x:v>
      </x:c>
      <x:c r="L65" s="133" t="n">
        <x:v>4</x:v>
      </x:c>
      <x:c r="M65" s="131" t="n">
        <x:f>E65*L65</x:f>
        <x:v>48</x:v>
      </x:c>
      <x:c r="N65" s="133" t="n">
        <x:v>10</x:v>
      </x:c>
      <x:c r="O65" s="131" t="n">
        <x:f>E65*N65</x:f>
        <x:v>120</x:v>
      </x:c>
      <x:c r="P65" s="133" t="n">
        <x:v>20</x:v>
      </x:c>
      <x:c r="Q65" s="131" t="n">
        <x:f>E65*P65</x:f>
        <x:v>240</x:v>
      </x:c>
      <x:c r="R65" s="134" t="str">
        <x:v>Rounded engineering estimate pending supplier quotation.</x:v>
      </x:c>
    </x:row>
    <x:row r="66">
      <x:c r="A66" s="130" t="str">
        <x:v>PR-054</x:v>
      </x:c>
      <x:c r="B66" s="134" t="str">
        <x:v>Panasonic</x:v>
      </x:c>
      <x:c r="C66" s="134" t="str">
        <x:v>ERJ-2RKF2201X</x:v>
      </x:c>
      <x:c r="D66" s="134" t="str">
        <x:v>Resistor</x:v>
      </x:c>
      <x:c r="E66" s="131" t="n">
        <x:v>12</x:v>
      </x:c>
      <x:c r="F66" s="130" t="str">
        <x:v>ENGINEERING_BUDGETARY_ESTIMATE</x:v>
      </x:c>
      <x:c r="G66" s="130" t="str"/>
      <x:c r="H66" s="130" t="str">
        <x:v>RUB</x:v>
      </x:c>
      <x:c r="I66" s="130" t="str"/>
      <x:c r="J66" s="132" t="str">
        <x:v>2026-09-18</x:v>
      </x:c>
      <x:c r="K66" s="130" t="str">
        <x:v>LOW</x:v>
      </x:c>
      <x:c r="L66" s="133" t="n">
        <x:v>8</x:v>
      </x:c>
      <x:c r="M66" s="131" t="n">
        <x:f>E66*L66</x:f>
        <x:v>96</x:v>
      </x:c>
      <x:c r="N66" s="133" t="n">
        <x:v>20</x:v>
      </x:c>
      <x:c r="O66" s="131" t="n">
        <x:f>E66*N66</x:f>
        <x:v>240</x:v>
      </x:c>
      <x:c r="P66" s="133" t="n">
        <x:v>40</x:v>
      </x:c>
      <x:c r="Q66" s="131" t="n">
        <x:f>E66*P66</x:f>
        <x:v>480</x:v>
      </x:c>
      <x:c r="R66" s="134" t="str">
        <x:v>Rounded engineering estimate pending supplier quotation.</x:v>
      </x:c>
    </x:row>
    <x:row r="67">
      <x:c r="A67" s="130" t="str">
        <x:v>PR-055</x:v>
      </x:c>
      <x:c r="B67" s="134" t="str">
        <x:v>Panasonic</x:v>
      </x:c>
      <x:c r="C67" s="134" t="str">
        <x:v>ERJ-2RKF22R0X</x:v>
      </x:c>
      <x:c r="D67" s="134" t="str">
        <x:v>Resistor</x:v>
      </x:c>
      <x:c r="E67" s="131" t="n">
        <x:v>12</x:v>
      </x:c>
      <x:c r="F67" s="130" t="str">
        <x:v>ENGINEERING_BUDGETARY_ESTIMATE</x:v>
      </x:c>
      <x:c r="G67" s="130" t="str"/>
      <x:c r="H67" s="130" t="str">
        <x:v>RUB</x:v>
      </x:c>
      <x:c r="I67" s="130" t="str"/>
      <x:c r="J67" s="132" t="str">
        <x:v>2026-09-18</x:v>
      </x:c>
      <x:c r="K67" s="130" t="str">
        <x:v>LOW</x:v>
      </x:c>
      <x:c r="L67" s="133" t="n">
        <x:v>116</x:v>
      </x:c>
      <x:c r="M67" s="131" t="n">
        <x:f>E67*L67</x:f>
        <x:v>1392</x:v>
      </x:c>
      <x:c r="N67" s="133" t="n">
        <x:v>290</x:v>
      </x:c>
      <x:c r="O67" s="131" t="n">
        <x:f>E67*N67</x:f>
        <x:v>3480</x:v>
      </x:c>
      <x:c r="P67" s="133" t="n">
        <x:v>580</x:v>
      </x:c>
      <x:c r="Q67" s="131" t="n">
        <x:f>E67*P67</x:f>
        <x:v>6960</x:v>
      </x:c>
      <x:c r="R67" s="134" t="str">
        <x:v>Rounded engineering estimate pending supplier quotation.</x:v>
      </x:c>
    </x:row>
    <x:row r="68">
      <x:c r="A68" s="130" t="str">
        <x:v>PR-056</x:v>
      </x:c>
      <x:c r="B68" s="134" t="str">
        <x:v>Panasonic</x:v>
      </x:c>
      <x:c r="C68" s="134" t="str">
        <x:v>ERJ-2RKF4701X</x:v>
      </x:c>
      <x:c r="D68" s="134" t="str">
        <x:v>Resistor</x:v>
      </x:c>
      <x:c r="E68" s="131" t="n">
        <x:v>12</x:v>
      </x:c>
      <x:c r="F68" s="130" t="str">
        <x:v>ENGINEERING_BUDGETARY_ESTIMATE</x:v>
      </x:c>
      <x:c r="G68" s="130" t="str"/>
      <x:c r="H68" s="130" t="str">
        <x:v>RUB</x:v>
      </x:c>
      <x:c r="I68" s="130" t="str"/>
      <x:c r="J68" s="132" t="str">
        <x:v>2026-09-18</x:v>
      </x:c>
      <x:c r="K68" s="130" t="str">
        <x:v>LOW</x:v>
      </x:c>
      <x:c r="L68" s="133" t="n">
        <x:v>8</x:v>
      </x:c>
      <x:c r="M68" s="131" t="n">
        <x:f>E68*L68</x:f>
        <x:v>96</x:v>
      </x:c>
      <x:c r="N68" s="133" t="n">
        <x:v>20</x:v>
      </x:c>
      <x:c r="O68" s="131" t="n">
        <x:f>E68*N68</x:f>
        <x:v>240</x:v>
      </x:c>
      <x:c r="P68" s="133" t="n">
        <x:v>40</x:v>
      </x:c>
      <x:c r="Q68" s="131" t="n">
        <x:f>E68*P68</x:f>
        <x:v>480</x:v>
      </x:c>
      <x:c r="R68" s="134" t="str">
        <x:v>Rounded engineering estimate pending supplier quotation.</x:v>
      </x:c>
    </x:row>
    <x:row r="69">
      <x:c r="A69" s="130" t="str">
        <x:v>PR-057</x:v>
      </x:c>
      <x:c r="B69" s="134" t="str">
        <x:v>Panasonic Industry</x:v>
      </x:c>
      <x:c r="C69" s="134" t="str">
        <x:v>ERJ-2RKF4701X</x:v>
      </x:c>
      <x:c r="D69" s="134" t="str">
        <x:v>Passive</x:v>
      </x:c>
      <x:c r="E69" s="131" t="n">
        <x:v>25</x:v>
      </x:c>
      <x:c r="F69" s="130" t="str">
        <x:v>ENGINEERING_BUDGETARY_ESTIMATE</x:v>
      </x:c>
      <x:c r="G69" s="130" t="str"/>
      <x:c r="H69" s="130" t="str">
        <x:v>RUB</x:v>
      </x:c>
      <x:c r="I69" s="130" t="str"/>
      <x:c r="J69" s="132" t="str">
        <x:v>2026-09-18</x:v>
      </x:c>
      <x:c r="K69" s="130" t="str">
        <x:v>LOW</x:v>
      </x:c>
      <x:c r="L69" s="133" t="n">
        <x:v>0</x:v>
      </x:c>
      <x:c r="M69" s="131" t="n">
        <x:f>E69*L69</x:f>
        <x:v>0</x:v>
      </x:c>
      <x:c r="N69" s="133" t="n">
        <x:v>0</x:v>
      </x:c>
      <x:c r="O69" s="131" t="n">
        <x:f>E69*N69</x:f>
        <x:v>0</x:v>
      </x:c>
      <x:c r="P69" s="133" t="n">
        <x:v>0</x:v>
      </x:c>
      <x:c r="Q69" s="131" t="n">
        <x:f>E69*P69</x:f>
        <x:v>0</x:v>
      </x:c>
      <x:c r="R69" s="134" t="str">
        <x:v>Rounded engineering estimate pending supplier quotation.</x:v>
      </x:c>
    </x:row>
    <x:row r="70">
      <x:c r="A70" s="130" t="str">
        <x:v>PR-058</x:v>
      </x:c>
      <x:c r="B70" s="134" t="str">
        <x:v>Panasonic</x:v>
      </x:c>
      <x:c r="C70" s="134" t="str">
        <x:v>ERJ-2RKF4702X</x:v>
      </x:c>
      <x:c r="D70" s="134" t="str">
        <x:v>Resistor</x:v>
      </x:c>
      <x:c r="E70" s="131" t="n">
        <x:v>12</x:v>
      </x:c>
      <x:c r="F70" s="130" t="str">
        <x:v>ENGINEERING_BUDGETARY_ESTIMATE</x:v>
      </x:c>
      <x:c r="G70" s="130" t="str"/>
      <x:c r="H70" s="130" t="str">
        <x:v>RUB</x:v>
      </x:c>
      <x:c r="I70" s="130" t="str"/>
      <x:c r="J70" s="132" t="str">
        <x:v>2026-09-18</x:v>
      </x:c>
      <x:c r="K70" s="130" t="str">
        <x:v>LOW</x:v>
      </x:c>
      <x:c r="L70" s="133" t="n">
        <x:v>12</x:v>
      </x:c>
      <x:c r="M70" s="131" t="n">
        <x:f>E70*L70</x:f>
        <x:v>144</x:v>
      </x:c>
      <x:c r="N70" s="133" t="n">
        <x:v>30</x:v>
      </x:c>
      <x:c r="O70" s="131" t="n">
        <x:f>E70*N70</x:f>
        <x:v>360</x:v>
      </x:c>
      <x:c r="P70" s="133" t="n">
        <x:v>60</x:v>
      </x:c>
      <x:c r="Q70" s="131" t="n">
        <x:f>E70*P70</x:f>
        <x:v>720</x:v>
      </x:c>
      <x:c r="R70" s="134" t="str">
        <x:v>Rounded engineering estimate pending supplier quotation.</x:v>
      </x:c>
    </x:row>
    <x:row r="71">
      <x:c r="A71" s="130" t="str">
        <x:v>PR-059</x:v>
      </x:c>
      <x:c r="B71" s="134" t="str">
        <x:v>Panasonic</x:v>
      </x:c>
      <x:c r="C71" s="134" t="str">
        <x:v>ERJ-2RKF5101X</x:v>
      </x:c>
      <x:c r="D71" s="134" t="str">
        <x:v>Resistor</x:v>
      </x:c>
      <x:c r="E71" s="131" t="n">
        <x:v>12</x:v>
      </x:c>
      <x:c r="F71" s="130" t="str">
        <x:v>ENGINEERING_BUDGETARY_ESTIMATE</x:v>
      </x:c>
      <x:c r="G71" s="130" t="str"/>
      <x:c r="H71" s="130" t="str">
        <x:v>RUB</x:v>
      </x:c>
      <x:c r="I71" s="130" t="str"/>
      <x:c r="J71" s="132" t="str">
        <x:v>2026-09-18</x:v>
      </x:c>
      <x:c r="K71" s="130" t="str">
        <x:v>LOW</x:v>
      </x:c>
      <x:c r="L71" s="133" t="n">
        <x:v>8</x:v>
      </x:c>
      <x:c r="M71" s="131" t="n">
        <x:f>E71*L71</x:f>
        <x:v>96</x:v>
      </x:c>
      <x:c r="N71" s="133" t="n">
        <x:v>20</x:v>
      </x:c>
      <x:c r="O71" s="131" t="n">
        <x:f>E71*N71</x:f>
        <x:v>240</x:v>
      </x:c>
      <x:c r="P71" s="133" t="n">
        <x:v>40</x:v>
      </x:c>
      <x:c r="Q71" s="131" t="n">
        <x:f>E71*P71</x:f>
        <x:v>480</x:v>
      </x:c>
      <x:c r="R71" s="134" t="str">
        <x:v>Rounded engineering estimate pending supplier quotation.</x:v>
      </x:c>
    </x:row>
    <x:row r="72">
      <x:c r="A72" s="130" t="str">
        <x:v>PR-060</x:v>
      </x:c>
      <x:c r="B72" s="134" t="str">
        <x:v>Panasonic</x:v>
      </x:c>
      <x:c r="C72" s="134" t="str">
        <x:v>ERJ-8GEYJ100V</x:v>
      </x:c>
      <x:c r="D72" s="134" t="str">
        <x:v>Resistor</x:v>
      </x:c>
      <x:c r="E72" s="131" t="n">
        <x:v>12</x:v>
      </x:c>
      <x:c r="F72" s="130" t="str">
        <x:v>ENGINEERING_BUDGETARY_ESTIMATE</x:v>
      </x:c>
      <x:c r="G72" s="130" t="str"/>
      <x:c r="H72" s="130" t="str">
        <x:v>RUB</x:v>
      </x:c>
      <x:c r="I72" s="130" t="str"/>
      <x:c r="J72" s="132" t="str">
        <x:v>2026-09-18</x:v>
      </x:c>
      <x:c r="K72" s="130" t="str">
        <x:v>LOW</x:v>
      </x:c>
      <x:c r="L72" s="133" t="n">
        <x:v>4</x:v>
      </x:c>
      <x:c r="M72" s="131" t="n">
        <x:f>E72*L72</x:f>
        <x:v>48</x:v>
      </x:c>
      <x:c r="N72" s="133" t="n">
        <x:v>10</x:v>
      </x:c>
      <x:c r="O72" s="131" t="n">
        <x:f>E72*N72</x:f>
        <x:v>120</x:v>
      </x:c>
      <x:c r="P72" s="133" t="n">
        <x:v>20</x:v>
      </x:c>
      <x:c r="Q72" s="131" t="n">
        <x:f>E72*P72</x:f>
        <x:v>240</x:v>
      </x:c>
      <x:c r="R72" s="134" t="str">
        <x:v>Rounded engineering estimate pending supplier quotation.</x:v>
      </x:c>
    </x:row>
    <x:row r="73">
      <x:c r="A73" s="130" t="str">
        <x:v>PR-061</x:v>
      </x:c>
      <x:c r="B73" s="134" t="str">
        <x:v>STMicroelectronics</x:v>
      </x:c>
      <x:c r="C73" s="134" t="str">
        <x:v>ESDALC6V1-5P6</x:v>
      </x:c>
      <x:c r="D73" s="134" t="str">
        <x:v>ESD</x:v>
      </x:c>
      <x:c r="E73" s="131" t="n">
        <x:v>140</x:v>
      </x:c>
      <x:c r="F73" s="130" t="str">
        <x:v>ENGINEERING_BUDGETARY_ESTIMATE</x:v>
      </x:c>
      <x:c r="G73" s="130" t="str"/>
      <x:c r="H73" s="130" t="str">
        <x:v>RUB</x:v>
      </x:c>
      <x:c r="I73" s="130" t="str"/>
      <x:c r="J73" s="132" t="str">
        <x:v>2026-09-18</x:v>
      </x:c>
      <x:c r="K73" s="130" t="str">
        <x:v>LOW</x:v>
      </x:c>
      <x:c r="L73" s="133" t="n">
        <x:v>10</x:v>
      </x:c>
      <x:c r="M73" s="131" t="n">
        <x:f>E73*L73</x:f>
        <x:v>1400</x:v>
      </x:c>
      <x:c r="N73" s="133" t="n">
        <x:v>25</x:v>
      </x:c>
      <x:c r="O73" s="131" t="n">
        <x:f>E73*N73</x:f>
        <x:v>3500</x:v>
      </x:c>
      <x:c r="P73" s="133" t="n">
        <x:v>50</x:v>
      </x:c>
      <x:c r="Q73" s="131" t="n">
        <x:f>E73*P73</x:f>
        <x:v>7000</x:v>
      </x:c>
      <x:c r="R73" s="134" t="str">
        <x:v>Rounded engineering estimate pending supplier quotation.</x:v>
      </x:c>
    </x:row>
    <x:row r="74">
      <x:c r="A74" s="130" t="str">
        <x:v>PR-062</x:v>
      </x:c>
      <x:c r="B74" s="134" t="str">
        <x:v>Taoglas</x:v>
      </x:c>
      <x:c r="C74" s="134" t="str">
        <x:v>G30.B.108111</x:v>
      </x:c>
      <x:c r="D74" s="134" t="str">
        <x:v>Antenna</x:v>
      </x:c>
      <x:c r="E74" s="131" t="n">
        <x:v>4050</x:v>
      </x:c>
      <x:c r="F74" s="130" t="str">
        <x:v>PUBLIC_AUTHORIZED_CHANNEL_PRICE</x:v>
      </x:c>
      <x:c r="G74" s="130" t="str">
        <x:v>$32.38 at qty 10</x:v>
      </x:c>
      <x:c r="H74" s="130" t="str">
        <x:v>USD</x:v>
      </x:c>
      <x:c r="I74" s="130" t="str">
        <x:v>https://www.mouser.com/</x:v>
      </x:c>
      <x:c r="J74" s="132" t="str">
        <x:v>2026-09-18</x:v>
      </x:c>
      <x:c r="K74" s="130" t="str">
        <x:v>MEDIUM</x:v>
      </x:c>
      <x:c r="L74" s="133" t="n">
        <x:v>5</x:v>
      </x:c>
      <x:c r="M74" s="131" t="n">
        <x:f>E74*L74</x:f>
        <x:v>20250</x:v>
      </x:c>
      <x:c r="N74" s="133" t="n">
        <x:v>11</x:v>
      </x:c>
      <x:c r="O74" s="131" t="n">
        <x:f>E74*N74</x:f>
        <x:v>44550</x:v>
      </x:c>
      <x:c r="P74" s="133" t="n">
        <x:v>22</x:v>
      </x:c>
      <x:c r="Q74" s="131" t="n">
        <x:f>E74*P74</x:f>
        <x:v>89100</x:v>
      </x:c>
      <x:c r="R74" s="134" t="str">
        <x:v>Published price converted to a rounded landed-RUB planning value; final cart/quote controls.</x:v>
      </x:c>
    </x:row>
    <x:row r="75">
      <x:c r="A75" s="130" t="str">
        <x:v>PR-063</x:v>
      </x:c>
      <x:c r="B75" s="134" t="str">
        <x:v>Murata</x:v>
      </x:c>
      <x:c r="C75" s="134" t="str">
        <x:v>GRM1555C1E470JA01D</x:v>
      </x:c>
      <x:c r="D75" s="134" t="str">
        <x:v>Capacitor</x:v>
      </x:c>
      <x:c r="E75" s="131" t="n">
        <x:v>30</x:v>
      </x:c>
      <x:c r="F75" s="130" t="str">
        <x:v>ENGINEERING_BUDGETARY_ESTIMATE</x:v>
      </x:c>
      <x:c r="G75" s="130" t="str"/>
      <x:c r="H75" s="130" t="str">
        <x:v>RUB</x:v>
      </x:c>
      <x:c r="I75" s="130" t="str"/>
      <x:c r="J75" s="132" t="str">
        <x:v>2026-09-18</x:v>
      </x:c>
      <x:c r="K75" s="130" t="str">
        <x:v>LOW</x:v>
      </x:c>
      <x:c r="L75" s="133" t="n">
        <x:v>4</x:v>
      </x:c>
      <x:c r="M75" s="131" t="n">
        <x:f>E75*L75</x:f>
        <x:v>120</x:v>
      </x:c>
      <x:c r="N75" s="133" t="n">
        <x:v>10</x:v>
      </x:c>
      <x:c r="O75" s="131" t="n">
        <x:f>E75*N75</x:f>
        <x:v>300</x:v>
      </x:c>
      <x:c r="P75" s="133" t="n">
        <x:v>20</x:v>
      </x:c>
      <x:c r="Q75" s="131" t="n">
        <x:f>E75*P75</x:f>
        <x:v>600</x:v>
      </x:c>
      <x:c r="R75" s="134" t="str">
        <x:v>Rounded engineering estimate pending supplier quotation.</x:v>
      </x:c>
    </x:row>
    <x:row r="76">
      <x:c r="A76" s="130" t="str">
        <x:v>PR-064</x:v>
      </x:c>
      <x:c r="B76" s="134" t="str">
        <x:v>Murata</x:v>
      </x:c>
      <x:c r="C76" s="134" t="str">
        <x:v>GRM1555C1H100JA01D</x:v>
      </x:c>
      <x:c r="D76" s="134" t="str">
        <x:v>Capacitor</x:v>
      </x:c>
      <x:c r="E76" s="131" t="n">
        <x:v>30</x:v>
      </x:c>
      <x:c r="F76" s="130" t="str">
        <x:v>ENGINEERING_BUDGETARY_ESTIMATE</x:v>
      </x:c>
      <x:c r="G76" s="130" t="str"/>
      <x:c r="H76" s="130" t="str">
        <x:v>RUB</x:v>
      </x:c>
      <x:c r="I76" s="130" t="str"/>
      <x:c r="J76" s="132" t="str">
        <x:v>2026-09-18</x:v>
      </x:c>
      <x:c r="K76" s="130" t="str">
        <x:v>LOW</x:v>
      </x:c>
      <x:c r="L76" s="133" t="n">
        <x:v>0</x:v>
      </x:c>
      <x:c r="M76" s="131" t="n">
        <x:f>E76*L76</x:f>
        <x:v>0</x:v>
      </x:c>
      <x:c r="N76" s="133" t="n">
        <x:v>0</x:v>
      </x:c>
      <x:c r="O76" s="131" t="n">
        <x:f>E76*N76</x:f>
        <x:v>0</x:v>
      </x:c>
      <x:c r="P76" s="133" t="n">
        <x:v>0</x:v>
      </x:c>
      <x:c r="Q76" s="131" t="n">
        <x:f>E76*P76</x:f>
        <x:v>0</x:v>
      </x:c>
      <x:c r="R76" s="134" t="str">
        <x:v>Rounded engineering estimate pending supplier quotation.</x:v>
      </x:c>
    </x:row>
    <x:row r="77">
      <x:c r="A77" s="130" t="str">
        <x:v>PR-065</x:v>
      </x:c>
      <x:c r="B77" s="134" t="str">
        <x:v>Murata</x:v>
      </x:c>
      <x:c r="C77" s="134" t="str">
        <x:v>GRM1555C1H100JA01D</x:v>
      </x:c>
      <x:c r="D77" s="134" t="str">
        <x:v>Capacitor</x:v>
      </x:c>
      <x:c r="E77" s="131" t="n">
        <x:v>30</x:v>
      </x:c>
      <x:c r="F77" s="130" t="str">
        <x:v>ENGINEERING_BUDGETARY_ESTIMATE</x:v>
      </x:c>
      <x:c r="G77" s="130" t="str"/>
      <x:c r="H77" s="130" t="str">
        <x:v>RUB</x:v>
      </x:c>
      <x:c r="I77" s="130" t="str"/>
      <x:c r="J77" s="132" t="str">
        <x:v>2026-09-18</x:v>
      </x:c>
      <x:c r="K77" s="130" t="str">
        <x:v>LOW</x:v>
      </x:c>
      <x:c r="L77" s="133" t="n">
        <x:v>8</x:v>
      </x:c>
      <x:c r="M77" s="131" t="n">
        <x:f>E77*L77</x:f>
        <x:v>240</x:v>
      </x:c>
      <x:c r="N77" s="133" t="n">
        <x:v>20</x:v>
      </x:c>
      <x:c r="O77" s="131" t="n">
        <x:f>E77*N77</x:f>
        <x:v>600</x:v>
      </x:c>
      <x:c r="P77" s="133" t="n">
        <x:v>40</x:v>
      </x:c>
      <x:c r="Q77" s="131" t="n">
        <x:f>E77*P77</x:f>
        <x:v>1200</x:v>
      </x:c>
      <x:c r="R77" s="134" t="str">
        <x:v>Rounded engineering estimate pending supplier quotation.</x:v>
      </x:c>
    </x:row>
    <x:row r="78">
      <x:c r="A78" s="130" t="str">
        <x:v>PR-066</x:v>
      </x:c>
      <x:c r="B78" s="134" t="str">
        <x:v>Murata</x:v>
      </x:c>
      <x:c r="C78" s="134" t="str">
        <x:v>GRM1555C1H101JA01D</x:v>
      </x:c>
      <x:c r="D78" s="134" t="str">
        <x:v>Capacitor</x:v>
      </x:c>
      <x:c r="E78" s="131" t="n">
        <x:v>30</x:v>
      </x:c>
      <x:c r="F78" s="130" t="str">
        <x:v>ENGINEERING_BUDGETARY_ESTIMATE</x:v>
      </x:c>
      <x:c r="G78" s="130" t="str"/>
      <x:c r="H78" s="130" t="str">
        <x:v>RUB</x:v>
      </x:c>
      <x:c r="I78" s="130" t="str"/>
      <x:c r="J78" s="132" t="str">
        <x:v>2026-09-18</x:v>
      </x:c>
      <x:c r="K78" s="130" t="str">
        <x:v>LOW</x:v>
      </x:c>
      <x:c r="L78" s="133" t="n">
        <x:v>4</x:v>
      </x:c>
      <x:c r="M78" s="131" t="n">
        <x:f>E78*L78</x:f>
        <x:v>120</x:v>
      </x:c>
      <x:c r="N78" s="133" t="n">
        <x:v>10</x:v>
      </x:c>
      <x:c r="O78" s="131" t="n">
        <x:f>E78*N78</x:f>
        <x:v>300</x:v>
      </x:c>
      <x:c r="P78" s="133" t="n">
        <x:v>20</x:v>
      </x:c>
      <x:c r="Q78" s="131" t="n">
        <x:f>E78*P78</x:f>
        <x:v>600</x:v>
      </x:c>
      <x:c r="R78" s="134" t="str">
        <x:v>Rounded engineering estimate pending supplier quotation.</x:v>
      </x:c>
    </x:row>
    <x:row r="79">
      <x:c r="A79" s="130" t="str">
        <x:v>PR-067</x:v>
      </x:c>
      <x:c r="B79" s="134" t="str">
        <x:v>Murata</x:v>
      </x:c>
      <x:c r="C79" s="134" t="str">
        <x:v>GRM1555C1H151JA01D</x:v>
      </x:c>
      <x:c r="D79" s="134" t="str">
        <x:v>Capacitor</x:v>
      </x:c>
      <x:c r="E79" s="131" t="n">
        <x:v>30</x:v>
      </x:c>
      <x:c r="F79" s="130" t="str">
        <x:v>ENGINEERING_BUDGETARY_ESTIMATE</x:v>
      </x:c>
      <x:c r="G79" s="130" t="str"/>
      <x:c r="H79" s="130" t="str">
        <x:v>RUB</x:v>
      </x:c>
      <x:c r="I79" s="130" t="str"/>
      <x:c r="J79" s="132" t="str">
        <x:v>2026-09-18</x:v>
      </x:c>
      <x:c r="K79" s="130" t="str">
        <x:v>LOW</x:v>
      </x:c>
      <x:c r="L79" s="133" t="n">
        <x:v>4</x:v>
      </x:c>
      <x:c r="M79" s="131" t="n">
        <x:f>E79*L79</x:f>
        <x:v>120</x:v>
      </x:c>
      <x:c r="N79" s="133" t="n">
        <x:v>10</x:v>
      </x:c>
      <x:c r="O79" s="131" t="n">
        <x:f>E79*N79</x:f>
        <x:v>300</x:v>
      </x:c>
      <x:c r="P79" s="133" t="n">
        <x:v>20</x:v>
      </x:c>
      <x:c r="Q79" s="131" t="n">
        <x:f>E79*P79</x:f>
        <x:v>600</x:v>
      </x:c>
      <x:c r="R79" s="134" t="str">
        <x:v>Rounded engineering estimate pending supplier quotation.</x:v>
      </x:c>
    </x:row>
    <x:row r="80">
      <x:c r="A80" s="130" t="str">
        <x:v>PR-068</x:v>
      </x:c>
      <x:c r="B80" s="134" t="str">
        <x:v>Murata</x:v>
      </x:c>
      <x:c r="C80" s="134" t="str">
        <x:v>GRM1555C1H330JA01D</x:v>
      </x:c>
      <x:c r="D80" s="134" t="str">
        <x:v>Capacitor</x:v>
      </x:c>
      <x:c r="E80" s="131" t="n">
        <x:v>30</x:v>
      </x:c>
      <x:c r="F80" s="130" t="str">
        <x:v>ENGINEERING_BUDGETARY_ESTIMATE</x:v>
      </x:c>
      <x:c r="G80" s="130" t="str"/>
      <x:c r="H80" s="130" t="str">
        <x:v>RUB</x:v>
      </x:c>
      <x:c r="I80" s="130" t="str"/>
      <x:c r="J80" s="132" t="str">
        <x:v>2026-09-18</x:v>
      </x:c>
      <x:c r="K80" s="130" t="str">
        <x:v>LOW</x:v>
      </x:c>
      <x:c r="L80" s="133" t="n">
        <x:v>0</x:v>
      </x:c>
      <x:c r="M80" s="131" t="n">
        <x:f>E80*L80</x:f>
        <x:v>0</x:v>
      </x:c>
      <x:c r="N80" s="133" t="n">
        <x:v>0</x:v>
      </x:c>
      <x:c r="O80" s="131" t="n">
        <x:f>E80*N80</x:f>
        <x:v>0</x:v>
      </x:c>
      <x:c r="P80" s="133" t="n">
        <x:v>0</x:v>
      </x:c>
      <x:c r="Q80" s="131" t="n">
        <x:f>E80*P80</x:f>
        <x:v>0</x:v>
      </x:c>
      <x:c r="R80" s="134" t="str">
        <x:v>Rounded engineering estimate pending supplier quotation.</x:v>
      </x:c>
    </x:row>
    <x:row r="81">
      <x:c r="A81" s="130" t="str">
        <x:v>PR-069</x:v>
      </x:c>
      <x:c r="B81" s="134" t="str">
        <x:v>Murata</x:v>
      </x:c>
      <x:c r="C81" s="134" t="str">
        <x:v>GRM1555C1H330JA01D</x:v>
      </x:c>
      <x:c r="D81" s="134" t="str">
        <x:v>Capacitor</x:v>
      </x:c>
      <x:c r="E81" s="131" t="n">
        <x:v>30</x:v>
      </x:c>
      <x:c r="F81" s="130" t="str">
        <x:v>ENGINEERING_BUDGETARY_ESTIMATE</x:v>
      </x:c>
      <x:c r="G81" s="130" t="str"/>
      <x:c r="H81" s="130" t="str">
        <x:v>RUB</x:v>
      </x:c>
      <x:c r="I81" s="130" t="str"/>
      <x:c r="J81" s="132" t="str">
        <x:v>2026-09-18</x:v>
      </x:c>
      <x:c r="K81" s="130" t="str">
        <x:v>LOW</x:v>
      </x:c>
      <x:c r="L81" s="133" t="n">
        <x:v>8</x:v>
      </x:c>
      <x:c r="M81" s="131" t="n">
        <x:f>E81*L81</x:f>
        <x:v>240</x:v>
      </x:c>
      <x:c r="N81" s="133" t="n">
        <x:v>20</x:v>
      </x:c>
      <x:c r="O81" s="131" t="n">
        <x:f>E81*N81</x:f>
        <x:v>600</x:v>
      </x:c>
      <x:c r="P81" s="133" t="n">
        <x:v>40</x:v>
      </x:c>
      <x:c r="Q81" s="131" t="n">
        <x:f>E81*P81</x:f>
        <x:v>1200</x:v>
      </x:c>
      <x:c r="R81" s="134" t="str">
        <x:v>Rounded engineering estimate pending supplier quotation.</x:v>
      </x:c>
    </x:row>
    <x:row r="82">
      <x:c r="A82" s="130" t="str">
        <x:v>PR-070</x:v>
      </x:c>
      <x:c r="B82" s="134" t="str">
        <x:v>Murata</x:v>
      </x:c>
      <x:c r="C82" s="134" t="str">
        <x:v>GRM1555C1H680JA01D</x:v>
      </x:c>
      <x:c r="D82" s="134" t="str">
        <x:v>Capacitor</x:v>
      </x:c>
      <x:c r="E82" s="131" t="n">
        <x:v>30</x:v>
      </x:c>
      <x:c r="F82" s="130" t="str">
        <x:v>ENGINEERING_BUDGETARY_ESTIMATE</x:v>
      </x:c>
      <x:c r="G82" s="130" t="str"/>
      <x:c r="H82" s="130" t="str">
        <x:v>RUB</x:v>
      </x:c>
      <x:c r="I82" s="130" t="str"/>
      <x:c r="J82" s="132" t="str">
        <x:v>2026-09-18</x:v>
      </x:c>
      <x:c r="K82" s="130" t="str">
        <x:v>LOW</x:v>
      </x:c>
      <x:c r="L82" s="133" t="n">
        <x:v>4</x:v>
      </x:c>
      <x:c r="M82" s="131" t="n">
        <x:f>E82*L82</x:f>
        <x:v>120</x:v>
      </x:c>
      <x:c r="N82" s="133" t="n">
        <x:v>10</x:v>
      </x:c>
      <x:c r="O82" s="131" t="n">
        <x:f>E82*N82</x:f>
        <x:v>300</x:v>
      </x:c>
      <x:c r="P82" s="133" t="n">
        <x:v>20</x:v>
      </x:c>
      <x:c r="Q82" s="131" t="n">
        <x:f>E82*P82</x:f>
        <x:v>600</x:v>
      </x:c>
      <x:c r="R82" s="134" t="str">
        <x:v>Rounded engineering estimate pending supplier quotation.</x:v>
      </x:c>
    </x:row>
    <x:row r="83">
      <x:c r="A83" s="130" t="str">
        <x:v>PR-071</x:v>
      </x:c>
      <x:c r="B83" s="134" t="str">
        <x:v>Murata</x:v>
      </x:c>
      <x:c r="C83" s="134" t="str">
        <x:v>GRM155R61A225KE15D</x:v>
      </x:c>
      <x:c r="D83" s="134" t="str">
        <x:v>Capacitor</x:v>
      </x:c>
      <x:c r="E83" s="131" t="n">
        <x:v>30</x:v>
      </x:c>
      <x:c r="F83" s="130" t="str">
        <x:v>ENGINEERING_BUDGETARY_ESTIMATE</x:v>
      </x:c>
      <x:c r="G83" s="130" t="str"/>
      <x:c r="H83" s="130" t="str">
        <x:v>RUB</x:v>
      </x:c>
      <x:c r="I83" s="130" t="str"/>
      <x:c r="J83" s="132" t="str">
        <x:v>2026-09-18</x:v>
      </x:c>
      <x:c r="K83" s="130" t="str">
        <x:v>LOW</x:v>
      </x:c>
      <x:c r="L83" s="133" t="n">
        <x:v>8</x:v>
      </x:c>
      <x:c r="M83" s="131" t="n">
        <x:f>E83*L83</x:f>
        <x:v>240</x:v>
      </x:c>
      <x:c r="N83" s="133" t="n">
        <x:v>20</x:v>
      </x:c>
      <x:c r="O83" s="131" t="n">
        <x:f>E83*N83</x:f>
        <x:v>600</x:v>
      </x:c>
      <x:c r="P83" s="133" t="n">
        <x:v>40</x:v>
      </x:c>
      <x:c r="Q83" s="131" t="n">
        <x:f>E83*P83</x:f>
        <x:v>1200</x:v>
      </x:c>
      <x:c r="R83" s="134" t="str">
        <x:v>Rounded engineering estimate pending supplier quotation.</x:v>
      </x:c>
    </x:row>
    <x:row r="84">
      <x:c r="A84" s="130" t="str">
        <x:v>PR-072</x:v>
      </x:c>
      <x:c r="B84" s="134" t="str">
        <x:v>Murata</x:v>
      </x:c>
      <x:c r="C84" s="134" t="str">
        <x:v>GRM155R61C105KA12D</x:v>
      </x:c>
      <x:c r="D84" s="134" t="str">
        <x:v>Capacitor</x:v>
      </x:c>
      <x:c r="E84" s="131" t="n">
        <x:v>30</x:v>
      </x:c>
      <x:c r="F84" s="130" t="str">
        <x:v>ENGINEERING_BUDGETARY_ESTIMATE</x:v>
      </x:c>
      <x:c r="G84" s="130" t="str"/>
      <x:c r="H84" s="130" t="str">
        <x:v>RUB</x:v>
      </x:c>
      <x:c r="I84" s="130" t="str"/>
      <x:c r="J84" s="132" t="str">
        <x:v>2026-09-18</x:v>
      </x:c>
      <x:c r="K84" s="130" t="str">
        <x:v>LOW</x:v>
      </x:c>
      <x:c r="L84" s="133" t="n">
        <x:v>12</x:v>
      </x:c>
      <x:c r="M84" s="131" t="n">
        <x:f>E84*L84</x:f>
        <x:v>360</x:v>
      </x:c>
      <x:c r="N84" s="133" t="n">
        <x:v>30</x:v>
      </x:c>
      <x:c r="O84" s="131" t="n">
        <x:f>E84*N84</x:f>
        <x:v>900</x:v>
      </x:c>
      <x:c r="P84" s="133" t="n">
        <x:v>60</x:v>
      </x:c>
      <x:c r="Q84" s="131" t="n">
        <x:f>E84*P84</x:f>
        <x:v>1800</x:v>
      </x:c>
      <x:c r="R84" s="134" t="str">
        <x:v>Rounded engineering estimate pending supplier quotation.</x:v>
      </x:c>
    </x:row>
    <x:row r="85">
      <x:c r="A85" s="130" t="str">
        <x:v>PR-073</x:v>
      </x:c>
      <x:c r="B85" s="134" t="str">
        <x:v>Murata</x:v>
      </x:c>
      <x:c r="C85" s="134" t="str">
        <x:v>GRM155R71C103KA01D</x:v>
      </x:c>
      <x:c r="D85" s="134" t="str">
        <x:v>Capacitor</x:v>
      </x:c>
      <x:c r="E85" s="131" t="n">
        <x:v>30</x:v>
      </x:c>
      <x:c r="F85" s="130" t="str">
        <x:v>ENGINEERING_BUDGETARY_ESTIMATE</x:v>
      </x:c>
      <x:c r="G85" s="130" t="str"/>
      <x:c r="H85" s="130" t="str">
        <x:v>RUB</x:v>
      </x:c>
      <x:c r="I85" s="130" t="str"/>
      <x:c r="J85" s="132" t="str">
        <x:v>2026-09-18</x:v>
      </x:c>
      <x:c r="K85" s="130" t="str">
        <x:v>LOW</x:v>
      </x:c>
      <x:c r="L85" s="133" t="n">
        <x:v>4</x:v>
      </x:c>
      <x:c r="M85" s="131" t="n">
        <x:f>E85*L85</x:f>
        <x:v>120</x:v>
      </x:c>
      <x:c r="N85" s="133" t="n">
        <x:v>10</x:v>
      </x:c>
      <x:c r="O85" s="131" t="n">
        <x:f>E85*N85</x:f>
        <x:v>300</x:v>
      </x:c>
      <x:c r="P85" s="133" t="n">
        <x:v>20</x:v>
      </x:c>
      <x:c r="Q85" s="131" t="n">
        <x:f>E85*P85</x:f>
        <x:v>600</x:v>
      </x:c>
      <x:c r="R85" s="134" t="str">
        <x:v>Rounded engineering estimate pending supplier quotation.</x:v>
      </x:c>
    </x:row>
    <x:row r="86">
      <x:c r="A86" s="130" t="str">
        <x:v>PR-074</x:v>
      </x:c>
      <x:c r="B86" s="134" t="str">
        <x:v>Murata</x:v>
      </x:c>
      <x:c r="C86" s="134" t="str">
        <x:v>GRM155R71E103KA01D</x:v>
      </x:c>
      <x:c r="D86" s="134" t="str">
        <x:v>Capacitor</x:v>
      </x:c>
      <x:c r="E86" s="131" t="n">
        <x:v>30</x:v>
      </x:c>
      <x:c r="F86" s="130" t="str">
        <x:v>ENGINEERING_BUDGETARY_ESTIMATE</x:v>
      </x:c>
      <x:c r="G86" s="130" t="str"/>
      <x:c r="H86" s="130" t="str">
        <x:v>RUB</x:v>
      </x:c>
      <x:c r="I86" s="130" t="str"/>
      <x:c r="J86" s="132" t="str">
        <x:v>2026-09-18</x:v>
      </x:c>
      <x:c r="K86" s="130" t="str">
        <x:v>LOW</x:v>
      </x:c>
      <x:c r="L86" s="133" t="n">
        <x:v>20</x:v>
      </x:c>
      <x:c r="M86" s="131" t="n">
        <x:f>E86*L86</x:f>
        <x:v>600</x:v>
      </x:c>
      <x:c r="N86" s="133" t="n">
        <x:v>50</x:v>
      </x:c>
      <x:c r="O86" s="131" t="n">
        <x:f>E86*N86</x:f>
        <x:v>1500</x:v>
      </x:c>
      <x:c r="P86" s="133" t="n">
        <x:v>100</x:v>
      </x:c>
      <x:c r="Q86" s="131" t="n">
        <x:f>E86*P86</x:f>
        <x:v>3000</x:v>
      </x:c>
      <x:c r="R86" s="134" t="str">
        <x:v>Rounded engineering estimate pending supplier quotation.</x:v>
      </x:c>
    </x:row>
    <x:row r="87">
      <x:c r="A87" s="130" t="str">
        <x:v>PR-075</x:v>
      </x:c>
      <x:c r="B87" s="134" t="str">
        <x:v>Murata</x:v>
      </x:c>
      <x:c r="C87" s="134" t="str">
        <x:v>GRM155R71E104KE14D</x:v>
      </x:c>
      <x:c r="D87" s="134" t="str">
        <x:v>Capacitor</x:v>
      </x:c>
      <x:c r="E87" s="131" t="n">
        <x:v>30</x:v>
      </x:c>
      <x:c r="F87" s="130" t="str">
        <x:v>ENGINEERING_BUDGETARY_ESTIMATE</x:v>
      </x:c>
      <x:c r="G87" s="130" t="str"/>
      <x:c r="H87" s="130" t="str">
        <x:v>RUB</x:v>
      </x:c>
      <x:c r="I87" s="130" t="str"/>
      <x:c r="J87" s="132" t="str">
        <x:v>2026-09-18</x:v>
      </x:c>
      <x:c r="K87" s="130" t="str">
        <x:v>LOW</x:v>
      </x:c>
      <x:c r="L87" s="133" t="n">
        <x:v>0</x:v>
      </x:c>
      <x:c r="M87" s="131" t="n">
        <x:f>E87*L87</x:f>
        <x:v>0</x:v>
      </x:c>
      <x:c r="N87" s="133" t="n">
        <x:v>0</x:v>
      </x:c>
      <x:c r="O87" s="131" t="n">
        <x:f>E87*N87</x:f>
        <x:v>0</x:v>
      </x:c>
      <x:c r="P87" s="133" t="n">
        <x:v>0</x:v>
      </x:c>
      <x:c r="Q87" s="131" t="n">
        <x:f>E87*P87</x:f>
        <x:v>0</x:v>
      </x:c>
      <x:c r="R87" s="134" t="str">
        <x:v>Rounded engineering estimate pending supplier quotation.</x:v>
      </x:c>
    </x:row>
    <x:row r="88">
      <x:c r="A88" s="130" t="str">
        <x:v>PR-076</x:v>
      </x:c>
      <x:c r="B88" s="134" t="str">
        <x:v>Murata</x:v>
      </x:c>
      <x:c r="C88" s="134" t="str">
        <x:v>GRM155R71E104KE14D</x:v>
      </x:c>
      <x:c r="D88" s="134" t="str">
        <x:v>Capacitor</x:v>
      </x:c>
      <x:c r="E88" s="131" t="n">
        <x:v>30</x:v>
      </x:c>
      <x:c r="F88" s="130" t="str">
        <x:v>ENGINEERING_BUDGETARY_ESTIMATE</x:v>
      </x:c>
      <x:c r="G88" s="130" t="str"/>
      <x:c r="H88" s="130" t="str">
        <x:v>RUB</x:v>
      </x:c>
      <x:c r="I88" s="130" t="str"/>
      <x:c r="J88" s="132" t="str">
        <x:v>2026-09-18</x:v>
      </x:c>
      <x:c r="K88" s="130" t="str">
        <x:v>LOW</x:v>
      </x:c>
      <x:c r="L88" s="133" t="n">
        <x:v>140</x:v>
      </x:c>
      <x:c r="M88" s="131" t="n">
        <x:f>E88*L88</x:f>
        <x:v>4200</x:v>
      </x:c>
      <x:c r="N88" s="133" t="n">
        <x:v>350</x:v>
      </x:c>
      <x:c r="O88" s="131" t="n">
        <x:f>E88*N88</x:f>
        <x:v>10500</x:v>
      </x:c>
      <x:c r="P88" s="133" t="n">
        <x:v>700</x:v>
      </x:c>
      <x:c r="Q88" s="131" t="n">
        <x:f>E88*P88</x:f>
        <x:v>21000</x:v>
      </x:c>
      <x:c r="R88" s="134" t="str">
        <x:v>Rounded engineering estimate pending supplier quotation.</x:v>
      </x:c>
    </x:row>
    <x:row r="89">
      <x:c r="A89" s="130" t="str">
        <x:v>PR-077</x:v>
      </x:c>
      <x:c r="B89" s="134" t="str">
        <x:v>Murata</x:v>
      </x:c>
      <x:c r="C89" s="134" t="str">
        <x:v>GRM155R71E224KE14D</x:v>
      </x:c>
      <x:c r="D89" s="134" t="str">
        <x:v>Capacitor</x:v>
      </x:c>
      <x:c r="E89" s="131" t="n">
        <x:v>30</x:v>
      </x:c>
      <x:c r="F89" s="130" t="str">
        <x:v>ENGINEERING_BUDGETARY_ESTIMATE</x:v>
      </x:c>
      <x:c r="G89" s="130" t="str"/>
      <x:c r="H89" s="130" t="str">
        <x:v>RUB</x:v>
      </x:c>
      <x:c r="I89" s="130" t="str"/>
      <x:c r="J89" s="132" t="str">
        <x:v>2026-09-18</x:v>
      </x:c>
      <x:c r="K89" s="130" t="str">
        <x:v>LOW</x:v>
      </x:c>
      <x:c r="L89" s="133" t="n">
        <x:v>4</x:v>
      </x:c>
      <x:c r="M89" s="131" t="n">
        <x:f>E89*L89</x:f>
        <x:v>120</x:v>
      </x:c>
      <x:c r="N89" s="133" t="n">
        <x:v>10</x:v>
      </x:c>
      <x:c r="O89" s="131" t="n">
        <x:f>E89*N89</x:f>
        <x:v>300</x:v>
      </x:c>
      <x:c r="P89" s="133" t="n">
        <x:v>20</x:v>
      </x:c>
      <x:c r="Q89" s="131" t="n">
        <x:f>E89*P89</x:f>
        <x:v>600</x:v>
      </x:c>
      <x:c r="R89" s="134" t="str">
        <x:v>Rounded engineering estimate pending supplier quotation.</x:v>
      </x:c>
    </x:row>
    <x:row r="90">
      <x:c r="A90" s="130" t="str">
        <x:v>PR-078</x:v>
      </x:c>
      <x:c r="B90" s="134" t="str">
        <x:v>Murata</x:v>
      </x:c>
      <x:c r="C90" s="134" t="str">
        <x:v>GRM155R71E473KA01D</x:v>
      </x:c>
      <x:c r="D90" s="134" t="str">
        <x:v>Capacitor</x:v>
      </x:c>
      <x:c r="E90" s="131" t="n">
        <x:v>30</x:v>
      </x:c>
      <x:c r="F90" s="130" t="str">
        <x:v>ENGINEERING_BUDGETARY_ESTIMATE</x:v>
      </x:c>
      <x:c r="G90" s="130" t="str"/>
      <x:c r="H90" s="130" t="str">
        <x:v>RUB</x:v>
      </x:c>
      <x:c r="I90" s="130" t="str"/>
      <x:c r="J90" s="132" t="str">
        <x:v>2026-09-18</x:v>
      </x:c>
      <x:c r="K90" s="130" t="str">
        <x:v>LOW</x:v>
      </x:c>
      <x:c r="L90" s="133" t="n">
        <x:v>4</x:v>
      </x:c>
      <x:c r="M90" s="131" t="n">
        <x:f>E90*L90</x:f>
        <x:v>120</x:v>
      </x:c>
      <x:c r="N90" s="133" t="n">
        <x:v>10</x:v>
      </x:c>
      <x:c r="O90" s="131" t="n">
        <x:f>E90*N90</x:f>
        <x:v>300</x:v>
      </x:c>
      <x:c r="P90" s="133" t="n">
        <x:v>20</x:v>
      </x:c>
      <x:c r="Q90" s="131" t="n">
        <x:f>E90*P90</x:f>
        <x:v>600</x:v>
      </x:c>
      <x:c r="R90" s="134" t="str">
        <x:v>Rounded engineering estimate pending supplier quotation.</x:v>
      </x:c>
    </x:row>
    <x:row r="91">
      <x:c r="A91" s="130" t="str">
        <x:v>PR-079</x:v>
      </x:c>
      <x:c r="B91" s="134" t="str">
        <x:v>Murata</x:v>
      </x:c>
      <x:c r="C91" s="134" t="str">
        <x:v>GRM155R72A472KA01D</x:v>
      </x:c>
      <x:c r="D91" s="134" t="str">
        <x:v>Capacitor</x:v>
      </x:c>
      <x:c r="E91" s="131" t="n">
        <x:v>30</x:v>
      </x:c>
      <x:c r="F91" s="130" t="str">
        <x:v>ENGINEERING_BUDGETARY_ESTIMATE</x:v>
      </x:c>
      <x:c r="G91" s="130" t="str"/>
      <x:c r="H91" s="130" t="str">
        <x:v>RUB</x:v>
      </x:c>
      <x:c r="I91" s="130" t="str"/>
      <x:c r="J91" s="132" t="str">
        <x:v>2026-09-18</x:v>
      </x:c>
      <x:c r="K91" s="130" t="str">
        <x:v>LOW</x:v>
      </x:c>
      <x:c r="L91" s="133" t="n">
        <x:v>4</x:v>
      </x:c>
      <x:c r="M91" s="131" t="n">
        <x:f>E91*L91</x:f>
        <x:v>120</x:v>
      </x:c>
      <x:c r="N91" s="133" t="n">
        <x:v>10</x:v>
      </x:c>
      <x:c r="O91" s="131" t="n">
        <x:f>E91*N91</x:f>
        <x:v>300</x:v>
      </x:c>
      <x:c r="P91" s="133" t="n">
        <x:v>20</x:v>
      </x:c>
      <x:c r="Q91" s="131" t="n">
        <x:f>E91*P91</x:f>
        <x:v>600</x:v>
      </x:c>
      <x:c r="R91" s="134" t="str">
        <x:v>Rounded engineering estimate pending supplier quotation.</x:v>
      </x:c>
    </x:row>
    <x:row r="92">
      <x:c r="A92" s="130" t="str">
        <x:v>PR-080</x:v>
      </x:c>
      <x:c r="B92" s="134" t="str">
        <x:v>Murata</x:v>
      </x:c>
      <x:c r="C92" s="134" t="str">
        <x:v>GRM188R61A106KE69D</x:v>
      </x:c>
      <x:c r="D92" s="134" t="str">
        <x:v>Capacitor</x:v>
      </x:c>
      <x:c r="E92" s="131" t="n">
        <x:v>30</x:v>
      </x:c>
      <x:c r="F92" s="130" t="str">
        <x:v>ENGINEERING_BUDGETARY_ESTIMATE</x:v>
      </x:c>
      <x:c r="G92" s="130" t="str"/>
      <x:c r="H92" s="130" t="str">
        <x:v>RUB</x:v>
      </x:c>
      <x:c r="I92" s="130" t="str"/>
      <x:c r="J92" s="132" t="str">
        <x:v>2026-09-18</x:v>
      </x:c>
      <x:c r="K92" s="130" t="str">
        <x:v>LOW</x:v>
      </x:c>
      <x:c r="L92" s="133" t="n">
        <x:v>32</x:v>
      </x:c>
      <x:c r="M92" s="131" t="n">
        <x:f>E92*L92</x:f>
        <x:v>960</x:v>
      </x:c>
      <x:c r="N92" s="133" t="n">
        <x:v>80</x:v>
      </x:c>
      <x:c r="O92" s="131" t="n">
        <x:f>E92*N92</x:f>
        <x:v>2400</x:v>
      </x:c>
      <x:c r="P92" s="133" t="n">
        <x:v>160</x:v>
      </x:c>
      <x:c r="Q92" s="131" t="n">
        <x:f>E92*P92</x:f>
        <x:v>4800</x:v>
      </x:c>
      <x:c r="R92" s="134" t="str">
        <x:v>Rounded engineering estimate pending supplier quotation.</x:v>
      </x:c>
    </x:row>
    <x:row r="93">
      <x:c r="A93" s="130" t="str">
        <x:v>PR-081</x:v>
      </x:c>
      <x:c r="B93" s="134" t="str">
        <x:v>Murata</x:v>
      </x:c>
      <x:c r="C93" s="134" t="str">
        <x:v>GRM21BR61A226ME44L</x:v>
      </x:c>
      <x:c r="D93" s="134" t="str">
        <x:v>Capacitor</x:v>
      </x:c>
      <x:c r="E93" s="131" t="n">
        <x:v>30</x:v>
      </x:c>
      <x:c r="F93" s="130" t="str">
        <x:v>ENGINEERING_BUDGETARY_ESTIMATE</x:v>
      </x:c>
      <x:c r="G93" s="130" t="str"/>
      <x:c r="H93" s="130" t="str">
        <x:v>RUB</x:v>
      </x:c>
      <x:c r="I93" s="130" t="str"/>
      <x:c r="J93" s="132" t="str">
        <x:v>2026-09-18</x:v>
      </x:c>
      <x:c r="K93" s="130" t="str">
        <x:v>LOW</x:v>
      </x:c>
      <x:c r="L93" s="133" t="n">
        <x:v>4</x:v>
      </x:c>
      <x:c r="M93" s="131" t="n">
        <x:f>E93*L93</x:f>
        <x:v>120</x:v>
      </x:c>
      <x:c r="N93" s="133" t="n">
        <x:v>10</x:v>
      </x:c>
      <x:c r="O93" s="131" t="n">
        <x:f>E93*N93</x:f>
        <x:v>300</x:v>
      </x:c>
      <x:c r="P93" s="133" t="n">
        <x:v>20</x:v>
      </x:c>
      <x:c r="Q93" s="131" t="n">
        <x:f>E93*P93</x:f>
        <x:v>600</x:v>
      </x:c>
      <x:c r="R93" s="134" t="str">
        <x:v>Rounded engineering estimate pending supplier quotation.</x:v>
      </x:c>
    </x:row>
    <x:row r="94">
      <x:c r="A94" s="130" t="str">
        <x:v>PR-082</x:v>
      </x:c>
      <x:c r="B94" s="134" t="str">
        <x:v>Texas Instruments</x:v>
      </x:c>
      <x:c r="C94" s="134" t="str">
        <x:v>INA226AIDGSR</x:v>
      </x:c>
      <x:c r="D94" s="134" t="str">
        <x:v>Monitor</x:v>
      </x:c>
      <x:c r="E94" s="131" t="n">
        <x:v>550</x:v>
      </x:c>
      <x:c r="F94" s="130" t="str">
        <x:v>ENGINEERING_BUDGETARY_ESTIMATE</x:v>
      </x:c>
      <x:c r="G94" s="130" t="str"/>
      <x:c r="H94" s="130" t="str">
        <x:v>RUB</x:v>
      </x:c>
      <x:c r="I94" s="130" t="str"/>
      <x:c r="J94" s="132" t="str">
        <x:v>2026-09-18</x:v>
      </x:c>
      <x:c r="K94" s="130" t="str">
        <x:v>LOW</x:v>
      </x:c>
      <x:c r="L94" s="133" t="n">
        <x:v>5</x:v>
      </x:c>
      <x:c r="M94" s="131" t="n">
        <x:f>E94*L94</x:f>
        <x:v>2750</x:v>
      </x:c>
      <x:c r="N94" s="133" t="n">
        <x:v>13</x:v>
      </x:c>
      <x:c r="O94" s="131" t="n">
        <x:f>E94*N94</x:f>
        <x:v>7150</x:v>
      </x:c>
      <x:c r="P94" s="133" t="n">
        <x:v>25</x:v>
      </x:c>
      <x:c r="Q94" s="131" t="n">
        <x:f>E94*P94</x:f>
        <x:v>13750</x:v>
      </x:c>
      <x:c r="R94" s="134" t="str">
        <x:v>Rounded engineering estimate pending supplier quotation.</x:v>
      </x:c>
    </x:row>
    <x:row r="95">
      <x:c r="A95" s="130" t="str">
        <x:v>PR-083</x:v>
      </x:c>
      <x:c r="B95" s="134" t="str">
        <x:v>STMicroelectronics</x:v>
      </x:c>
      <x:c r="C95" s="134" t="str">
        <x:v>LIS2DW12TR</x:v>
      </x:c>
      <x:c r="D95" s="134" t="str">
        <x:v>Motion</x:v>
      </x:c>
      <x:c r="E95" s="131" t="n">
        <x:v>350</x:v>
      </x:c>
      <x:c r="F95" s="130" t="str">
        <x:v>ENGINEERING_BUDGETARY_ESTIMATE</x:v>
      </x:c>
      <x:c r="G95" s="130" t="str"/>
      <x:c r="H95" s="130" t="str">
        <x:v>RUB</x:v>
      </x:c>
      <x:c r="I95" s="130" t="str"/>
      <x:c r="J95" s="132" t="str">
        <x:v>2026-09-18</x:v>
      </x:c>
      <x:c r="K95" s="130" t="str">
        <x:v>LOW</x:v>
      </x:c>
      <x:c r="L95" s="133" t="n">
        <x:v>5</x:v>
      </x:c>
      <x:c r="M95" s="131" t="n">
        <x:f>E95*L95</x:f>
        <x:v>1750</x:v>
      </x:c>
      <x:c r="N95" s="133" t="n">
        <x:v>13</x:v>
      </x:c>
      <x:c r="O95" s="131" t="n">
        <x:f>E95*N95</x:f>
        <x:v>4550</x:v>
      </x:c>
      <x:c r="P95" s="133" t="n">
        <x:v>25</x:v>
      </x:c>
      <x:c r="Q95" s="131" t="n">
        <x:f>E95*P95</x:f>
        <x:v>8750</x:v>
      </x:c>
      <x:c r="R95" s="134" t="str">
        <x:v>Rounded engineering estimate pending supplier quotation.</x:v>
      </x:c>
    </x:row>
    <x:row r="96">
      <x:c r="A96" s="130" t="str">
        <x:v>PR-084</x:v>
      </x:c>
      <x:c r="B96" s="134" t="str">
        <x:v>Texas Instruments</x:v>
      </x:c>
      <x:c r="C96" s="134" t="str">
        <x:v>LM74700QDBVRQ1</x:v>
      </x:c>
      <x:c r="D96" s="134" t="str">
        <x:v>Protection</x:v>
      </x:c>
      <x:c r="E96" s="131" t="n">
        <x:v>600</x:v>
      </x:c>
      <x:c r="F96" s="130" t="str">
        <x:v>ENGINEERING_BUDGETARY_ESTIMATE</x:v>
      </x:c>
      <x:c r="G96" s="130" t="str"/>
      <x:c r="H96" s="130" t="str">
        <x:v>RUB</x:v>
      </x:c>
      <x:c r="I96" s="130" t="str"/>
      <x:c r="J96" s="132" t="str">
        <x:v>2026-09-18</x:v>
      </x:c>
      <x:c r="K96" s="130" t="str">
        <x:v>LOW</x:v>
      </x:c>
      <x:c r="L96" s="133" t="n">
        <x:v>5</x:v>
      </x:c>
      <x:c r="M96" s="131" t="n">
        <x:f>E96*L96</x:f>
        <x:v>3000</x:v>
      </x:c>
      <x:c r="N96" s="133" t="n">
        <x:v>13</x:v>
      </x:c>
      <x:c r="O96" s="131" t="n">
        <x:f>E96*N96</x:f>
        <x:v>7800</x:v>
      </x:c>
      <x:c r="P96" s="133" t="n">
        <x:v>25</x:v>
      </x:c>
      <x:c r="Q96" s="131" t="n">
        <x:f>E96*P96</x:f>
        <x:v>15000</x:v>
      </x:c>
      <x:c r="R96" s="134" t="str">
        <x:v>Rounded engineering estimate pending supplier quotation.</x:v>
      </x:c>
    </x:row>
    <x:row r="97">
      <x:c r="A97" s="130" t="str">
        <x:v>PR-085</x:v>
      </x:c>
      <x:c r="B97" s="134" t="str">
        <x:v>Texas Instruments</x:v>
      </x:c>
      <x:c r="C97" s="134" t="str">
        <x:v>LMR604403SRAKR</x:v>
      </x:c>
      <x:c r="D97" s="134" t="str">
        <x:v>Power</x:v>
      </x:c>
      <x:c r="E97" s="131" t="n">
        <x:v>950</x:v>
      </x:c>
      <x:c r="F97" s="130" t="str">
        <x:v>ENGINEERING_BUDGETARY_ESTIMATE</x:v>
      </x:c>
      <x:c r="G97" s="130" t="str"/>
      <x:c r="H97" s="130" t="str">
        <x:v>RUB</x:v>
      </x:c>
      <x:c r="I97" s="130" t="str"/>
      <x:c r="J97" s="132" t="str">
        <x:v>2026-09-18</x:v>
      </x:c>
      <x:c r="K97" s="130" t="str">
        <x:v>LOW</x:v>
      </x:c>
      <x:c r="L97" s="133" t="n">
        <x:v>10</x:v>
      </x:c>
      <x:c r="M97" s="131" t="n">
        <x:f>E97*L97</x:f>
        <x:v>9500</x:v>
      </x:c>
      <x:c r="N97" s="133" t="n">
        <x:v>26</x:v>
      </x:c>
      <x:c r="O97" s="131" t="n">
        <x:f>E97*N97</x:f>
        <x:v>24700</x:v>
      </x:c>
      <x:c r="P97" s="133" t="n">
        <x:v>50</x:v>
      </x:c>
      <x:c r="Q97" s="131" t="n">
        <x:f>E97*P97</x:f>
        <x:v>47500</x:v>
      </x:c>
      <x:c r="R97" s="134" t="str">
        <x:v>Rounded engineering estimate pending supplier quotation.</x:v>
      </x:c>
    </x:row>
    <x:row r="98">
      <x:c r="A98" s="130" t="str">
        <x:v>PR-086</x:v>
      </x:c>
      <x:c r="B98" s="134" t="str">
        <x:v>Murata</x:v>
      </x:c>
      <x:c r="C98" s="134" t="str">
        <x:v>LQH32PN2R2NN0L</x:v>
      </x:c>
      <x:c r="D98" s="134" t="str">
        <x:v>Inductor</x:v>
      </x:c>
      <x:c r="E98" s="131" t="n">
        <x:v>180</x:v>
      </x:c>
      <x:c r="F98" s="130" t="str">
        <x:v>ENGINEERING_BUDGETARY_ESTIMATE</x:v>
      </x:c>
      <x:c r="G98" s="130" t="str"/>
      <x:c r="H98" s="130" t="str">
        <x:v>RUB</x:v>
      </x:c>
      <x:c r="I98" s="130" t="str"/>
      <x:c r="J98" s="132" t="str">
        <x:v>2026-09-18</x:v>
      </x:c>
      <x:c r="K98" s="130" t="str">
        <x:v>LOW</x:v>
      </x:c>
      <x:c r="L98" s="133" t="n">
        <x:v>4</x:v>
      </x:c>
      <x:c r="M98" s="131" t="n">
        <x:f>E98*L98</x:f>
        <x:v>720</x:v>
      </x:c>
      <x:c r="N98" s="133" t="n">
        <x:v>10</x:v>
      </x:c>
      <x:c r="O98" s="131" t="n">
        <x:f>E98*N98</x:f>
        <x:v>1800</x:v>
      </x:c>
      <x:c r="P98" s="133" t="n">
        <x:v>20</x:v>
      </x:c>
      <x:c r="Q98" s="131" t="n">
        <x:f>E98*P98</x:f>
        <x:v>3600</x:v>
      </x:c>
      <x:c r="R98" s="134" t="str">
        <x:v>Rounded engineering estimate pending supplier quotation.</x:v>
      </x:c>
    </x:row>
    <x:row r="99">
      <x:c r="A99" s="130" t="str">
        <x:v>PR-087</x:v>
      </x:c>
      <x:c r="B99" s="134" t="str">
        <x:v>Murata</x:v>
      </x:c>
      <x:c r="C99" s="134" t="str">
        <x:v>LQW15AN27NJ00D</x:v>
      </x:c>
      <x:c r="D99" s="134" t="str">
        <x:v>Inductor</x:v>
      </x:c>
      <x:c r="E99" s="131" t="n">
        <x:v>180</x:v>
      </x:c>
      <x:c r="F99" s="130" t="str">
        <x:v>ENGINEERING_BUDGETARY_ESTIMATE</x:v>
      </x:c>
      <x:c r="G99" s="130" t="str"/>
      <x:c r="H99" s="130" t="str">
        <x:v>RUB</x:v>
      </x:c>
      <x:c r="I99" s="130" t="str"/>
      <x:c r="J99" s="132" t="str">
        <x:v>2026-09-18</x:v>
      </x:c>
      <x:c r="K99" s="130" t="str">
        <x:v>LOW</x:v>
      </x:c>
      <x:c r="L99" s="133" t="n">
        <x:v>4</x:v>
      </x:c>
      <x:c r="M99" s="131" t="n">
        <x:f>E99*L99</x:f>
        <x:v>720</x:v>
      </x:c>
      <x:c r="N99" s="133" t="n">
        <x:v>10</x:v>
      </x:c>
      <x:c r="O99" s="131" t="n">
        <x:f>E99*N99</x:f>
        <x:v>1800</x:v>
      </x:c>
      <x:c r="P99" s="133" t="n">
        <x:v>20</x:v>
      </x:c>
      <x:c r="Q99" s="131" t="n">
        <x:f>E99*P99</x:f>
        <x:v>3600</x:v>
      </x:c>
      <x:c r="R99" s="134" t="str">
        <x:v>Rounded engineering estimate pending supplier quotation.</x:v>
      </x:c>
    </x:row>
    <x:row r="100">
      <x:c r="A100" s="130" t="str">
        <x:v>PR-088</x:v>
      </x:c>
      <x:c r="B100" s="134" t="str">
        <x:v>Analog Devices</x:v>
      </x:c>
      <x:c r="C100" s="134" t="str">
        <x:v>LT6000IDCB#TRMPBF</x:v>
      </x:c>
      <x:c r="D100" s="134" t="str">
        <x:v>Operational_Amplifier</x:v>
      </x:c>
      <x:c r="E100" s="131" t="n">
        <x:v>650</x:v>
      </x:c>
      <x:c r="F100" s="130" t="str">
        <x:v>ENGINEERING_BUDGETARY_ESTIMATE</x:v>
      </x:c>
      <x:c r="G100" s="130" t="str"/>
      <x:c r="H100" s="130" t="str">
        <x:v>RUB</x:v>
      </x:c>
      <x:c r="I100" s="130" t="str"/>
      <x:c r="J100" s="132" t="str">
        <x:v>2026-09-18</x:v>
      </x:c>
      <x:c r="K100" s="130" t="str">
        <x:v>LOW</x:v>
      </x:c>
      <x:c r="L100" s="133" t="n">
        <x:v>4</x:v>
      </x:c>
      <x:c r="M100" s="131" t="n">
        <x:f>E100*L100</x:f>
        <x:v>2600</x:v>
      </x:c>
      <x:c r="N100" s="133" t="n">
        <x:v>10</x:v>
      </x:c>
      <x:c r="O100" s="131" t="n">
        <x:f>E100*N100</x:f>
        <x:v>6500</x:v>
      </x:c>
      <x:c r="P100" s="133" t="n">
        <x:v>20</x:v>
      </x:c>
      <x:c r="Q100" s="131" t="n">
        <x:f>E100*P100</x:f>
        <x:v>13000</x:v>
      </x:c>
      <x:c r="R100" s="134" t="str">
        <x:v>Rounded engineering estimate pending supplier quotation.</x:v>
      </x:c>
    </x:row>
    <x:row r="101">
      <x:c r="A101" s="130" t="str">
        <x:v>PR-089</x:v>
      </x:c>
      <x:c r="B101" s="134" t="str">
        <x:v>u-blox</x:v>
      </x:c>
      <x:c r="C101" s="134" t="str">
        <x:v>MAX-M10S-00B</x:v>
      </x:c>
      <x:c r="D101" s="134" t="str">
        <x:v>GNSS</x:v>
      </x:c>
      <x:c r="E101" s="131" t="n">
        <x:v>2500</x:v>
      </x:c>
      <x:c r="F101" s="130" t="str">
        <x:v>ENGINEERING_BUDGETARY_ESTIMATE</x:v>
      </x:c>
      <x:c r="G101" s="130" t="str"/>
      <x:c r="H101" s="130" t="str">
        <x:v>RUB</x:v>
      </x:c>
      <x:c r="I101" s="130" t="str"/>
      <x:c r="J101" s="132" t="str">
        <x:v>2026-09-18</x:v>
      </x:c>
      <x:c r="K101" s="130" t="str">
        <x:v>LOW</x:v>
      </x:c>
      <x:c r="L101" s="133" t="n">
        <x:v>5</x:v>
      </x:c>
      <x:c r="M101" s="131" t="n">
        <x:f>E101*L101</x:f>
        <x:v>12500</x:v>
      </x:c>
      <x:c r="N101" s="133" t="n">
        <x:v>13</x:v>
      </x:c>
      <x:c r="O101" s="131" t="n">
        <x:f>E101*N101</x:f>
        <x:v>32500</x:v>
      </x:c>
      <x:c r="P101" s="133" t="n">
        <x:v>25</x:v>
      </x:c>
      <x:c r="Q101" s="131" t="n">
        <x:f>E101*P101</x:f>
        <x:v>62500</x:v>
      </x:c>
      <x:c r="R101" s="134" t="str">
        <x:v>Rounded engineering estimate pending supplier quotation.</x:v>
      </x:c>
    </x:row>
    <x:row r="102">
      <x:c r="A102" s="130" t="str">
        <x:v>PR-090</x:v>
      </x:c>
      <x:c r="B102" s="134" t="str">
        <x:v>Raytac</x:v>
      </x:c>
      <x:c r="C102" s="134" t="str">
        <x:v>MDBT50Q-P1MV2</x:v>
      </x:c>
      <x:c r="D102" s="134" t="str">
        <x:v>BLE</x:v>
      </x:c>
      <x:c r="E102" s="131" t="n">
        <x:v>2200</x:v>
      </x:c>
      <x:c r="F102" s="130" t="str">
        <x:v>ENGINEERING_BUDGETARY_ESTIMATE</x:v>
      </x:c>
      <x:c r="G102" s="130" t="str"/>
      <x:c r="H102" s="130" t="str">
        <x:v>RUB</x:v>
      </x:c>
      <x:c r="I102" s="130" t="str"/>
      <x:c r="J102" s="132" t="str">
        <x:v>2026-09-18</x:v>
      </x:c>
      <x:c r="K102" s="130" t="str">
        <x:v>LOW</x:v>
      </x:c>
      <x:c r="L102" s="133" t="n">
        <x:v>5</x:v>
      </x:c>
      <x:c r="M102" s="131" t="n">
        <x:f>E102*L102</x:f>
        <x:v>11000</x:v>
      </x:c>
      <x:c r="N102" s="133" t="n">
        <x:v>13</x:v>
      </x:c>
      <x:c r="O102" s="131" t="n">
        <x:f>E102*N102</x:f>
        <x:v>28600</x:v>
      </x:c>
      <x:c r="P102" s="133" t="n">
        <x:v>25</x:v>
      </x:c>
      <x:c r="Q102" s="131" t="n">
        <x:f>E102*P102</x:f>
        <x:v>55000</x:v>
      </x:c>
      <x:c r="R102" s="134" t="str">
        <x:v>Rounded engineering estimate pending supplier quotation.</x:v>
      </x:c>
    </x:row>
    <x:row r="103">
      <x:c r="A103" s="130" t="str">
        <x:v>PR-091</x:v>
      </x:c>
      <x:c r="B103" s="134" t="str">
        <x:v>GCT</x:v>
      </x:c>
      <x:c r="C103" s="134" t="str">
        <x:v>MEM2052-00-195-00-A</x:v>
      </x:c>
      <x:c r="D103" s="134" t="str">
        <x:v>Connector</x:v>
      </x:c>
      <x:c r="E103" s="131" t="n">
        <x:v>550</x:v>
      </x:c>
      <x:c r="F103" s="130" t="str">
        <x:v>ENGINEERING_BUDGETARY_ESTIMATE</x:v>
      </x:c>
      <x:c r="G103" s="130" t="str"/>
      <x:c r="H103" s="130" t="str">
        <x:v>RUB</x:v>
      </x:c>
      <x:c r="I103" s="130" t="str"/>
      <x:c r="J103" s="132" t="str">
        <x:v>2026-09-18</x:v>
      </x:c>
      <x:c r="K103" s="130" t="str">
        <x:v>LOW</x:v>
      </x:c>
      <x:c r="L103" s="133" t="n">
        <x:v>5</x:v>
      </x:c>
      <x:c r="M103" s="131" t="n">
        <x:f>E103*L103</x:f>
        <x:v>2750</x:v>
      </x:c>
      <x:c r="N103" s="133" t="n">
        <x:v>13</x:v>
      </x:c>
      <x:c r="O103" s="131" t="n">
        <x:f>E103*N103</x:f>
        <x:v>7150</x:v>
      </x:c>
      <x:c r="P103" s="133" t="n">
        <x:v>25</x:v>
      </x:c>
      <x:c r="Q103" s="131" t="n">
        <x:f>E103*P103</x:f>
        <x:v>13750</x:v>
      </x:c>
      <x:c r="R103" s="134" t="str">
        <x:v>Rounded engineering estimate pending supplier quotation.</x:v>
      </x:c>
    </x:row>
    <x:row r="104">
      <x:c r="A104" s="130" t="str">
        <x:v>PR-092</x:v>
      </x:c>
      <x:c r="B104" s="134" t="str">
        <x:v>Nexperia</x:v>
      </x:c>
      <x:c r="C104" s="134" t="str">
        <x:v>MMBT3904,215</x:v>
      </x:c>
      <x:c r="D104" s="134" t="str">
        <x:v>Transistor</x:v>
      </x:c>
      <x:c r="E104" s="131" t="n">
        <x:v>30</x:v>
      </x:c>
      <x:c r="F104" s="130" t="str">
        <x:v>ENGINEERING_BUDGETARY_ESTIMATE</x:v>
      </x:c>
      <x:c r="G104" s="130" t="str"/>
      <x:c r="H104" s="130" t="str">
        <x:v>RUB</x:v>
      </x:c>
      <x:c r="I104" s="130" t="str"/>
      <x:c r="J104" s="132" t="str">
        <x:v>2026-09-18</x:v>
      </x:c>
      <x:c r="K104" s="130" t="str">
        <x:v>LOW</x:v>
      </x:c>
      <x:c r="L104" s="133" t="n">
        <x:v>15</x:v>
      </x:c>
      <x:c r="M104" s="131" t="n">
        <x:f>E104*L104</x:f>
        <x:v>450</x:v>
      </x:c>
      <x:c r="N104" s="133" t="n">
        <x:v>39</x:v>
      </x:c>
      <x:c r="O104" s="131" t="n">
        <x:f>E104*N104</x:f>
        <x:v>1170</x:v>
      </x:c>
      <x:c r="P104" s="133" t="n">
        <x:v>75</x:v>
      </x:c>
      <x:c r="Q104" s="131" t="n">
        <x:f>E104*P104</x:f>
        <x:v>2250</x:v>
      </x:c>
      <x:c r="R104" s="134" t="str">
        <x:v>Rounded engineering estimate pending supplier quotation.</x:v>
      </x:c>
    </x:row>
    <x:row r="105">
      <x:c r="A105" s="130" t="str">
        <x:v>PR-093</x:v>
      </x:c>
      <x:c r="B105" s="134" t="str">
        <x:v>TDK InvenSense</x:v>
      </x:c>
      <x:c r="C105" s="134" t="str">
        <x:v>MMICT5838-00-012</x:v>
      </x:c>
      <x:c r="D105" s="134" t="str">
        <x:v>Microphone</x:v>
      </x:c>
      <x:c r="E105" s="131" t="n">
        <x:v>500</x:v>
      </x:c>
      <x:c r="F105" s="130" t="str">
        <x:v>ENGINEERING_BUDGETARY_ESTIMATE</x:v>
      </x:c>
      <x:c r="G105" s="130" t="str"/>
      <x:c r="H105" s="130" t="str">
        <x:v>RUB</x:v>
      </x:c>
      <x:c r="I105" s="130" t="str"/>
      <x:c r="J105" s="132" t="str">
        <x:v>2026-09-18</x:v>
      </x:c>
      <x:c r="K105" s="130" t="str">
        <x:v>LOW</x:v>
      </x:c>
      <x:c r="L105" s="133" t="n">
        <x:v>20</x:v>
      </x:c>
      <x:c r="M105" s="131" t="n">
        <x:f>E105*L105</x:f>
        <x:v>10000</x:v>
      </x:c>
      <x:c r="N105" s="133" t="n">
        <x:v>48</x:v>
      </x:c>
      <x:c r="O105" s="131" t="n">
        <x:f>E105*N105</x:f>
        <x:v>24000</x:v>
      </x:c>
      <x:c r="P105" s="133" t="n">
        <x:v>96</x:v>
      </x:c>
      <x:c r="Q105" s="131" t="n">
        <x:f>E105*P105</x:f>
        <x:v>48000</x:v>
      </x:c>
      <x:c r="R105" s="134" t="str">
        <x:v>Rounded engineering estimate pending supplier quotation.</x:v>
      </x:c>
    </x:row>
    <x:row r="106">
      <x:c r="A106" s="130" t="str">
        <x:v>PR-094</x:v>
      </x:c>
      <x:c r="B106" s="134" t="str">
        <x:v>PCB fabrication</x:v>
      </x:c>
      <x:c r="C106" s="134" t="str">
        <x:v>NET_TIE_COPPER_REV_A</x:v>
      </x:c>
      <x:c r="D106" s="134" t="str">
        <x:v>PCB feature</x:v>
      </x:c>
      <x:c r="E106" s="131" t="n">
        <x:v>0</x:v>
      </x:c>
      <x:c r="F106" s="130" t="str">
        <x:v>ENGINEERING_BUDGETARY_ESTIMATE</x:v>
      </x:c>
      <x:c r="G106" s="130" t="str"/>
      <x:c r="H106" s="130" t="str">
        <x:v>RUB</x:v>
      </x:c>
      <x:c r="I106" s="130" t="str"/>
      <x:c r="J106" s="132" t="str">
        <x:v>2026-09-18</x:v>
      </x:c>
      <x:c r="K106" s="130" t="str">
        <x:v>LOW</x:v>
      </x:c>
      <x:c r="L106" s="133" t="n">
        <x:v>12</x:v>
      </x:c>
      <x:c r="M106" s="131" t="n">
        <x:f>E106*L106</x:f>
        <x:v>0</x:v>
      </x:c>
      <x:c r="N106" s="133" t="n">
        <x:v>30</x:v>
      </x:c>
      <x:c r="O106" s="131" t="n">
        <x:f>E106*N106</x:f>
        <x:v>0</x:v>
      </x:c>
      <x:c r="P106" s="133" t="n">
        <x:v>60</x:v>
      </x:c>
      <x:c r="Q106" s="131" t="n">
        <x:f>E106*P106</x:f>
        <x:v>0</x:v>
      </x:c>
      <x:c r="R106" s="134" t="str">
        <x:v>Rounded engineering estimate pending supplier quotation.</x:v>
      </x:c>
    </x:row>
    <x:row r="107">
      <x:c r="A107" s="130" t="str">
        <x:v>PR-095</x:v>
      </x:c>
      <x:c r="B107" s="134" t="str">
        <x:v>Nexperia</x:v>
      </x:c>
      <x:c r="C107" s="134" t="str">
        <x:v>PESD5V0C1BSF</x:v>
      </x:c>
      <x:c r="D107" s="134" t="str">
        <x:v>RF_ESD</x:v>
      </x:c>
      <x:c r="E107" s="131" t="n">
        <x:v>120</x:v>
      </x:c>
      <x:c r="F107" s="130" t="str">
        <x:v>ENGINEERING_BUDGETARY_ESTIMATE</x:v>
      </x:c>
      <x:c r="G107" s="130" t="str"/>
      <x:c r="H107" s="130" t="str">
        <x:v>RUB</x:v>
      </x:c>
      <x:c r="I107" s="130" t="str"/>
      <x:c r="J107" s="132" t="str">
        <x:v>2026-09-18</x:v>
      </x:c>
      <x:c r="K107" s="130" t="str">
        <x:v>LOW</x:v>
      </x:c>
      <x:c r="L107" s="133" t="n">
        <x:v>8</x:v>
      </x:c>
      <x:c r="M107" s="131" t="n">
        <x:f>E107*L107</x:f>
        <x:v>960</x:v>
      </x:c>
      <x:c r="N107" s="133" t="n">
        <x:v>20</x:v>
      </x:c>
      <x:c r="O107" s="131" t="n">
        <x:f>E107*N107</x:f>
        <x:v>2400</x:v>
      </x:c>
      <x:c r="P107" s="133" t="n">
        <x:v>40</x:v>
      </x:c>
      <x:c r="Q107" s="131" t="n">
        <x:f>E107*P107</x:f>
        <x:v>4800</x:v>
      </x:c>
      <x:c r="R107" s="134" t="str">
        <x:v>Rounded engineering estimate pending supplier quotation.</x:v>
      </x:c>
    </x:row>
    <x:row r="108">
      <x:c r="A108" s="130" t="str">
        <x:v>PR-096</x:v>
      </x:c>
      <x:c r="B108" s="134" t="str">
        <x:v>Nexperia</x:v>
      </x:c>
      <x:c r="C108" s="134" t="str">
        <x:v>PESD5V0S1UL</x:v>
      </x:c>
      <x:c r="D108" s="134" t="str">
        <x:v>Supply_TVS</x:v>
      </x:c>
      <x:c r="E108" s="131" t="n">
        <x:v>100</x:v>
      </x:c>
      <x:c r="F108" s="130" t="str">
        <x:v>ENGINEERING_BUDGETARY_ESTIMATE</x:v>
      </x:c>
      <x:c r="G108" s="130" t="str"/>
      <x:c r="H108" s="130" t="str">
        <x:v>RUB</x:v>
      </x:c>
      <x:c r="I108" s="130" t="str"/>
      <x:c r="J108" s="132" t="str">
        <x:v>2026-09-18</x:v>
      </x:c>
      <x:c r="K108" s="130" t="str">
        <x:v>LOW</x:v>
      </x:c>
      <x:c r="L108" s="133" t="n">
        <x:v>8</x:v>
      </x:c>
      <x:c r="M108" s="131" t="n">
        <x:f>E108*L108</x:f>
        <x:v>800</x:v>
      </x:c>
      <x:c r="N108" s="133" t="n">
        <x:v>20</x:v>
      </x:c>
      <x:c r="O108" s="131" t="n">
        <x:f>E108*N108</x:f>
        <x:v>2000</x:v>
      </x:c>
      <x:c r="P108" s="133" t="n">
        <x:v>40</x:v>
      </x:c>
      <x:c r="Q108" s="131" t="n">
        <x:f>E108*P108</x:f>
        <x:v>4000</x:v>
      </x:c>
      <x:c r="R108" s="134" t="str">
        <x:v>Rounded engineering estimate pending supplier quotation.</x:v>
      </x:c>
    </x:row>
    <x:row r="109">
      <x:c r="A109" s="130" t="str">
        <x:v>PR-097</x:v>
      </x:c>
      <x:c r="B109" s="134" t="str">
        <x:v>RELiON</x:v>
      </x:c>
      <x:c r="C109" s="134" t="str">
        <x:v>RB40</x:v>
      </x:c>
      <x:c r="D109" s="134" t="str">
        <x:v>Battery</x:v>
      </x:c>
      <x:c r="E109" s="131" t="n">
        <x:v>60000</x:v>
      </x:c>
      <x:c r="F109" s="130" t="str">
        <x:v>PUBLIC_MANUFACTURER_PRICE</x:v>
      </x:c>
      <x:c r="G109" s="130" t="str">
        <x:v>$479.95</x:v>
      </x:c>
      <x:c r="H109" s="130" t="str">
        <x:v>USD</x:v>
      </x:c>
      <x:c r="I109" s="130" t="str">
        <x:v>https://relionbattery.com/products/lithium/rb40</x:v>
      </x:c>
      <x:c r="J109" s="132" t="str">
        <x:v>2026-09-18</x:v>
      </x:c>
      <x:c r="K109" s="130" t="str">
        <x:v>MEDIUM</x:v>
      </x:c>
      <x:c r="L109" s="133" t="n">
        <x:v>5</x:v>
      </x:c>
      <x:c r="M109" s="131" t="n">
        <x:f>E109*L109</x:f>
        <x:v>300000</x:v>
      </x:c>
      <x:c r="N109" s="133" t="n">
        <x:v>11</x:v>
      </x:c>
      <x:c r="O109" s="131" t="n">
        <x:f>E109*N109</x:f>
        <x:v>660000</x:v>
      </x:c>
      <x:c r="P109" s="133" t="n">
        <x:v>21</x:v>
      </x:c>
      <x:c r="Q109" s="131" t="n">
        <x:f>E109*P109</x:f>
        <x:v>1260000</x:v>
      </x:c>
      <x:c r="R109" s="134" t="str">
        <x:v>Published price converted to a rounded landed-RUB planning value; final cart/quote controls.</x:v>
      </x:c>
    </x:row>
    <x:row r="110">
      <x:c r="A110" s="130" t="str">
        <x:v>PR-098</x:v>
      </x:c>
      <x:c r="B110" s="134" t="str">
        <x:v>Victron Energy</x:v>
      </x:c>
      <x:c r="C110" s="134" t="str">
        <x:v>SBS050150200</x:v>
      </x:c>
      <x:c r="D110" s="134" t="str">
        <x:v>Sensor</x:v>
      </x:c>
      <x:c r="E110" s="131" t="n">
        <x:v>4900</x:v>
      </x:c>
      <x:c r="F110" s="130" t="str">
        <x:v>PUBLIC_DISTRIBUTOR_PRICE</x:v>
      </x:c>
      <x:c r="G110" s="130" t="str">
        <x:v>$39.10</x:v>
      </x:c>
      <x:c r="H110" s="130" t="str">
        <x:v>USD</x:v>
      </x:c>
      <x:c r="I110" s="130" t="str">
        <x:v>https://www.invertersupply.com/index.php?main_page=product_info&amp;products_id=194069</x:v>
      </x:c>
      <x:c r="J110" s="132" t="str">
        <x:v>2026-09-18</x:v>
      </x:c>
      <x:c r="K110" s="130" t="str">
        <x:v>MEDIUM</x:v>
      </x:c>
      <x:c r="L110" s="133" t="n">
        <x:v>5</x:v>
      </x:c>
      <x:c r="M110" s="131" t="n">
        <x:f>E110*L110</x:f>
        <x:v>24500</x:v>
      </x:c>
      <x:c r="N110" s="133" t="n">
        <x:v>11</x:v>
      </x:c>
      <x:c r="O110" s="131" t="n">
        <x:f>E110*N110</x:f>
        <x:v>53900</x:v>
      </x:c>
      <x:c r="P110" s="133" t="n">
        <x:v>21</x:v>
      </x:c>
      <x:c r="Q110" s="131" t="n">
        <x:f>E110*P110</x:f>
        <x:v>102900</x:v>
      </x:c>
      <x:c r="R110" s="134" t="str">
        <x:v>Published price converted to a rounded landed-RUB planning value; final cart/quote controls.</x:v>
      </x:c>
    </x:row>
    <x:row r="111">
      <x:c r="A111" s="130" t="str">
        <x:v>PR-099</x:v>
      </x:c>
      <x:c r="B111" s="134" t="str">
        <x:v>Victron Energy</x:v>
      </x:c>
      <x:c r="C111" s="134" t="str">
        <x:v>SCC075010060R</x:v>
      </x:c>
      <x:c r="D111" s="134" t="str">
        <x:v>Controller</x:v>
      </x:c>
      <x:c r="E111" s="131" t="n">
        <x:v>8200</x:v>
      </x:c>
      <x:c r="F111" s="130" t="str">
        <x:v>PUBLIC_DISTRIBUTOR_PRICE</x:v>
      </x:c>
      <x:c r="G111" s="130" t="str">
        <x:v>$65.45</x:v>
      </x:c>
      <x:c r="H111" s="130" t="str">
        <x:v>USD</x:v>
      </x:c>
      <x:c r="I111" s="130" t="str">
        <x:v>https://www.invertersupply.com/index.php?main_page=product_info&amp;products_id=31070</x:v>
      </x:c>
      <x:c r="J111" s="132" t="str">
        <x:v>2026-09-18</x:v>
      </x:c>
      <x:c r="K111" s="130" t="str">
        <x:v>MEDIUM</x:v>
      </x:c>
      <x:c r="L111" s="133" t="n">
        <x:v>5</x:v>
      </x:c>
      <x:c r="M111" s="131" t="n">
        <x:f>E111*L111</x:f>
        <x:v>41000</x:v>
      </x:c>
      <x:c r="N111" s="133" t="n">
        <x:v>11</x:v>
      </x:c>
      <x:c r="O111" s="131" t="n">
        <x:f>E111*N111</x:f>
        <x:v>90200</x:v>
      </x:c>
      <x:c r="P111" s="133" t="n">
        <x:v>21</x:v>
      </x:c>
      <x:c r="Q111" s="131" t="n">
        <x:f>E111*P111</x:f>
        <x:v>172200</x:v>
      </x:c>
      <x:c r="R111" s="134" t="str">
        <x:v>Published price converted to a rounded landed-RUB planning value; final cart/quote controls.</x:v>
      </x:c>
    </x:row>
    <x:row r="112">
      <x:c r="A112" s="130" t="str">
        <x:v>PR-100</x:v>
      </x:c>
      <x:c r="B112" s="134" t="str">
        <x:v>Kingston</x:v>
      </x:c>
      <x:c r="C112" s="134" t="str">
        <x:v>SDCIT2/32GB</x:v>
      </x:c>
      <x:c r="D112" s="134" t="str">
        <x:v>Storage</x:v>
      </x:c>
      <x:c r="E112" s="131" t="n">
        <x:v>2600</x:v>
      </x:c>
      <x:c r="F112" s="130" t="str">
        <x:v>ENGINEERING_BUDGETARY_ESTIMATE</x:v>
      </x:c>
      <x:c r="G112" s="130" t="str"/>
      <x:c r="H112" s="130" t="str">
        <x:v>RUB</x:v>
      </x:c>
      <x:c r="I112" s="130" t="str"/>
      <x:c r="J112" s="132" t="str">
        <x:v>2026-09-18</x:v>
      </x:c>
      <x:c r="K112" s="130" t="str">
        <x:v>LOW</x:v>
      </x:c>
      <x:c r="L112" s="133" t="n">
        <x:v>5</x:v>
      </x:c>
      <x:c r="M112" s="131" t="n">
        <x:f>E112*L112</x:f>
        <x:v>13000</x:v>
      </x:c>
      <x:c r="N112" s="133" t="n">
        <x:v>13</x:v>
      </x:c>
      <x:c r="O112" s="131" t="n">
        <x:f>E112*N112</x:f>
        <x:v>33800</x:v>
      </x:c>
      <x:c r="P112" s="133" t="n">
        <x:v>25</x:v>
      </x:c>
      <x:c r="Q112" s="131" t="n">
        <x:f>E112*P112</x:f>
        <x:v>65000</x:v>
      </x:c>
      <x:c r="R112" s="134" t="str">
        <x:v>Rounded engineering estimate pending supplier quotation.</x:v>
      </x:c>
    </x:row>
    <x:row r="113">
      <x:c r="A113" s="130" t="str">
        <x:v>PR-101</x:v>
      </x:c>
      <x:c r="B113" s="134" t="str">
        <x:v>SLD Tech / Solarland</x:v>
      </x:c>
      <x:c r="C113" s="134" t="str">
        <x:v>SLP080S-12M</x:v>
      </x:c>
      <x:c r="D113" s="134" t="str">
        <x:v>Solar panel</x:v>
      </x:c>
      <x:c r="E113" s="131" t="n">
        <x:v>22200</x:v>
      </x:c>
      <x:c r="F113" s="130" t="str">
        <x:v>PUBLIC_DISTRIBUTOR_PRICE</x:v>
      </x:c>
      <x:c r="G113" s="130" t="str">
        <x:v>$177.63</x:v>
      </x:c>
      <x:c r="H113" s="130" t="str">
        <x:v>USD</x:v>
      </x:c>
      <x:c r="I113" s="130" t="str">
        <x:v>https://www.mrsolar.com/solarland-slp080-12m-80w-12v-skinny-solar-panel-w-pro-charge-jbox/</x:v>
      </x:c>
      <x:c r="J113" s="132" t="str">
        <x:v>2026-09-18</x:v>
      </x:c>
      <x:c r="K113" s="130" t="str">
        <x:v>MEDIUM</x:v>
      </x:c>
      <x:c r="L113" s="133" t="n">
        <x:v>5</x:v>
      </x:c>
      <x:c r="M113" s="131" t="n">
        <x:f>E113*L113</x:f>
        <x:v>111000</x:v>
      </x:c>
      <x:c r="N113" s="133" t="n">
        <x:v>11</x:v>
      </x:c>
      <x:c r="O113" s="131" t="n">
        <x:f>E113*N113</x:f>
        <x:v>244200</x:v>
      </x:c>
      <x:c r="P113" s="133" t="n">
        <x:v>21</x:v>
      </x:c>
      <x:c r="Q113" s="131" t="n">
        <x:f>E113*P113</x:f>
        <x:v>466200</x:v>
      </x:c>
      <x:c r="R113" s="134" t="str">
        <x:v>Published price converted to a rounded landed-RUB planning value; final cart/quote controls.</x:v>
      </x:c>
    </x:row>
    <x:row r="114">
      <x:c r="A114" s="130" t="str">
        <x:v>PR-102</x:v>
      </x:c>
      <x:c r="B114" s="134" t="str">
        <x:v>Littelfuse</x:v>
      </x:c>
      <x:c r="C114" s="134" t="str">
        <x:v>SMBJ18A</x:v>
      </x:c>
      <x:c r="D114" s="134" t="str">
        <x:v>Protection</x:v>
      </x:c>
      <x:c r="E114" s="131" t="n">
        <x:v>120</x:v>
      </x:c>
      <x:c r="F114" s="130" t="str">
        <x:v>ENGINEERING_BUDGETARY_ESTIMATE</x:v>
      </x:c>
      <x:c r="G114" s="130" t="str"/>
      <x:c r="H114" s="130" t="str">
        <x:v>RUB</x:v>
      </x:c>
      <x:c r="I114" s="130" t="str"/>
      <x:c r="J114" s="132" t="str">
        <x:v>2026-09-18</x:v>
      </x:c>
      <x:c r="K114" s="130" t="str">
        <x:v>LOW</x:v>
      </x:c>
      <x:c r="L114" s="133" t="n">
        <x:v>5</x:v>
      </x:c>
      <x:c r="M114" s="131" t="n">
        <x:f>E114*L114</x:f>
        <x:v>600</x:v>
      </x:c>
      <x:c r="N114" s="133" t="n">
        <x:v>13</x:v>
      </x:c>
      <x:c r="O114" s="131" t="n">
        <x:f>E114*N114</x:f>
        <x:v>1560</x:v>
      </x:c>
      <x:c r="P114" s="133" t="n">
        <x:v>25</x:v>
      </x:c>
      <x:c r="Q114" s="131" t="n">
        <x:f>E114*P114</x:f>
        <x:v>3000</x:v>
      </x:c>
      <x:c r="R114" s="134" t="str">
        <x:v>Rounded engineering estimate pending supplier quotation.</x:v>
      </x:c>
    </x:row>
    <x:row r="115">
      <x:c r="A115" s="130" t="str">
        <x:v>PR-103</x:v>
      </x:c>
      <x:c r="B115" s="134" t="str">
        <x:v>Texas Instruments</x:v>
      </x:c>
      <x:c r="C115" s="134" t="str">
        <x:v>SN74AXC1T45DRLR</x:v>
      </x:c>
      <x:c r="D115" s="134" t="str">
        <x:v>Logic</x:v>
      </x:c>
      <x:c r="E115" s="131" t="n">
        <x:v>180</x:v>
      </x:c>
      <x:c r="F115" s="130" t="str">
        <x:v>ENGINEERING_BUDGETARY_ESTIMATE</x:v>
      </x:c>
      <x:c r="G115" s="130" t="str"/>
      <x:c r="H115" s="130" t="str">
        <x:v>RUB</x:v>
      </x:c>
      <x:c r="I115" s="130" t="str"/>
      <x:c r="J115" s="132" t="str">
        <x:v>2026-09-18</x:v>
      </x:c>
      <x:c r="K115" s="130" t="str">
        <x:v>LOW</x:v>
      </x:c>
      <x:c r="L115" s="133" t="n">
        <x:v>5</x:v>
      </x:c>
      <x:c r="M115" s="131" t="n">
        <x:f>E115*L115</x:f>
        <x:v>900</x:v>
      </x:c>
      <x:c r="N115" s="133" t="n">
        <x:v>13</x:v>
      </x:c>
      <x:c r="O115" s="131" t="n">
        <x:f>E115*N115</x:f>
        <x:v>2340</x:v>
      </x:c>
      <x:c r="P115" s="133" t="n">
        <x:v>25</x:v>
      </x:c>
      <x:c r="Q115" s="131" t="n">
        <x:f>E115*P115</x:f>
        <x:v>4500</x:v>
      </x:c>
      <x:c r="R115" s="134" t="str">
        <x:v>Rounded engineering estimate pending supplier quotation.</x:v>
      </x:c>
    </x:row>
    <x:row r="116">
      <x:c r="A116" s="130" t="str">
        <x:v>PR-104</x:v>
      </x:c>
      <x:c r="B116" s="134" t="str">
        <x:v>Texas Instruments</x:v>
      </x:c>
      <x:c r="C116" s="134" t="str">
        <x:v>SN74AXC8T245PWR</x:v>
      </x:c>
      <x:c r="D116" s="134" t="str">
        <x:v>Level translator | Logic</x:v>
      </x:c>
      <x:c r="E116" s="131" t="n">
        <x:v>600</x:v>
      </x:c>
      <x:c r="F116" s="130" t="str">
        <x:v>ENGINEERING_BUDGETARY_ESTIMATE</x:v>
      </x:c>
      <x:c r="G116" s="130" t="str"/>
      <x:c r="H116" s="130" t="str">
        <x:v>RUB</x:v>
      </x:c>
      <x:c r="I116" s="130" t="str"/>
      <x:c r="J116" s="132" t="str">
        <x:v>2026-09-18</x:v>
      </x:c>
      <x:c r="K116" s="130" t="str">
        <x:v>LOW</x:v>
      </x:c>
      <x:c r="L116" s="133" t="n">
        <x:v>10</x:v>
      </x:c>
      <x:c r="M116" s="131" t="n">
        <x:f>E116*L116</x:f>
        <x:v>6000</x:v>
      </x:c>
      <x:c r="N116" s="133" t="n">
        <x:v>26</x:v>
      </x:c>
      <x:c r="O116" s="131" t="n">
        <x:f>E116*N116</x:f>
        <x:v>15600</x:v>
      </x:c>
      <x:c r="P116" s="133" t="n">
        <x:v>50</x:v>
      </x:c>
      <x:c r="Q116" s="131" t="n">
        <x:f>E116*P116</x:f>
        <x:v>30000</x:v>
      </x:c>
      <x:c r="R116" s="134" t="str">
        <x:v>Rounded engineering estimate pending supplier quotation.</x:v>
      </x:c>
    </x:row>
    <x:row r="117">
      <x:c r="A117" s="130" t="str">
        <x:v>PR-105</x:v>
      </x:c>
      <x:c r="B117" s="134" t="str">
        <x:v>Texas Instruments</x:v>
      </x:c>
      <x:c r="C117" s="134" t="str">
        <x:v>SN74LVC1G07DBVR</x:v>
      </x:c>
      <x:c r="D117" s="134" t="str">
        <x:v>Open_Drain_Buffer</x:v>
      </x:c>
      <x:c r="E117" s="131" t="n">
        <x:v>100</x:v>
      </x:c>
      <x:c r="F117" s="130" t="str">
        <x:v>ENGINEERING_BUDGETARY_ESTIMATE</x:v>
      </x:c>
      <x:c r="G117" s="130" t="str"/>
      <x:c r="H117" s="130" t="str">
        <x:v>RUB</x:v>
      </x:c>
      <x:c r="I117" s="130" t="str"/>
      <x:c r="J117" s="132" t="str">
        <x:v>2026-09-18</x:v>
      </x:c>
      <x:c r="K117" s="130" t="str">
        <x:v>LOW</x:v>
      </x:c>
      <x:c r="L117" s="133" t="n">
        <x:v>4</x:v>
      </x:c>
      <x:c r="M117" s="131" t="n">
        <x:f>E117*L117</x:f>
        <x:v>400</x:v>
      </x:c>
      <x:c r="N117" s="133" t="n">
        <x:v>10</x:v>
      </x:c>
      <x:c r="O117" s="131" t="n">
        <x:f>E117*N117</x:f>
        <x:v>1000</x:v>
      </x:c>
      <x:c r="P117" s="133" t="n">
        <x:v>20</x:v>
      </x:c>
      <x:c r="Q117" s="131" t="n">
        <x:f>E117*P117</x:f>
        <x:v>2000</x:v>
      </x:c>
      <x:c r="R117" s="134" t="str">
        <x:v>Rounded engineering estimate pending supplier quotation.</x:v>
      </x:c>
    </x:row>
    <x:row r="118">
      <x:c r="A118" s="130" t="str">
        <x:v>PR-106</x:v>
      </x:c>
      <x:c r="B118" s="134" t="str">
        <x:v>Texas Instruments</x:v>
      </x:c>
      <x:c r="C118" s="134" t="str">
        <x:v>SN74LVC32APWR</x:v>
      </x:c>
      <x:c r="D118" s="134" t="str">
        <x:v>Logic</x:v>
      </x:c>
      <x:c r="E118" s="131" t="n">
        <x:v>220</x:v>
      </x:c>
      <x:c r="F118" s="130" t="str">
        <x:v>ENGINEERING_BUDGETARY_ESTIMATE</x:v>
      </x:c>
      <x:c r="G118" s="130" t="str"/>
      <x:c r="H118" s="130" t="str">
        <x:v>RUB</x:v>
      </x:c>
      <x:c r="I118" s="130" t="str"/>
      <x:c r="J118" s="132" t="str">
        <x:v>2026-09-18</x:v>
      </x:c>
      <x:c r="K118" s="130" t="str">
        <x:v>LOW</x:v>
      </x:c>
      <x:c r="L118" s="133" t="n">
        <x:v>5</x:v>
      </x:c>
      <x:c r="M118" s="131" t="n">
        <x:f>E118*L118</x:f>
        <x:v>1100</x:v>
      </x:c>
      <x:c r="N118" s="133" t="n">
        <x:v>13</x:v>
      </x:c>
      <x:c r="O118" s="131" t="n">
        <x:f>E118*N118</x:f>
        <x:v>2860</x:v>
      </x:c>
      <x:c r="P118" s="133" t="n">
        <x:v>25</x:v>
      </x:c>
      <x:c r="Q118" s="131" t="n">
        <x:f>E118*P118</x:f>
        <x:v>5500</x:v>
      </x:c>
      <x:c r="R118" s="134" t="str">
        <x:v>Rounded engineering estimate pending supplier quotation.</x:v>
      </x:c>
    </x:row>
    <x:row r="119">
      <x:c r="A119" s="130" t="str">
        <x:v>PR-107</x:v>
      </x:c>
      <x:c r="B119" s="134" t="str">
        <x:v>STMicroelectronics</x:v>
      </x:c>
      <x:c r="C119" s="134" t="str">
        <x:v>STM32U585VIT6Q</x:v>
      </x:c>
      <x:c r="D119" s="134" t="str">
        <x:v>MCU</x:v>
      </x:c>
      <x:c r="E119" s="131" t="n">
        <x:v>2500</x:v>
      </x:c>
      <x:c r="F119" s="130" t="str">
        <x:v>ENGINEERING_BUDGETARY_ESTIMATE</x:v>
      </x:c>
      <x:c r="G119" s="130" t="str"/>
      <x:c r="H119" s="130" t="str">
        <x:v>RUB</x:v>
      </x:c>
      <x:c r="I119" s="130" t="str"/>
      <x:c r="J119" s="132" t="str">
        <x:v>2026-09-18</x:v>
      </x:c>
      <x:c r="K119" s="130" t="str">
        <x:v>LOW</x:v>
      </x:c>
      <x:c r="L119" s="133" t="n">
        <x:v>5</x:v>
      </x:c>
      <x:c r="M119" s="131" t="n">
        <x:f>E119*L119</x:f>
        <x:v>12500</x:v>
      </x:c>
      <x:c r="N119" s="133" t="n">
        <x:v>13</x:v>
      </x:c>
      <x:c r="O119" s="131" t="n">
        <x:f>E119*N119</x:f>
        <x:v>32500</x:v>
      </x:c>
      <x:c r="P119" s="133" t="n">
        <x:v>25</x:v>
      </x:c>
      <x:c r="Q119" s="131" t="n">
        <x:f>E119*P119</x:f>
        <x:v>62500</x:v>
      </x:c>
      <x:c r="R119" s="134" t="str">
        <x:v>Rounded engineering estimate pending supplier quotation.</x:v>
      </x:c>
    </x:row>
    <x:row r="120">
      <x:c r="A120" s="130" t="str">
        <x:v>PR-108</x:v>
      </x:c>
      <x:c r="B120" s="134" t="str">
        <x:v>STMicroelectronics</x:v>
      </x:c>
      <x:c r="C120" s="134" t="str">
        <x:v>STTS22HTR</x:v>
      </x:c>
      <x:c r="D120" s="134" t="str">
        <x:v>Temperature</x:v>
      </x:c>
      <x:c r="E120" s="131" t="n">
        <x:v>250</x:v>
      </x:c>
      <x:c r="F120" s="130" t="str">
        <x:v>ENGINEERING_BUDGETARY_ESTIMATE</x:v>
      </x:c>
      <x:c r="G120" s="130" t="str"/>
      <x:c r="H120" s="130" t="str">
        <x:v>RUB</x:v>
      </x:c>
      <x:c r="I120" s="130" t="str"/>
      <x:c r="J120" s="132" t="str">
        <x:v>2026-09-18</x:v>
      </x:c>
      <x:c r="K120" s="130" t="str">
        <x:v>LOW</x:v>
      </x:c>
      <x:c r="L120" s="133" t="n">
        <x:v>5</x:v>
      </x:c>
      <x:c r="M120" s="131" t="n">
        <x:f>E120*L120</x:f>
        <x:v>1250</x:v>
      </x:c>
      <x:c r="N120" s="133" t="n">
        <x:v>13</x:v>
      </x:c>
      <x:c r="O120" s="131" t="n">
        <x:f>E120*N120</x:f>
        <x:v>3250</x:v>
      </x:c>
      <x:c r="P120" s="133" t="n">
        <x:v>25</x:v>
      </x:c>
      <x:c r="Q120" s="131" t="n">
        <x:f>E120*P120</x:f>
        <x:v>6250</x:v>
      </x:c>
      <x:c r="R120" s="134" t="str">
        <x:v>Rounded engineering estimate pending supplier quotation.</x:v>
      </x:c>
    </x:row>
    <x:row r="121">
      <x:c r="A121" s="130" t="str">
        <x:v>PR-109</x:v>
      </x:c>
      <x:c r="B121" s="134" t="str">
        <x:v>Vishay</x:v>
      </x:c>
      <x:c r="C121" s="134" t="str">
        <x:v>Si1016X-T1-GE3</x:v>
      </x:c>
      <x:c r="D121" s="134" t="str">
        <x:v>Dual_MOSFET</x:v>
      </x:c>
      <x:c r="E121" s="131" t="n">
        <x:v>180</x:v>
      </x:c>
      <x:c r="F121" s="130" t="str">
        <x:v>ENGINEERING_BUDGETARY_ESTIMATE</x:v>
      </x:c>
      <x:c r="G121" s="130" t="str"/>
      <x:c r="H121" s="130" t="str">
        <x:v>RUB</x:v>
      </x:c>
      <x:c r="I121" s="130" t="str"/>
      <x:c r="J121" s="132" t="str">
        <x:v>2026-09-18</x:v>
      </x:c>
      <x:c r="K121" s="130" t="str">
        <x:v>LOW</x:v>
      </x:c>
      <x:c r="L121" s="133" t="n">
        <x:v>4</x:v>
      </x:c>
      <x:c r="M121" s="131" t="n">
        <x:f>E121*L121</x:f>
        <x:v>720</x:v>
      </x:c>
      <x:c r="N121" s="133" t="n">
        <x:v>10</x:v>
      </x:c>
      <x:c r="O121" s="131" t="n">
        <x:f>E121*N121</x:f>
        <x:v>1800</x:v>
      </x:c>
      <x:c r="P121" s="133" t="n">
        <x:v>20</x:v>
      </x:c>
      <x:c r="Q121" s="131" t="n">
        <x:f>E121*P121</x:f>
        <x:v>3600</x:v>
      </x:c>
      <x:c r="R121" s="134" t="str">
        <x:v>Rounded engineering estimate pending supplier quotation.</x:v>
      </x:c>
    </x:row>
    <x:row r="122">
      <x:c r="A122" s="130" t="str">
        <x:v>PR-110</x:v>
      </x:c>
      <x:c r="B122" s="134" t="str">
        <x:v>SiTime</x:v>
      </x:c>
      <x:c r="C122" s="134" t="str">
        <x:v>SiT1552AI-JE-DCC-32.768D</x:v>
      </x:c>
      <x:c r="D122" s="134" t="str">
        <x:v>Clock</x:v>
      </x:c>
      <x:c r="E122" s="131" t="n">
        <x:v>500</x:v>
      </x:c>
      <x:c r="F122" s="130" t="str">
        <x:v>ENGINEERING_BUDGETARY_ESTIMATE</x:v>
      </x:c>
      <x:c r="G122" s="130" t="str"/>
      <x:c r="H122" s="130" t="str">
        <x:v>RUB</x:v>
      </x:c>
      <x:c r="I122" s="130" t="str"/>
      <x:c r="J122" s="132" t="str">
        <x:v>2026-09-18</x:v>
      </x:c>
      <x:c r="K122" s="130" t="str">
        <x:v>LOW</x:v>
      </x:c>
      <x:c r="L122" s="133" t="n">
        <x:v>5</x:v>
      </x:c>
      <x:c r="M122" s="131" t="n">
        <x:f>E122*L122</x:f>
        <x:v>2500</x:v>
      </x:c>
      <x:c r="N122" s="133" t="n">
        <x:v>13</x:v>
      </x:c>
      <x:c r="O122" s="131" t="n">
        <x:f>E122*N122</x:f>
        <x:v>6500</x:v>
      </x:c>
      <x:c r="P122" s="133" t="n">
        <x:v>25</x:v>
      </x:c>
      <x:c r="Q122" s="131" t="n">
        <x:f>E122*P122</x:f>
        <x:v>12500</x:v>
      </x:c>
      <x:c r="R122" s="134" t="str">
        <x:v>Rounded engineering estimate pending supplier quotation.</x:v>
      </x:c>
    </x:row>
    <x:row r="123">
      <x:c r="A123" s="130" t="str">
        <x:v>PR-111</x:v>
      </x:c>
      <x:c r="B123" s="134" t="str">
        <x:v>KEMET</x:v>
      </x:c>
      <x:c r="C123" s="134" t="str">
        <x:v>T520D107M006ATE015</x:v>
      </x:c>
      <x:c r="D123" s="134" t="str">
        <x:v>Capacitor</x:v>
      </x:c>
      <x:c r="E123" s="131" t="n">
        <x:v>300</x:v>
      </x:c>
      <x:c r="F123" s="130" t="str">
        <x:v>ENGINEERING_BUDGETARY_ESTIMATE</x:v>
      </x:c>
      <x:c r="G123" s="130" t="str"/>
      <x:c r="H123" s="130" t="str">
        <x:v>RUB</x:v>
      </x:c>
      <x:c r="I123" s="130" t="str"/>
      <x:c r="J123" s="132" t="str">
        <x:v>2026-09-18</x:v>
      </x:c>
      <x:c r="K123" s="130" t="str">
        <x:v>LOW</x:v>
      </x:c>
      <x:c r="L123" s="133" t="n">
        <x:v>8</x:v>
      </x:c>
      <x:c r="M123" s="131" t="n">
        <x:f>E123*L123</x:f>
        <x:v>2400</x:v>
      </x:c>
      <x:c r="N123" s="133" t="n">
        <x:v>20</x:v>
      </x:c>
      <x:c r="O123" s="131" t="n">
        <x:f>E123*N123</x:f>
        <x:v>6000</x:v>
      </x:c>
      <x:c r="P123" s="133" t="n">
        <x:v>40</x:v>
      </x:c>
      <x:c r="Q123" s="131" t="n">
        <x:f>E123*P123</x:f>
        <x:v>12000</x:v>
      </x:c>
      <x:c r="R123" s="134" t="str">
        <x:v>Rounded engineering estimate pending supplier quotation.</x:v>
      </x:c>
    </x:row>
    <x:row r="124">
      <x:c r="A124" s="130" t="str">
        <x:v>PR-112</x:v>
      </x:c>
      <x:c r="B124" s="134" t="str">
        <x:v>Taoglas</x:v>
      </x:c>
      <x:c r="C124" s="134" t="str">
        <x:v>TI.89.B.2111W</x:v>
      </x:c>
      <x:c r="D124" s="134" t="str">
        <x:v>Antenna</x:v>
      </x:c>
      <x:c r="E124" s="131" t="n">
        <x:v>1350</x:v>
      </x:c>
      <x:c r="F124" s="130" t="str">
        <x:v>PUBLIC_DISTRIBUTOR_PRICE</x:v>
      </x:c>
      <x:c r="G124" s="130" t="str">
        <x:v>EUR 9.673 at qty 10</x:v>
      </x:c>
      <x:c r="H124" s="130" t="str">
        <x:v>EUR</x:v>
      </x:c>
      <x:c r="I124" s="130" t="str">
        <x:v>https://www.digikey.ee/</x:v>
      </x:c>
      <x:c r="J124" s="132" t="str">
        <x:v>2026-09-18</x:v>
      </x:c>
      <x:c r="K124" s="130" t="str">
        <x:v>MEDIUM</x:v>
      </x:c>
      <x:c r="L124" s="133" t="n">
        <x:v>5</x:v>
      </x:c>
      <x:c r="M124" s="131" t="n">
        <x:f>E124*L124</x:f>
        <x:v>6750</x:v>
      </x:c>
      <x:c r="N124" s="133" t="n">
        <x:v>11</x:v>
      </x:c>
      <x:c r="O124" s="131" t="n">
        <x:f>E124*N124</x:f>
        <x:v>14850</x:v>
      </x:c>
      <x:c r="P124" s="133" t="n">
        <x:v>22</x:v>
      </x:c>
      <x:c r="Q124" s="131" t="n">
        <x:f>E124*P124</x:f>
        <x:v>29700</x:v>
      </x:c>
      <x:c r="R124" s="134" t="str">
        <x:v>Published price converted to a rounded landed-RUB planning value; final cart/quote controls.</x:v>
      </x:c>
    </x:row>
    <x:row r="125">
      <x:c r="A125" s="130" t="str">
        <x:v>PR-113</x:v>
      </x:c>
      <x:c r="B125" s="134" t="str">
        <x:v>Texas Instruments</x:v>
      </x:c>
      <x:c r="C125" s="134" t="str">
        <x:v>TPD1E05U06DYAR</x:v>
      </x:c>
      <x:c r="D125" s="134" t="str">
        <x:v>ESD_Diode</x:v>
      </x:c>
      <x:c r="E125" s="131" t="n">
        <x:v>100</x:v>
      </x:c>
      <x:c r="F125" s="130" t="str">
        <x:v>ENGINEERING_BUDGETARY_ESTIMATE</x:v>
      </x:c>
      <x:c r="G125" s="130" t="str"/>
      <x:c r="H125" s="130" t="str">
        <x:v>RUB</x:v>
      </x:c>
      <x:c r="I125" s="130" t="str"/>
      <x:c r="J125" s="132" t="str">
        <x:v>2026-09-18</x:v>
      </x:c>
      <x:c r="K125" s="130" t="str">
        <x:v>LOW</x:v>
      </x:c>
      <x:c r="L125" s="133" t="n">
        <x:v>24</x:v>
      </x:c>
      <x:c r="M125" s="131" t="n">
        <x:f>E125*L125</x:f>
        <x:v>2400</x:v>
      </x:c>
      <x:c r="N125" s="133" t="n">
        <x:v>60</x:v>
      </x:c>
      <x:c r="O125" s="131" t="n">
        <x:f>E125*N125</x:f>
        <x:v>6000</x:v>
      </x:c>
      <x:c r="P125" s="133" t="n">
        <x:v>120</x:v>
      </x:c>
      <x:c r="Q125" s="131" t="n">
        <x:f>E125*P125</x:f>
        <x:v>12000</x:v>
      </x:c>
      <x:c r="R125" s="134" t="str">
        <x:v>Rounded engineering estimate pending supplier quotation.</x:v>
      </x:c>
    </x:row>
    <x:row r="126">
      <x:c r="A126" s="130" t="str">
        <x:v>PR-114</x:v>
      </x:c>
      <x:c r="B126" s="134" t="str">
        <x:v>Texas Instruments</x:v>
      </x:c>
      <x:c r="C126" s="134" t="str">
        <x:v>TPD1E05U06DYAR</x:v>
      </x:c>
      <x:c r="D126" s="134" t="str">
        <x:v>RF_ESD</x:v>
      </x:c>
      <x:c r="E126" s="131" t="n">
        <x:v>100</x:v>
      </x:c>
      <x:c r="F126" s="130" t="str">
        <x:v>ENGINEERING_BUDGETARY_ESTIMATE</x:v>
      </x:c>
      <x:c r="G126" s="130" t="str"/>
      <x:c r="H126" s="130" t="str">
        <x:v>RUB</x:v>
      </x:c>
      <x:c r="I126" s="130" t="str"/>
      <x:c r="J126" s="132" t="str">
        <x:v>2026-09-18</x:v>
      </x:c>
      <x:c r="K126" s="130" t="str">
        <x:v>LOW</x:v>
      </x:c>
      <x:c r="L126" s="133" t="n">
        <x:v>4</x:v>
      </x:c>
      <x:c r="M126" s="131" t="n">
        <x:f>E126*L126</x:f>
        <x:v>400</x:v>
      </x:c>
      <x:c r="N126" s="133" t="n">
        <x:v>10</x:v>
      </x:c>
      <x:c r="O126" s="131" t="n">
        <x:f>E126*N126</x:f>
        <x:v>1000</x:v>
      </x:c>
      <x:c r="P126" s="133" t="n">
        <x:v>20</x:v>
      </x:c>
      <x:c r="Q126" s="131" t="n">
        <x:f>E126*P126</x:f>
        <x:v>2000</x:v>
      </x:c>
      <x:c r="R126" s="134" t="str">
        <x:v>Rounded engineering estimate pending supplier quotation.</x:v>
      </x:c>
    </x:row>
    <x:row r="127">
      <x:c r="A127" s="130" t="str">
        <x:v>PR-115</x:v>
      </x:c>
      <x:c r="B127" s="134" t="str">
        <x:v>Texas Instruments</x:v>
      </x:c>
      <x:c r="C127" s="134" t="str">
        <x:v>TPD2EUSB30DRTR</x:v>
      </x:c>
      <x:c r="D127" s="134" t="str">
        <x:v>USB_ESD_Array</x:v>
      </x:c>
      <x:c r="E127" s="131" t="n">
        <x:v>180</x:v>
      </x:c>
      <x:c r="F127" s="130" t="str">
        <x:v>ENGINEERING_BUDGETARY_ESTIMATE</x:v>
      </x:c>
      <x:c r="G127" s="130" t="str"/>
      <x:c r="H127" s="130" t="str">
        <x:v>RUB</x:v>
      </x:c>
      <x:c r="I127" s="130" t="str"/>
      <x:c r="J127" s="132" t="str">
        <x:v>2026-09-18</x:v>
      </x:c>
      <x:c r="K127" s="130" t="str">
        <x:v>LOW</x:v>
      </x:c>
      <x:c r="L127" s="133" t="n">
        <x:v>8</x:v>
      </x:c>
      <x:c r="M127" s="131" t="n">
        <x:f>E127*L127</x:f>
        <x:v>1440</x:v>
      </x:c>
      <x:c r="N127" s="133" t="n">
        <x:v>20</x:v>
      </x:c>
      <x:c r="O127" s="131" t="n">
        <x:f>E127*N127</x:f>
        <x:v>3600</x:v>
      </x:c>
      <x:c r="P127" s="133" t="n">
        <x:v>40</x:v>
      </x:c>
      <x:c r="Q127" s="131" t="n">
        <x:f>E127*P127</x:f>
        <x:v>7200</x:v>
      </x:c>
      <x:c r="R127" s="134" t="str">
        <x:v>Rounded engineering estimate pending supplier quotation.</x:v>
      </x:c>
    </x:row>
    <x:row r="128">
      <x:c r="A128" s="130" t="str">
        <x:v>PR-116</x:v>
      </x:c>
      <x:c r="B128" s="134" t="str">
        <x:v>Texas Instruments</x:v>
      </x:c>
      <x:c r="C128" s="134" t="str">
        <x:v>TPD4E05U06DQAR</x:v>
      </x:c>
      <x:c r="D128" s="134" t="str">
        <x:v>ESD_Array</x:v>
      </x:c>
      <x:c r="E128" s="131" t="n">
        <x:v>250</x:v>
      </x:c>
      <x:c r="F128" s="130" t="str">
        <x:v>ENGINEERING_BUDGETARY_ESTIMATE</x:v>
      </x:c>
      <x:c r="G128" s="130" t="str"/>
      <x:c r="H128" s="130" t="str">
        <x:v>RUB</x:v>
      </x:c>
      <x:c r="I128" s="130" t="str"/>
      <x:c r="J128" s="132" t="str">
        <x:v>2026-09-18</x:v>
      </x:c>
      <x:c r="K128" s="130" t="str">
        <x:v>LOW</x:v>
      </x:c>
      <x:c r="L128" s="133" t="n">
        <x:v>28</x:v>
      </x:c>
      <x:c r="M128" s="131" t="n">
        <x:f>E128*L128</x:f>
        <x:v>7000</x:v>
      </x:c>
      <x:c r="N128" s="133" t="n">
        <x:v>70</x:v>
      </x:c>
      <x:c r="O128" s="131" t="n">
        <x:f>E128*N128</x:f>
        <x:v>17500</x:v>
      </x:c>
      <x:c r="P128" s="133" t="n">
        <x:v>140</x:v>
      </x:c>
      <x:c r="Q128" s="131" t="n">
        <x:f>E128*P128</x:f>
        <x:v>35000</x:v>
      </x:c>
      <x:c r="R128" s="134" t="str">
        <x:v>Rounded engineering estimate pending supplier quotation.</x:v>
      </x:c>
    </x:row>
    <x:row r="129">
      <x:c r="A129" s="130" t="str">
        <x:v>PR-117</x:v>
      </x:c>
      <x:c r="B129" s="134" t="str">
        <x:v>Texas Instruments</x:v>
      </x:c>
      <x:c r="C129" s="134" t="str">
        <x:v>TPS7A2018PDBVR</x:v>
      </x:c>
      <x:c r="D129" s="134" t="str">
        <x:v>Power</x:v>
      </x:c>
      <x:c r="E129" s="131" t="n">
        <x:v>160</x:v>
      </x:c>
      <x:c r="F129" s="130" t="str">
        <x:v>ENGINEERING_BUDGETARY_ESTIMATE</x:v>
      </x:c>
      <x:c r="G129" s="130" t="str"/>
      <x:c r="H129" s="130" t="str">
        <x:v>RUB</x:v>
      </x:c>
      <x:c r="I129" s="130" t="str"/>
      <x:c r="J129" s="132" t="str">
        <x:v>2026-09-18</x:v>
      </x:c>
      <x:c r="K129" s="130" t="str">
        <x:v>LOW</x:v>
      </x:c>
      <x:c r="L129" s="133" t="n">
        <x:v>5</x:v>
      </x:c>
      <x:c r="M129" s="131" t="n">
        <x:f>E129*L129</x:f>
        <x:v>800</x:v>
      </x:c>
      <x:c r="N129" s="133" t="n">
        <x:v>13</x:v>
      </x:c>
      <x:c r="O129" s="131" t="n">
        <x:f>E129*N129</x:f>
        <x:v>2080</x:v>
      </x:c>
      <x:c r="P129" s="133" t="n">
        <x:v>25</x:v>
      </x:c>
      <x:c r="Q129" s="131" t="n">
        <x:f>E129*P129</x:f>
        <x:v>4000</x:v>
      </x:c>
      <x:c r="R129" s="134" t="str">
        <x:v>Rounded engineering estimate pending supplier quotation.</x:v>
      </x:c>
    </x:row>
    <x:row r="130">
      <x:c r="A130" s="130" t="str">
        <x:v>PR-118</x:v>
      </x:c>
      <x:c r="B130" s="134" t="str">
        <x:v>Texas Instruments</x:v>
      </x:c>
      <x:c r="C130" s="134" t="str">
        <x:v>TS3A27518EPWR</x:v>
      </x:c>
      <x:c r="D130" s="134" t="str">
        <x:v>SIM switch</x:v>
      </x:c>
      <x:c r="E130" s="131" t="n">
        <x:v>550</x:v>
      </x:c>
      <x:c r="F130" s="130" t="str">
        <x:v>ENGINEERING_BUDGETARY_ESTIMATE</x:v>
      </x:c>
      <x:c r="G130" s="130" t="str"/>
      <x:c r="H130" s="130" t="str">
        <x:v>RUB</x:v>
      </x:c>
      <x:c r="I130" s="130" t="str"/>
      <x:c r="J130" s="132" t="str">
        <x:v>2026-09-18</x:v>
      </x:c>
      <x:c r="K130" s="130" t="str">
        <x:v>LOW</x:v>
      </x:c>
      <x:c r="L130" s="133" t="n">
        <x:v>5</x:v>
      </x:c>
      <x:c r="M130" s="131" t="n">
        <x:f>E130*L130</x:f>
        <x:v>2750</x:v>
      </x:c>
      <x:c r="N130" s="133" t="n">
        <x:v>13</x:v>
      </x:c>
      <x:c r="O130" s="131" t="n">
        <x:f>E130*N130</x:f>
        <x:v>7150</x:v>
      </x:c>
      <x:c r="P130" s="133" t="n">
        <x:v>25</x:v>
      </x:c>
      <x:c r="Q130" s="131" t="n">
        <x:f>E130*P130</x:f>
        <x:v>13750</x:v>
      </x:c>
      <x:c r="R130" s="134" t="str">
        <x:v>Rounded engineering estimate pending supplier quotation.</x:v>
      </x:c>
    </x:row>
    <x:row r="131">
      <x:c r="A131" s="130" t="str">
        <x:v>PR-119</x:v>
      </x:c>
      <x:c r="B131" s="134" t="str">
        <x:v>Hirose</x:v>
      </x:c>
      <x:c r="C131" s="134" t="str">
        <x:v>U.FL-R-SMT-1(60)</x:v>
      </x:c>
      <x:c r="D131" s="134" t="str">
        <x:v>RF connector</x:v>
      </x:c>
      <x:c r="E131" s="131" t="n">
        <x:v>250</x:v>
      </x:c>
      <x:c r="F131" s="130" t="str">
        <x:v>ENGINEERING_BUDGETARY_ESTIMATE</x:v>
      </x:c>
      <x:c r="G131" s="130" t="str"/>
      <x:c r="H131" s="130" t="str">
        <x:v>RUB</x:v>
      </x:c>
      <x:c r="I131" s="130" t="str"/>
      <x:c r="J131" s="132" t="str">
        <x:v>2026-09-18</x:v>
      </x:c>
      <x:c r="K131" s="130" t="str">
        <x:v>LOW</x:v>
      </x:c>
      <x:c r="L131" s="133" t="n">
        <x:v>12</x:v>
      </x:c>
      <x:c r="M131" s="131" t="n">
        <x:f>E131*L131</x:f>
        <x:v>3000</x:v>
      </x:c>
      <x:c r="N131" s="133" t="n">
        <x:v>28</x:v>
      </x:c>
      <x:c r="O131" s="131" t="n">
        <x:f>E131*N131</x:f>
        <x:v>7000</x:v>
      </x:c>
      <x:c r="P131" s="133" t="n">
        <x:v>56</x:v>
      </x:c>
      <x:c r="Q131" s="131" t="n">
        <x:f>E131*P131</x:f>
        <x:v>14000</x:v>
      </x:c>
      <x:c r="R131" s="134" t="str">
        <x:v>Rounded engineering estimate pending supplier quotation.</x:v>
      </x:c>
    </x:row>
    <x:row r="132">
      <x:c r="A132" s="130" t="str">
        <x:v>PR-120</x:v>
      </x:c>
      <x:c r="B132" s="134" t="str">
        <x:v>Hirose</x:v>
      </x:c>
      <x:c r="C132" s="134" t="str">
        <x:v>U.FL-R-SMT-1(60)</x:v>
      </x:c>
      <x:c r="D132" s="134" t="str">
        <x:v>RF connector</x:v>
      </x:c>
      <x:c r="E132" s="131" t="n">
        <x:v>250</x:v>
      </x:c>
      <x:c r="F132" s="130" t="str">
        <x:v>ENGINEERING_BUDGETARY_ESTIMATE</x:v>
      </x:c>
      <x:c r="G132" s="130" t="str"/>
      <x:c r="H132" s="130" t="str">
        <x:v>RUB</x:v>
      </x:c>
      <x:c r="I132" s="130" t="str"/>
      <x:c r="J132" s="132" t="str">
        <x:v>2026-09-18</x:v>
      </x:c>
      <x:c r="K132" s="130" t="str">
        <x:v>LOW</x:v>
      </x:c>
      <x:c r="L132" s="133" t="n">
        <x:v>6</x:v>
      </x:c>
      <x:c r="M132" s="131" t="n">
        <x:f>E132*L132</x:f>
        <x:v>1500</x:v>
      </x:c>
      <x:c r="N132" s="133" t="n">
        <x:v>14</x:v>
      </x:c>
      <x:c r="O132" s="131" t="n">
        <x:f>E132*N132</x:f>
        <x:v>3500</x:v>
      </x:c>
      <x:c r="P132" s="133" t="n">
        <x:v>28</x:v>
      </x:c>
      <x:c r="Q132" s="131" t="n">
        <x:f>E132*P132</x:f>
        <x:v>7000</x:v>
      </x:c>
      <x:c r="R132" s="134" t="str">
        <x:v>Rounded engineering estimate pending supplier quotation.</x:v>
      </x:c>
    </x:row>
    <x:row r="133">
      <x:c r="A133" s="130" t="str">
        <x:v>PR-121</x:v>
      </x:c>
      <x:c r="B133" s="134" t="str">
        <x:v>GCT</x:v>
      </x:c>
      <x:c r="C133" s="134" t="str">
        <x:v>USB4105-GF-A-120</x:v>
      </x:c>
      <x:c r="D133" s="134" t="str">
        <x:v>Connector</x:v>
      </x:c>
      <x:c r="E133" s="131" t="n">
        <x:v>650</x:v>
      </x:c>
      <x:c r="F133" s="130" t="str">
        <x:v>ENGINEERING_BUDGETARY_ESTIMATE</x:v>
      </x:c>
      <x:c r="G133" s="130" t="str"/>
      <x:c r="H133" s="130" t="str">
        <x:v>RUB</x:v>
      </x:c>
      <x:c r="I133" s="130" t="str"/>
      <x:c r="J133" s="132" t="str">
        <x:v>2026-09-18</x:v>
      </x:c>
      <x:c r="K133" s="130" t="str">
        <x:v>LOW</x:v>
      </x:c>
      <x:c r="L133" s="133" t="n">
        <x:v>5</x:v>
      </x:c>
      <x:c r="M133" s="131" t="n">
        <x:f>E133*L133</x:f>
        <x:v>3250</x:v>
      </x:c>
      <x:c r="N133" s="133" t="n">
        <x:v>13</x:v>
      </x:c>
      <x:c r="O133" s="131" t="n">
        <x:f>E133*N133</x:f>
        <x:v>8450</x:v>
      </x:c>
      <x:c r="P133" s="133" t="n">
        <x:v>25</x:v>
      </x:c>
      <x:c r="Q133" s="131" t="n">
        <x:f>E133*P133</x:f>
        <x:v>16250</x:v>
      </x:c>
      <x:c r="R133" s="134" t="str">
        <x:v>Rounded engineering estimate pending supplier quotation.</x:v>
      </x:c>
    </x:row>
    <x:row r="134">
      <x:c r="A134" s="130" t="str">
        <x:v>PR-122</x:v>
      </x:c>
      <x:c r="B134" s="134" t="str">
        <x:v>Winbond</x:v>
      </x:c>
      <x:c r="C134" s="134" t="str">
        <x:v>W25Q512JVFIQ</x:v>
      </x:c>
      <x:c r="D134" s="134" t="str">
        <x:v>Memory</x:v>
      </x:c>
      <x:c r="E134" s="131" t="n">
        <x:v>800</x:v>
      </x:c>
      <x:c r="F134" s="130" t="str">
        <x:v>ENGINEERING_BUDGETARY_ESTIMATE</x:v>
      </x:c>
      <x:c r="G134" s="130" t="str"/>
      <x:c r="H134" s="130" t="str">
        <x:v>RUB</x:v>
      </x:c>
      <x:c r="I134" s="130" t="str"/>
      <x:c r="J134" s="132" t="str">
        <x:v>2026-09-18</x:v>
      </x:c>
      <x:c r="K134" s="130" t="str">
        <x:v>LOW</x:v>
      </x:c>
      <x:c r="L134" s="133" t="n">
        <x:v>5</x:v>
      </x:c>
      <x:c r="M134" s="131" t="n">
        <x:f>E134*L134</x:f>
        <x:v>4000</x:v>
      </x:c>
      <x:c r="N134" s="133" t="n">
        <x:v>13</x:v>
      </x:c>
      <x:c r="O134" s="131" t="n">
        <x:f>E134*N134</x:f>
        <x:v>10400</x:v>
      </x:c>
      <x:c r="P134" s="133" t="n">
        <x:v>25</x:v>
      </x:c>
      <x:c r="Q134" s="131" t="n">
        <x:f>E134*P134</x:f>
        <x:v>20000</x:v>
      </x:c>
      <x:c r="R134" s="134" t="str">
        <x:v>Rounded engineering estimate pending supplier quotation.</x:v>
      </x:c>
    </x:row>
    <x:row r="135">
      <x:c r="A135" s="130" t="str">
        <x:v>PR-123</x:v>
      </x:c>
      <x:c r="B135" s="134" t="str">
        <x:v>Vishay Dale</x:v>
      </x:c>
      <x:c r="C135" s="134" t="str">
        <x:v>WSK2512R0100FEA</x:v>
      </x:c>
      <x:c r="D135" s="134" t="str">
        <x:v>Shunt</x:v>
      </x:c>
      <x:c r="E135" s="131" t="n">
        <x:v>450</x:v>
      </x:c>
      <x:c r="F135" s="130" t="str">
        <x:v>ENGINEERING_BUDGETARY_ESTIMATE</x:v>
      </x:c>
      <x:c r="G135" s="130" t="str"/>
      <x:c r="H135" s="130" t="str">
        <x:v>RUB</x:v>
      </x:c>
      <x:c r="I135" s="130" t="str"/>
      <x:c r="J135" s="132" t="str">
        <x:v>2026-09-18</x:v>
      </x:c>
      <x:c r="K135" s="130" t="str">
        <x:v>LOW</x:v>
      </x:c>
      <x:c r="L135" s="133" t="n">
        <x:v>6</x:v>
      </x:c>
      <x:c r="M135" s="131" t="n">
        <x:f>E135*L135</x:f>
        <x:v>2700</x:v>
      </x:c>
      <x:c r="N135" s="133" t="n">
        <x:v>15</x:v>
      </x:c>
      <x:c r="O135" s="131" t="n">
        <x:f>E135*N135</x:f>
        <x:v>6750</x:v>
      </x:c>
      <x:c r="P135" s="133" t="n">
        <x:v>30</x:v>
      </x:c>
      <x:c r="Q135" s="131" t="n">
        <x:f>E135*P135</x:f>
        <x:v>13500</x:v>
      </x:c>
      <x:c r="R135" s="134" t="str">
        <x:v>Rounded engineering estimate pending supplier quotation.</x:v>
      </x:c>
    </x:row>
    <x:row r="136">
      <x:c r="A136" s="130" t="str">
        <x:v>PR-124</x:v>
      </x:c>
      <x:c r="B136" s="134" t="str">
        <x:v>Coilcraft</x:v>
      </x:c>
      <x:c r="C136" s="134" t="str">
        <x:v>XAL7030-472MEC</x:v>
      </x:c>
      <x:c r="D136" s="134" t="str">
        <x:v>Passive</x:v>
      </x:c>
      <x:c r="E136" s="131" t="n">
        <x:v>420</x:v>
      </x:c>
      <x:c r="F136" s="130" t="str">
        <x:v>ENGINEERING_BUDGETARY_ESTIMATE</x:v>
      </x:c>
      <x:c r="G136" s="130" t="str"/>
      <x:c r="H136" s="130" t="str">
        <x:v>RUB</x:v>
      </x:c>
      <x:c r="I136" s="130" t="str"/>
      <x:c r="J136" s="132" t="str">
        <x:v>2026-09-18</x:v>
      </x:c>
      <x:c r="K136" s="130" t="str">
        <x:v>LOW</x:v>
      </x:c>
      <x:c r="L136" s="133" t="n">
        <x:v>18</x:v>
      </x:c>
      <x:c r="M136" s="131" t="n">
        <x:f>E136*L136</x:f>
        <x:v>7560</x:v>
      </x:c>
      <x:c r="N136" s="133" t="n">
        <x:v>30</x:v>
      </x:c>
      <x:c r="O136" s="131" t="n">
        <x:f>E136*N136</x:f>
        <x:v>12600</x:v>
      </x:c>
      <x:c r="P136" s="133" t="n">
        <x:v>50</x:v>
      </x:c>
      <x:c r="Q136" s="131" t="n">
        <x:f>E136*P136</x:f>
        <x:v>21000</x:v>
      </x:c>
      <x:c r="R136" s="134" t="str">
        <x:v>Rounded engineering estimate pending supplier quotation.</x:v>
      </x:c>
    </x:row>
  </x:sheetData>
  <x:mergeCells>
    <x:mergeCell ref="A2:R2"/>
    <x:mergeCell ref="A5:R5"/>
  </x:mergeCells>
  <x:conditionalFormatting sqref="F13:F136">
    <x:cfRule type="expression" dxfId="7" priority="1">
      <x:formula>F13="ENGINEERING_BUDGETARY_ESTIMATE"</x:formula>
    </x:cfRule>
  </x:conditionalFormatting>
  <x:conditionalFormatting sqref="K13:K136">
    <x:cfRule type="expression" dxfId="8" priority="2">
      <x:formula>K13="LOW"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0c0f8a011c44450"/>
  </x:tableParts>
</x:worksheet>
</file>