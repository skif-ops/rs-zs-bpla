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a11c28390543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2a04400071047ca"/>
    <x:sheet xmlns:r="http://schemas.openxmlformats.org/officeDocument/2006/relationships" name="Procurement" sheetId="2" r:id="R570a8e38c19c40ba"/>
    <x:sheet xmlns:r="http://schemas.openxmlformats.org/officeDocument/2006/relationships" name="Engineering BOM" sheetId="3" r:id="R87137cd7919b4b62"/>
    <x:sheet xmlns:r="http://schemas.openxmlformats.org/officeDocument/2006/relationships" name="RFQ" sheetId="4" r:id="R632e2102b1134e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</x:fills>
  <x:borders count="2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d0cd1602834406" /><Relationship Type="http://schemas.openxmlformats.org/officeDocument/2006/relationships/theme" Target="/xl/theme/theme1.xml" Id="Reeb5e2a1991f4b13" /><Relationship Type="http://schemas.openxmlformats.org/officeDocument/2006/relationships/sharedStrings" Target="/xl/sharedStrings.xml" Id="R5aeb8f04fcd24354" /><Relationship Type="http://schemas.openxmlformats.org/officeDocument/2006/relationships/worksheet" Target="/xl/worksheets/sheet1.xml" Id="R92a04400071047ca" /><Relationship Type="http://schemas.openxmlformats.org/officeDocument/2006/relationships/worksheet" Target="/xl/worksheets/sheet2.xml" Id="R570a8e38c19c40ba" /><Relationship Type="http://schemas.openxmlformats.org/officeDocument/2006/relationships/worksheet" Target="/xl/worksheets/sheet3.xml" Id="R87137cd7919b4b62" /><Relationship Type="http://schemas.openxmlformats.org/officeDocument/2006/relationships/worksheet" Target="/xl/worksheets/sheet4.xml" Id="R632e2102b1134eec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0" headerRowCount="1" totalsRowCount="0" totalsRowShown="0"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bf73224a0e4c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b4af2bb92324d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e30c3eb350a4e0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33" t="n">
        <x:v>20</x:v>
      </x:c>
      <x:c r="B8" s="34" t="n">
        <x:f>SUMIF('Engineering BOM'!$A$2:$A$294,"ASM-MAIN",'Engineering BOM'!$P$2:$P$294)</x:f>
        <x:v>20</x:v>
      </x:c>
      <x:c r="C8" s="34" t="n">
        <x:f>SUMIF('Engineering BOM'!$A$2:$A$294,"ASM-PWR",'Engineering BOM'!$P$2:$P$294)</x:f>
        <x:v>20</x:v>
      </x:c>
      <x:c r="D8" s="34" t="n">
        <x:f>SUMIF('Engineering BOM'!$A$2:$A$294,"ASM-MIC",'Engineering BOM'!$P$2:$P$294)</x:f>
        <x:v>80</x:v>
      </x:c>
      <x:c r="E8" s="34" t="n">
        <x:f>SUMIF('Engineering BOM'!$A$2:$A$294,"MK1",'Engineering BOM'!$P$2:$P$294)</x:f>
        <x:v>80</x:v>
      </x:c>
      <x:c r="F8" s="35" t="n">
        <x:f>SUMIF('Engineering BOM'!$A$2:$A$294,"HSG-VC",'Engineering BOM'!$P$2:$P$294)</x:f>
        <x:v>20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ba7a886ccb56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surge/fuse coordination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2-layer 2 oz candidate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2-layer 2 oz candidate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CONTROLLED_PENDING_VERIFICATION</x:v>
      </x:c>
      <x:c r="W30" s="14" t="str">
        <x:v>SELECTED_PENDING_INCOMING_ID_AND_POST_ASSEMBLY_EVT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85bf73224a0e4c4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2-layer 2 oz candidate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2-layer 2 oz candidate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Final copper weight by current calculation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4b4af2bb92324d0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1" t="n">
        <x:v>5</x:v>
      </x:c>
      <x:c r="G2" s="81" t="n">
        <x:v>13</x:v>
      </x:c>
      <x:c r="H2" s="81" t="n">
        <x:v>25</x:v>
      </x:c>
      <x:c r="I2" s="81" t="str">
        <x:v>Authorized distributor</x:v>
      </x:c>
      <x:c r="J2" s="81"/>
      <x:c r="K2" s="81"/>
      <x:c r="L2" s="81"/>
      <x:c r="M2" s="81"/>
      <x:c r="N2" s="81"/>
      <x:c r="O2" s="81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1" t="n">
        <x:v>20</x:v>
      </x:c>
      <x:c r="G3" s="81" t="n">
        <x:v>48</x:v>
      </x:c>
      <x:c r="H3" s="81" t="n">
        <x:v>96</x:v>
      </x:c>
      <x:c r="I3" s="81" t="str">
        <x:v>Authorized distributor</x:v>
      </x:c>
      <x:c r="J3" s="81"/>
      <x:c r="K3" s="81"/>
      <x:c r="L3" s="81"/>
      <x:c r="M3" s="81"/>
      <x:c r="N3" s="81"/>
      <x:c r="O3" s="81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1" t="n">
        <x:v>5</x:v>
      </x:c>
      <x:c r="G4" s="81" t="n">
        <x:v>13</x:v>
      </x:c>
      <x:c r="H4" s="81" t="n">
        <x:v>25</x:v>
      </x:c>
      <x:c r="I4" s="81" t="str">
        <x:v>Quectel authorized channel</x:v>
      </x:c>
      <x:c r="J4" s="81"/>
      <x:c r="K4" s="81"/>
      <x:c r="L4" s="81"/>
      <x:c r="M4" s="81"/>
      <x:c r="N4" s="81"/>
      <x:c r="O4" s="81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1" t="n">
        <x:v>5</x:v>
      </x:c>
      <x:c r="G5" s="81" t="n">
        <x:v>13</x:v>
      </x:c>
      <x:c r="H5" s="81" t="n">
        <x:v>25</x:v>
      </x:c>
      <x:c r="I5" s="81" t="str">
        <x:v>Authorized distributor</x:v>
      </x:c>
      <x:c r="J5" s="81"/>
      <x:c r="K5" s="81"/>
      <x:c r="L5" s="81"/>
      <x:c r="M5" s="81"/>
      <x:c r="N5" s="81"/>
      <x:c r="O5" s="81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1" t="n">
        <x:v>6</x:v>
      </x:c>
      <x:c r="G6" s="81" t="n">
        <x:v>13</x:v>
      </x:c>
      <x:c r="H6" s="81" t="n">
        <x:v>26</x:v>
      </x:c>
      <x:c r="I6" s="81" t="str">
        <x:v>Ebyte official or authorized</x:v>
      </x:c>
      <x:c r="J6" s="81"/>
      <x:c r="K6" s="81"/>
      <x:c r="L6" s="81"/>
      <x:c r="M6" s="81"/>
      <x:c r="N6" s="81"/>
      <x:c r="O6" s="81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1" t="n">
        <x:v>5</x:v>
      </x:c>
      <x:c r="G7" s="81" t="n">
        <x:v>13</x:v>
      </x:c>
      <x:c r="H7" s="81" t="n">
        <x:v>25</x:v>
      </x:c>
      <x:c r="I7" s="81" t="str">
        <x:v>Raytac authorized or traceable distributor</x:v>
      </x:c>
      <x:c r="J7" s="81"/>
      <x:c r="K7" s="81"/>
      <x:c r="L7" s="81"/>
      <x:c r="M7" s="81"/>
      <x:c r="N7" s="81"/>
      <x:c r="O7" s="81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1" t="n">
        <x:v>5</x:v>
      </x:c>
      <x:c r="G8" s="81" t="n">
        <x:v>13</x:v>
      </x:c>
      <x:c r="H8" s="81" t="n">
        <x:v>25</x:v>
      </x:c>
      <x:c r="I8" s="81" t="str">
        <x:v>Authorized or traceable tier-1</x:v>
      </x:c>
      <x:c r="J8" s="81"/>
      <x:c r="K8" s="81"/>
      <x:c r="L8" s="81"/>
      <x:c r="M8" s="81"/>
      <x:c r="N8" s="81"/>
      <x:c r="O8" s="81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TBD</x:v>
      </x:c>
      <x:c r="E9" s="81" t="str">
        <x:v>12.8 V 40-60 Ah LiFePO4 with BMS</x:v>
      </x:c>
      <x:c r="F9" s="81" t="n">
        <x:v>5</x:v>
      </x:c>
      <x:c r="G9" s="81" t="n">
        <x:v>11</x:v>
      </x:c>
      <x:c r="H9" s="81" t="n">
        <x:v>21</x:v>
      </x:c>
      <x:c r="I9" s="81" t="str">
        <x:v>Cell or pack manufacturer</x:v>
      </x:c>
      <x:c r="J9" s="81"/>
      <x:c r="K9" s="81"/>
      <x:c r="L9" s="81"/>
      <x:c r="M9" s="81"/>
      <x:c r="N9" s="81"/>
      <x:c r="O9" s="81"/>
      <x:c r="P9" s="81" t="str">
        <x:v>Yes</x:v>
      </x:c>
      <x:c r="Q9" s="81" t="str">
        <x:v>Yes</x:v>
      </x:c>
      <x:c r="R9" s="81" t="str">
        <x:v>RFQ_REQUIRED</x:v>
      </x:c>
      <x:c r="S9" s="81" t="str">
        <x:v>UN38.3 MSDS capacity DCIR thresholds low-temp inhibit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TBD</x:v>
      </x:c>
      <x:c r="E10" s="81" t="str">
        <x:v>60-80 W outdoor panel</x:v>
      </x:c>
      <x:c r="F10" s="81" t="n">
        <x:v>5</x:v>
      </x:c>
      <x:c r="G10" s="81" t="n">
        <x:v>11</x:v>
      </x:c>
      <x:c r="H10" s="81" t="n">
        <x:v>21</x:v>
      </x:c>
      <x:c r="I10" s="81" t="str">
        <x:v>Panel manufacturer</x:v>
      </x:c>
      <x:c r="J10" s="81"/>
      <x:c r="K10" s="81"/>
      <x:c r="L10" s="81"/>
      <x:c r="M10" s="81"/>
      <x:c r="N10" s="81"/>
      <x:c r="O10" s="81"/>
      <x:c r="P10" s="81" t="str">
        <x:v>Yes</x:v>
      </x:c>
      <x:c r="Q10" s="81" t="str">
        <x:v>Yes</x:v>
      </x:c>
      <x:c r="R10" s="81" t="str">
        <x:v>RFQ_REQUIRED</x:v>
      </x:c>
      <x:c r="S10" s="81" t="str">
        <x:v>Voc Isc Pmax insulation weathering evidence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TBD</x:v>
      </x:c>
      <x:c r="E11" s="81" t="str">
        <x:v>10 A LiFePO4 sealed MPPT</x:v>
      </x:c>
      <x:c r="F11" s="81" t="n">
        <x:v>5</x:v>
      </x:c>
      <x:c r="G11" s="81" t="n">
        <x:v>11</x:v>
      </x:c>
      <x:c r="H11" s="81" t="n">
        <x:v>21</x:v>
      </x:c>
      <x:c r="I11" s="81" t="str">
        <x:v>Controller manufacturer</x:v>
      </x:c>
      <x:c r="J11" s="81"/>
      <x:c r="K11" s="81"/>
      <x:c r="L11" s="81"/>
      <x:c r="M11" s="81"/>
      <x:c r="N11" s="81"/>
      <x:c r="O11" s="81"/>
      <x:c r="P11" s="81" t="str">
        <x:v>Yes</x:v>
      </x:c>
      <x:c r="Q11" s="81" t="str">
        <x:v>Yes</x:v>
      </x:c>
      <x:c r="R11" s="81" t="str">
        <x:v>RFQ_REQUIRED</x:v>
      </x:c>
      <x:c r="S11" s="81" t="str">
        <x:v>Charge profile cold Voc low-temp reverse current quiescent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1" t="n">
        <x:v>5</x:v>
      </x:c>
      <x:c r="G12" s="81" t="n">
        <x:v>11</x:v>
      </x:c>
      <x:c r="H12" s="81" t="n">
        <x:v>22</x:v>
      </x:c>
      <x:c r="I12" s="81" t="str">
        <x:v>Qualified CM with AOI</x:v>
      </x:c>
      <x:c r="J12" s="81"/>
      <x:c r="K12" s="81"/>
      <x:c r="L12" s="81"/>
      <x:c r="M12" s="81"/>
      <x:c r="N12" s="81"/>
      <x:c r="O12" s="81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1" t="n">
        <x:v>18</x:v>
      </x:c>
      <x:c r="G13" s="81" t="n">
        <x:v>44</x:v>
      </x:c>
      <x:c r="H13" s="81" t="n">
        <x:v>88</x:v>
      </x:c>
      <x:c r="I13" s="81" t="str">
        <x:v>Qualified CM with AOI</x:v>
      </x:c>
      <x:c r="J13" s="81"/>
      <x:c r="K13" s="81"/>
      <x:c r="L13" s="81"/>
      <x:c r="M13" s="81"/>
      <x:c r="N13" s="81"/>
      <x:c r="O13" s="81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power PCB stackup pending DIM-003</x:v>
      </x:c>
      <x:c r="F14" s="81" t="n">
        <x:v>5</x:v>
      </x:c>
      <x:c r="G14" s="81" t="n">
        <x:v>11</x:v>
      </x:c>
      <x:c r="H14" s="81" t="n">
        <x:v>22</x:v>
      </x:c>
      <x:c r="I14" s="81" t="str">
        <x:v>Qualified CM with thermal process</x:v>
      </x:c>
      <x:c r="J14" s="81"/>
      <x:c r="K14" s="81"/>
      <x:c r="L14" s="81"/>
      <x:c r="M14" s="81"/>
      <x:c r="N14" s="81"/>
      <x:c r="O14" s="81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Labeled station harness set</x:v>
      </x:c>
      <x:c r="F15" s="81" t="n">
        <x:v>5</x:v>
      </x:c>
      <x:c r="G15" s="81" t="n">
        <x:v>11</x:v>
      </x:c>
      <x:c r="H15" s="81" t="n">
        <x:v>22</x:v>
      </x:c>
      <x:c r="I15" s="81" t="str">
        <x:v>Qualified harness factory</x:v>
      </x:c>
      <x:c r="J15" s="81"/>
      <x:c r="K15" s="81"/>
      <x:c r="L15" s="81"/>
      <x:c r="M15" s="81"/>
      <x:c r="N15" s="81"/>
      <x:c r="O15" s="81"/>
      <x:c r="P15" s="81" t="str">
        <x:v>Yes</x:v>
      </x:c>
      <x:c r="Q15" s="81" t="str">
        <x:v>Yes</x:v>
      </x:c>
      <x:c r="R15" s="81" t="str">
        <x:v>RFQ_REQUIRED</x:v>
      </x:c>
      <x:c r="S15" s="81" t="str">
        <x:v>Crimp tooling pull force exact lengths and 100 percent continuity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1" t="n">
        <x:v>5</x:v>
      </x:c>
      <x:c r="G16" s="81" t="n">
        <x:v>13</x:v>
      </x:c>
      <x:c r="H16" s="81" t="n">
        <x:v>25</x:v>
      </x:c>
      <x:c r="I16" s="81" t="str">
        <x:v>Authorized distributor</x:v>
      </x:c>
      <x:c r="J16" s="81"/>
      <x:c r="K16" s="81"/>
      <x:c r="L16" s="81"/>
      <x:c r="M16" s="81"/>
      <x:c r="N16" s="81"/>
      <x:c r="O16" s="81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1" t="n">
        <x:v>10</x:v>
      </x:c>
      <x:c r="G17" s="81" t="n">
        <x:v>26</x:v>
      </x:c>
      <x:c r="H17" s="81" t="n">
        <x:v>50</x:v>
      </x:c>
      <x:c r="I17" s="81" t="str">
        <x:v>Authorized or traceable TE distributor</x:v>
      </x:c>
      <x:c r="J17" s="81"/>
      <x:c r="K17" s="81"/>
      <x:c r="L17" s="81"/>
      <x:c r="M17" s="81"/>
      <x:c r="N17" s="81"/>
      <x:c r="O17" s="81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1" t="n">
        <x:v>4</x:v>
      </x:c>
      <x:c r="G18" s="81" t="n">
        <x:v>10</x:v>
      </x:c>
      <x:c r="H18" s="81" t="n">
        <x:v>20</x:v>
      </x:c>
      <x:c r="I18" s="81" t="str">
        <x:v>Qualified vacuum casting manufacturer</x:v>
      </x:c>
      <x:c r="J18" s="81"/>
      <x:c r="K18" s="81"/>
      <x:c r="L18" s="81"/>
      <x:c r="M18" s="81"/>
      <x:c r="N18" s="81"/>
      <x:c r="O18" s="81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1" t="n">
        <x:v>0</x:v>
      </x:c>
      <x:c r="G19" s="81" t="n">
        <x:v>0</x:v>
      </x:c>
      <x:c r="H19" s="81" t="n">
        <x:v>0</x:v>
      </x:c>
      <x:c r="I19" s="81" t="str">
        <x:v>Qualified print supplier or controlled FlashForge 5M Pro process</x:v>
      </x:c>
      <x:c r="J19" s="81"/>
      <x:c r="K19" s="81"/>
      <x:c r="L19" s="81"/>
      <x:c r="M19" s="81"/>
      <x:c r="N19" s="81"/>
      <x:c r="O19" s="81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1" t="n">
        <x:v>0</x:v>
      </x:c>
      <x:c r="G20" s="81" t="n">
        <x:v>0</x:v>
      </x:c>
      <x:c r="H20" s="81" t="n">
        <x:v>0</x:v>
      </x:c>
      <x:c r="I20" s="81" t="str">
        <x:v>Qualified mold manufacturer</x:v>
      </x:c>
      <x:c r="J20" s="81"/>
      <x:c r="K20" s="81"/>
      <x:c r="L20" s="81"/>
      <x:c r="M20" s="81"/>
      <x:c r="N20" s="81"/>
      <x:c r="O20" s="81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9e30c3eb350a4e03"/>
  </x:tableParts>
</x:worksheet>
</file>