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047780ab0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изводственный BOM" sheetId="1" r:id="Re662bfdec1ae4e49"/>
    <x:sheet xmlns:r="http://schemas.openxmlformats.org/officeDocument/2006/relationships" name="Цены v02" sheetId="2" r:id="R93e6909d78bb4fc0"/>
    <x:sheet xmlns:r="http://schemas.openxmlformats.org/officeDocument/2006/relationships" name="Не устанавливать" sheetId="3" r:id="R840545b4ff33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8">
    <x:font>
      <x:sz val="11"/>
      <x:name val="Carlito"/>
    </x:font>
    <x:font>
      <x:b/>
      <x:sz val="15"/>
      <x:color rgb="FFFFFFFF"/>
      <x:name val="Arial"/>
    </x:font>
    <x:font>
      <x:b/>
      <x:sz val="11"/>
      <x:color rgb="FF17365D"/>
      <x:name val="Arial"/>
    </x:font>
    <x:font>
      <x:sz val="10"/>
      <x:color rgb="FF334155"/>
      <x:name val="Arial"/>
    </x:font>
    <x:font>
      <x:b/>
      <x:sz val="10"/>
      <x:color rgb="FFFFFFFF"/>
      <x:name val="Arial"/>
    </x:font>
    <x:font>
      <x:sz val="9"/>
      <x:color rgb="FF1E293B"/>
      <x:name val="Arial"/>
    </x:font>
    <x:font>
      <x:b/>
      <x:sz val="14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6A73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2" borderId="0" xfId="0" applyNumberFormat="1" applyFont="1" applyFill="1" applyBorder="1"/>
    <x:xf numFmtId="201" fontId="0" fillId="0" borderId="0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0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c7c76d41b4fac" /><Relationship Type="http://schemas.openxmlformats.org/officeDocument/2006/relationships/theme" Target="/xl/theme/theme1.xml" Id="Rac0577719ca94e6d" /><Relationship Type="http://schemas.openxmlformats.org/officeDocument/2006/relationships/sharedStrings" Target="/xl/sharedStrings.xml" Id="Redbd25af8eaa4c12" /><Relationship Type="http://schemas.openxmlformats.org/officeDocument/2006/relationships/worksheet" Target="/xl/worksheets/sheet1.xml" Id="Re662bfdec1ae4e49" /><Relationship Type="http://schemas.openxmlformats.org/officeDocument/2006/relationships/worksheet" Target="/xl/worksheets/sheet2.xml" Id="R93e6909d78bb4fc0" /><Relationship Type="http://schemas.openxmlformats.org/officeDocument/2006/relationships/worksheet" Target="/xl/worksheets/sheet3.xml" Id="R840545b4ff334c75" /></Relationships>
</file>

<file path=xl/tables/table1.xml><?xml version="1.0" encoding="utf-8"?>
<x:table xmlns:x="http://schemas.openxmlformats.org/spreadsheetml/2006/main" id="1" name="ProductionBOM" displayName="ProductionBOM" ref="A7:U118" headerRowCount="1" totalsRowCount="0" totalsRowShown="0">
  <x:tableColumns count="21">
    <x:tableColumn id="1" name="ID"/>
    <x:tableColumn id="2" name="Узел"/>
    <x:tableColumn id="3" name="Позиция"/>
    <x:tableColumn id="4" name="Обозначения"/>
    <x:tableColumn id="5" name="Категория"/>
    <x:tableColumn id="6" name="Производитель"/>
    <x:tableColumn id="7" name="MPN / артикул"/>
    <x:tableColumn id="8" name="Корпус / исполнение"/>
    <x:tableColumn id="9" name="Номинал"/>
    <x:tableColumn id="10" name="Вариант"/>
    <x:tableColumn id="11" name="Монтаж"/>
    <x:tableColumn id="12" name="На станцию"/>
    <x:tableColumn id="13" name="На лот 20"/>
    <x:tableColumn id="14" name="Резерв лота"/>
    <x:tableColumn id="15" name="Закупить лот 20"/>
    <x:tableColumn id="16" name="На программу 41"/>
    <x:tableColumn id="17" name="Резерв двух лотов"/>
    <x:tableColumn id="18" name="Закупить программу"/>
    <x:tableColumn id="19" name="Маршрут закупки"/>
    <x:tableColumn id="20" name="Статус"/>
    <x:tableColumn id="21" name="Входной контрол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gineeringPriceV02" displayName="EngineeringPriceV02" ref="A6:K56" headerRowCount="1" totalsRowCount="0" totalsRowShown="0">
  <x:tableColumns count="11">
    <x:tableColumn id="1" name="Группа"/>
    <x:tableColumn id="2" name="Item ID v02"/>
    <x:tableColumn id="3" name="Наименование v02"/>
    <x:tableColumn id="4" name="На станцию"/>
    <x:tableColumn id="5" name="На 20"/>
    <x:tableColumn id="6" name="Цена/ед., USD"/>
    <x:tableColumn id="7" name="Цена/ед., ₽"/>
    <x:tableColumn id="8" name="Стоимость 20, ₽"/>
    <x:tableColumn id="9" name="Основание цены"/>
    <x:tableColumn id="10" name="Источник"/>
    <x:tableColumn id="11" name="Строка v02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NPList" displayName="DNPList" ref="A4:F12" headerRowCount="1" totalsRowCount="0" totalsRowShown="0">
  <x:tableColumns count="6">
    <x:tableColumn id="1" name="ID"/>
    <x:tableColumn id="2" name="Узел"/>
    <x:tableColumn id="3" name="Обозначения"/>
    <x:tableColumn id="4" name="MPN"/>
    <x:tableColumn id="5" name="Состояние"/>
    <x:tableColumn id="6" name="Количеств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d1e213229f49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5e733667cf4a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9b3bcf7bf5445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0" hidden="0" customWidth="1"/>
    <x:col min="4" max="4" width="30" hidden="0" customWidth="1"/>
    <x:col min="5" max="5" width="16" hidden="0" customWidth="1"/>
    <x:col min="6" max="6" width="23" hidden="0" customWidth="1"/>
    <x:col min="7" max="7" width="29" hidden="0" customWidth="1"/>
    <x:col min="8" max="8" width="35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4" hidden="0" customWidth="1"/>
    <x:col min="20" max="20" width="39" hidden="0" customWidth="1"/>
    <x:col min="21" max="21" width="60" hidden="0" customWidth="1"/>
  </x:cols>
  <x:sheetData>
    <x:row r="1" ht="31" customHeight="1">
      <x:c r="A1" s="2" t="str">
        <x:v>Дионея · производственный BOM EVT-PRE-20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2 лота EVT-20 + 1 стендовый образец = 41 станция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4" t="str">
        <x:v>111 позиций к закупке · 8 DNP отдельно · bare PCB как альтернативный маршрут исключены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>
      <x:c r="A4" s="4" t="str">
        <x:v>Цена v02: 561 806 ₽ за 20 базовых станций; 617 986 ₽ с резервом 10%. Детали на листе «Цены v02».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</x:row>
    <x:row r="5">
      <x:c r="A5" s="4" t="str">
        <x:v>Источники: EVT_PRE_20_BOM_PROCUREMENT_REV_A.csv; EVT_PROGRAM_2X20_PLUS_1_PROCUREMENT_REV_A.csv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</x:row>
    <x:row r="7" ht="33" customHeight="1">
      <x:c r="A7" s="7" t="str">
        <x:v>ID</x:v>
      </x:c>
      <x:c r="B7" s="7" t="str">
        <x:v>Узел</x:v>
      </x:c>
      <x:c r="C7" s="7" t="str">
        <x:v>Позиция</x:v>
      </x:c>
      <x:c r="D7" s="7" t="str">
        <x:v>Обозначения</x:v>
      </x:c>
      <x:c r="E7" s="7" t="str">
        <x:v>Категория</x:v>
      </x:c>
      <x:c r="F7" s="7" t="str">
        <x:v>Производитель</x:v>
      </x:c>
      <x:c r="G7" s="7" t="str">
        <x:v>MPN / артикул</x:v>
      </x:c>
      <x:c r="H7" s="7" t="str">
        <x:v>Корпус / исполнение</x:v>
      </x:c>
      <x:c r="I7" s="7" t="str">
        <x:v>Номинал</x:v>
      </x:c>
      <x:c r="J7" s="7" t="str">
        <x:v>Вариант</x:v>
      </x:c>
      <x:c r="K7" s="7" t="str">
        <x:v>Монтаж</x:v>
      </x:c>
      <x:c r="L7" s="7" t="str">
        <x:v>На станцию</x:v>
      </x:c>
      <x:c r="M7" s="7" t="str">
        <x:v>На лот 20</x:v>
      </x:c>
      <x:c r="N7" s="7" t="str">
        <x:v>Резерв лота</x:v>
      </x:c>
      <x:c r="O7" s="7" t="str">
        <x:v>Закупить лот 20</x:v>
      </x:c>
      <x:c r="P7" s="7" t="str">
        <x:v>На программу 41</x:v>
      </x:c>
      <x:c r="Q7" s="7" t="str">
        <x:v>Резерв двух лотов</x:v>
      </x:c>
      <x:c r="R7" s="7" t="str">
        <x:v>Закупить программу</x:v>
      </x:c>
      <x:c r="S7" s="7" t="str">
        <x:v>Маршрут закупки</x:v>
      </x:c>
      <x:c r="T7" s="7" t="str">
        <x:v>Статус</x:v>
      </x:c>
      <x:c r="U7" s="7" t="str">
        <x:v>Входной контроль</x:v>
      </x:c>
    </x:row>
    <x:row r="8">
      <x:c r="A8" s="8" t="str">
        <x:v>PR-001</x:v>
      </x:c>
      <x:c r="B8" s="8" t="str">
        <x:v>PCB-MAIN</x:v>
      </x:c>
      <x:c r="C8" s="8" t="str">
        <x:v>ASM-MAIN</x:v>
      </x:c>
      <x:c r="D8" s="8" t="str">
        <x:v>-</x:v>
      </x:c>
      <x:c r="E8" s="8" t="str">
        <x:v>PCBA</x:v>
      </x:c>
      <x:c r="F8" s="8" t="str">
        <x:v>Dioneya controlled design</x:v>
      </x:c>
      <x:c r="G8" s="8" t="str">
        <x:v>DIO-ASM-MAIN-REV-A</x:v>
      </x:c>
      <x:c r="H8" s="8" t="str">
        <x:v>6-layer PCBA build-to-print service scope</x:v>
      </x:c>
      <x:c r="I8" s="8" t="str"/>
      <x:c r="J8" s="8" t="str">
        <x:v>COMMON</x:v>
      </x:c>
      <x:c r="K8" s="8" t="str">
        <x:v>N/A</x:v>
      </x:c>
      <x:c r="L8" s="9" t="n">
        <x:v>1</x:v>
      </x:c>
      <x:c r="M8" s="9" t="n">
        <x:v>20</x:v>
      </x:c>
      <x:c r="N8" s="9" t="n">
        <x:v>2</x:v>
      </x:c>
      <x:c r="O8" s="9" t="n">
        <x:v>22</x:v>
      </x:c>
      <x:c r="P8" s="9" t="n">
        <x:v>41</x:v>
      </x:c>
      <x:c r="Q8" s="9" t="n">
        <x:v>4</x:v>
      </x:c>
      <x:c r="R8" s="9" t="n">
        <x:v>45</x:v>
      </x:c>
      <x:c r="S8" s="8" t="str">
        <x:v>PRIMARY_FULL_PCBA</x:v>
      </x:c>
      <x:c r="T8" s="8" t="str">
        <x:v>CONTROLLED_INTERNAL_ARTICLE_CUSTOMER_EMS_SELECTION_PENDING</x:v>
      </x:c>
      <x:c r="U8" s="8" t="str">
        <x:v>AOI plus X-ray where hidden joints plus functional test</x:v>
      </x:c>
    </x:row>
    <x:row r="9">
      <x:c r="A9" s="8" t="str">
        <x:v>PR-002</x:v>
      </x:c>
      <x:c r="B9" s="8" t="str">
        <x:v>PCB-MIC</x:v>
      </x:c>
      <x:c r="C9" s="8" t="str">
        <x:v>ASM-MIC</x:v>
      </x:c>
      <x:c r="D9" s="8" t="str">
        <x:v>-</x:v>
      </x:c>
      <x:c r="E9" s="8" t="str">
        <x:v>PCBA</x:v>
      </x:c>
      <x:c r="F9" s="8" t="str">
        <x:v>Dioneya controlled design</x:v>
      </x:c>
      <x:c r="G9" s="8" t="str">
        <x:v>DIO-ASM-MIC-REV-A</x:v>
      </x:c>
      <x:c r="H9" s="8" t="str">
        <x:v>2-layer microphone PCBA build-to-print service scope</x:v>
      </x:c>
      <x:c r="I9" s="8" t="str"/>
      <x:c r="J9" s="8" t="str">
        <x:v>COMMON</x:v>
      </x:c>
      <x:c r="K9" s="8" t="str">
        <x:v>N/A</x:v>
      </x:c>
      <x:c r="L9" s="9" t="n">
        <x:v>4</x:v>
      </x:c>
      <x:c r="M9" s="9" t="n">
        <x:v>80</x:v>
      </x:c>
      <x:c r="N9" s="9" t="n">
        <x:v>2</x:v>
      </x:c>
      <x:c r="O9" s="9" t="n">
        <x:v>82</x:v>
      </x:c>
      <x:c r="P9" s="9" t="n">
        <x:v>164</x:v>
      </x:c>
      <x:c r="Q9" s="9" t="n">
        <x:v>4</x:v>
      </x:c>
      <x:c r="R9" s="9" t="n">
        <x:v>168</x:v>
      </x:c>
      <x:c r="S9" s="8" t="str">
        <x:v>PRIMARY_FULL_PCBA</x:v>
      </x:c>
      <x:c r="T9" s="8" t="str">
        <x:v>CONTROLLED_INTERNAL_ARTICLE_CUSTOMER_EMS_SELECTION_PENDING</x:v>
      </x:c>
      <x:c r="U9" s="8" t="str">
        <x:v>AOI acoustic port inspection channel functional test</x:v>
      </x:c>
    </x:row>
    <x:row r="10">
      <x:c r="A10" s="8" t="str">
        <x:v>PR-003</x:v>
      </x:c>
      <x:c r="B10" s="8" t="str">
        <x:v>PCB-PWR</x:v>
      </x:c>
      <x:c r="C10" s="8" t="str">
        <x:v>ASM-PWR</x:v>
      </x:c>
      <x:c r="D10" s="8" t="str">
        <x:v>-</x:v>
      </x:c>
      <x:c r="E10" s="8" t="str">
        <x:v>PCBA</x:v>
      </x:c>
      <x:c r="F10" s="8" t="str">
        <x:v>Dioneya controlled design</x:v>
      </x:c>
      <x:c r="G10" s="8" t="str">
        <x:v>DIO-ASM-PWR-REV-A</x:v>
      </x:c>
      <x:c r="H10" s="8" t="str">
        <x:v>assembled 4-layer power PCB build-to-print service scope; EVT DIM-003 90x60x1.6 mm and H1-H4 accepted; outer 2 oz target; inner 1 oz target; final stackup pending DFM</x:v>
      </x:c>
      <x:c r="I10" s="8" t="str"/>
      <x:c r="J10" s="8" t="str">
        <x:v>COMMON</x:v>
      </x:c>
      <x:c r="K10" s="8" t="str">
        <x:v>N/A</x:v>
      </x:c>
      <x:c r="L10" s="9" t="n">
        <x:v>1</x:v>
      </x:c>
      <x:c r="M10" s="9" t="n">
        <x:v>20</x:v>
      </x:c>
      <x:c r="N10" s="9" t="n">
        <x:v>2</x:v>
      </x:c>
      <x:c r="O10" s="9" t="n">
        <x:v>22</x:v>
      </x:c>
      <x:c r="P10" s="9" t="n">
        <x:v>41</x:v>
      </x:c>
      <x:c r="Q10" s="9" t="n">
        <x:v>4</x:v>
      </x:c>
      <x:c r="R10" s="9" t="n">
        <x:v>45</x:v>
      </x:c>
      <x:c r="S10" s="8" t="str">
        <x:v>PRIMARY_FULL_PCBA</x:v>
      </x:c>
      <x:c r="T10" s="8" t="str">
        <x:v>CONTROLLED_INTERNAL_ARTICLE_CUSTOMER_EMS_SELECTION_PENDING</x:v>
      </x:c>
      <x:c r="U10" s="8" t="str">
        <x:v>AOI functional high-current thermal</x:v>
      </x:c>
    </x:row>
    <x:row r="11">
      <x:c r="A11" s="8" t="str">
        <x:v>PR-004</x:v>
      </x:c>
      <x:c r="B11" s="8" t="str">
        <x:v>SYSTEM</x:v>
      </x:c>
      <x:c r="C11" s="8" t="str">
        <x:v>HARNESS</x:v>
      </x:c>
      <x:c r="D11" s="8" t="str">
        <x:v>-</x:v>
      </x:c>
      <x:c r="E11" s="8" t="str">
        <x:v>Harness</x:v>
      </x:c>
      <x:c r="F11" s="8" t="str">
        <x:v>Dioneya controlled design</x:v>
      </x:c>
      <x:c r="G11" s="8" t="str">
        <x:v>DIO-HARNESS-SET-REV-A</x:v>
      </x:c>
      <x:c r="H11" s="8" t="str">
        <x:v>Controlled labeled station harness set Rev.A</x:v>
      </x:c>
      <x:c r="I11" s="8" t="str"/>
      <x:c r="J11" s="8" t="str">
        <x:v>COMMON</x:v>
      </x:c>
      <x:c r="K11" s="8" t="str">
        <x:v>FITTED</x:v>
      </x:c>
      <x:c r="L11" s="9" t="n">
        <x:v>1</x:v>
      </x:c>
      <x:c r="M11" s="9" t="n">
        <x:v>20</x:v>
      </x:c>
      <x:c r="N11" s="9" t="n">
        <x:v>2</x:v>
      </x:c>
      <x:c r="O11" s="9" t="n">
        <x:v>22</x:v>
      </x:c>
      <x:c r="P11" s="9" t="n">
        <x:v>41</x:v>
      </x:c>
      <x:c r="Q11" s="9" t="n">
        <x:v>4</x:v>
      </x:c>
      <x:c r="R11" s="9" t="n">
        <x:v>45</x:v>
      </x:c>
      <x:c r="S11" s="8" t="str">
        <x:v>COMMON_PROGRAM_PROCUREMENT</x:v>
      </x:c>
      <x:c r="T11" s="8" t="str">
        <x:v>CONTROLLED_INTERNAL_ARTICLE_PHYSICAL_RELEASE_PENDING</x:v>
      </x:c>
      <x:c r="U11" s="8" t="str">
        <x:v>100 percent continuity polarity pull sample</x:v>
      </x:c>
    </x:row>
    <x:row r="12">
      <x:c r="A12" s="8" t="str">
        <x:v>PR-007</x:v>
      </x:c>
      <x:c r="B12" s="8" t="str">
        <x:v>SYSTEM</x:v>
      </x:c>
      <x:c r="C12" s="8" t="str">
        <x:v>HSG-VC</x:v>
      </x:c>
      <x:c r="D12" s="8" t="str">
        <x:v>HSG1</x:v>
      </x:c>
      <x:c r="E12" s="8" t="str">
        <x:v>Housing</x:v>
      </x:c>
      <x:c r="F12" s="8" t="str">
        <x:v>Dioneya controlled design</x:v>
      </x:c>
      <x:c r="G12" s="8" t="str">
        <x:v>DIO-HSG-VC-REV-A</x:v>
      </x:c>
      <x:c r="H12" s="8" t="str">
        <x:v>Vacuum-cast polyurethane housing set build-to-print scope</x:v>
      </x:c>
      <x:c r="I12" s="8" t="str"/>
      <x:c r="J12" s="8" t="str">
        <x:v>VACUUM_CASTING_PRIMARY</x:v>
      </x:c>
      <x:c r="K12" s="8" t="str">
        <x:v>N/A</x:v>
      </x:c>
      <x:c r="L12" s="9" t="n">
        <x:v>1</x:v>
      </x:c>
      <x:c r="M12" s="9" t="n">
        <x:v>20</x:v>
      </x:c>
      <x:c r="N12" s="9" t="n">
        <x:v>0</x:v>
      </x:c>
      <x:c r="O12" s="9" t="n">
        <x:v>20</x:v>
      </x:c>
      <x:c r="P12" s="9" t="n">
        <x:v>41</x:v>
      </x:c>
      <x:c r="Q12" s="9" t="n">
        <x:v>0</x:v>
      </x:c>
      <x:c r="R12" s="9" t="n">
        <x:v>41</x:v>
      </x:c>
      <x:c r="S12" s="8" t="str">
        <x:v>COMMON_PROGRAM_PROCUREMENT</x:v>
      </x:c>
      <x:c r="T12" s="8" t="str">
        <x:v>CONTROLLED_INTERNAL_ARTICLE_MECHANICAL_RELEASE_PENDING</x:v>
      </x:c>
      <x:c r="U12" s="8" t="str">
        <x:v>FAI dimensions material cure finish inserts leak fit acoustic and RF checks</x:v>
      </x:c>
    </x:row>
    <x:row r="13">
      <x:c r="A13" s="8" t="str">
        <x:v>PR-011</x:v>
      </x:c>
      <x:c r="B13" s="8" t="str">
        <x:v>PCB-PWR</x:v>
      </x:c>
      <x:c r="C13" s="8" t="str">
        <x:v>PWR-FUSE-01</x:v>
      </x:c>
      <x:c r="D13" s="8" t="str">
        <x:v>F1</x:v>
      </x:c>
      <x:c r="E13" s="8" t="str">
        <x:v>Protection</x:v>
      </x:c>
      <x:c r="F13" s="8" t="str">
        <x:v>Littelfuse</x:v>
      </x:c>
      <x:c r="G13" s="8" t="str">
        <x:v>0451008.MRL</x:v>
      </x:c>
      <x:c r="H13" s="8" t="str">
        <x:v>Nano2_451_6.1x2.69mm</x:v>
      </x:c>
      <x:c r="I13" s="8" t="str"/>
      <x:c r="J13" s="8" t="str">
        <x:v>COMMON</x:v>
      </x:c>
      <x:c r="K13" s="8" t="str">
        <x:v>FITTED</x:v>
      </x:c>
      <x:c r="L13" s="9" t="n">
        <x:v>1</x:v>
      </x:c>
      <x:c r="M13" s="9" t="n">
        <x:v>20</x:v>
      </x:c>
      <x:c r="N13" s="9" t="n">
        <x:v>10</x:v>
      </x:c>
      <x:c r="O13" s="9" t="n">
        <x:v>30</x:v>
      </x:c>
      <x:c r="P13" s="9" t="n">
        <x:v>41</x:v>
      </x:c>
      <x:c r="Q13" s="9" t="n">
        <x:v>20</x:v>
      </x:c>
      <x:c r="R13" s="9" t="n">
        <x:v>61</x:v>
      </x:c>
      <x:c r="S13" s="8" t="str">
        <x:v>COMMON_PROGRAM_PROCUREMENT</x:v>
      </x:c>
      <x:c r="T13" s="8" t="str">
        <x:v>CANDIDATE_SELECTED_FOR_EVT_QUALIFICATION_NATIVE_VALUE_ECO_APPLIED_REPEAT_EVIDENCE_PASS_PHYSICAL_QUALIFICATION_PENDING</x:v>
      </x:c>
      <x:c r="U13" s="8" t="str">
        <x:v>Marking continuity and controlled fault clearing</x:v>
      </x:c>
    </x:row>
    <x:row r="14">
      <x:c r="A14" s="8" t="str">
        <x:v>PR-012</x:v>
      </x:c>
      <x:c r="B14" s="8" t="str">
        <x:v>PCB-MAIN</x:v>
      </x:c>
      <x:c r="C14" s="8" t="str">
        <x:v>J-SIM1 | J-SIM2</x:v>
      </x:c>
      <x:c r="D14" s="8" t="str">
        <x:v>J6 | J7</x:v>
      </x:c>
      <x:c r="E14" s="8" t="str">
        <x:v>SIM</x:v>
      </x:c>
      <x:c r="F14" s="8" t="str">
        <x:v>TE Connectivity</x:v>
      </x:c>
      <x:c r="G14" s="8" t="str">
        <x:v>2336582-1</x:v>
      </x:c>
      <x:c r="H14" s="8" t="str">
        <x:v>Nano-SIM 4FF connector with DET</x:v>
      </x:c>
      <x:c r="I14" s="8" t="str"/>
      <x:c r="J14" s="8" t="str">
        <x:v>COMMON</x:v>
      </x:c>
      <x:c r="K14" s="8" t="str">
        <x:v>FITTED</x:v>
      </x:c>
      <x:c r="L14" s="9" t="n">
        <x:v>2</x:v>
      </x:c>
      <x:c r="M14" s="9" t="n">
        <x:v>40</x:v>
      </x:c>
      <x:c r="N14" s="9" t="n">
        <x:v>10</x:v>
      </x:c>
      <x:c r="O14" s="9" t="n">
        <x:v>50</x:v>
      </x:c>
      <x:c r="P14" s="9" t="n">
        <x:v>82</x:v>
      </x:c>
      <x:c r="Q14" s="9" t="n">
        <x:v>20</x:v>
      </x:c>
      <x:c r="R14" s="9" t="n">
        <x:v>102</x:v>
      </x:c>
      <x:c r="S14" s="8" t="str">
        <x:v>COMMON_PROGRAM_PROCUREMENT</x:v>
      </x:c>
      <x:c r="T14" s="8" t="str">
        <x:v>TECHNICALLY_SELECTED_PROCUREMENT_RISK</x:v>
      </x:c>
      <x:c r="U14" s="8" t="str">
        <x:v>Mating cycles card detect coplanarity and ESD</x:v>
      </x:c>
    </x:row>
    <x:row r="15">
      <x:c r="A15" s="8" t="str">
        <x:v>PR-013</x:v>
      </x:c>
      <x:c r="B15" s="8" t="str">
        <x:v>HARNESS-PWR-MAIN</x:v>
      </x:c>
      <x:c r="C15" s="8" t="str">
        <x:v>H-PWR-MAIN</x:v>
      </x:c>
      <x:c r="D15" s="8" t="str">
        <x:v>H_PWR_MAIN:A/B</x:v>
      </x:c>
      <x:c r="E15" s="8" t="str">
        <x:v>Housing</x:v>
      </x:c>
      <x:c r="F15" s="8" t="str">
        <x:v>Molex</x:v>
      </x:c>
      <x:c r="G15" s="8" t="str">
        <x:v>43025-1200</x:v>
      </x:c>
      <x:c r="H15" s="8" t="str">
        <x:v>Micro-Fit 3.0 12-circuit housing</x:v>
      </x:c>
      <x:c r="I15" s="8" t="str"/>
      <x:c r="J15" s="8" t="str">
        <x:v>COMMON</x:v>
      </x:c>
      <x:c r="K15" s="8" t="str">
        <x:v>FITTED</x:v>
      </x:c>
      <x:c r="L15" s="9" t="n">
        <x:v>2</x:v>
      </x:c>
      <x:c r="M15" s="9" t="n">
        <x:v>40</x:v>
      </x:c>
      <x:c r="N15" s="9" t="n">
        <x:v>4</x:v>
      </x:c>
      <x:c r="O15" s="9" t="n">
        <x:v>44</x:v>
      </x:c>
      <x:c r="P15" s="9" t="n">
        <x:v>82</x:v>
      </x:c>
      <x:c r="Q15" s="9" t="n">
        <x:v>8</x:v>
      </x:c>
      <x:c r="R15" s="9" t="n">
        <x:v>90</x:v>
      </x:c>
      <x:c r="S15" s="8" t="str">
        <x:v>COMMON_PROGRAM_PROCUREMENT</x:v>
      </x:c>
      <x:c r="T15" s="8" t="str">
        <x:v>SELECTED_PENDING_MECHANICS_I2C_TEST</x:v>
      </x:c>
      <x:c r="U15" s="8" t="str">
        <x:v>Marking MPN package orientation electrical functional sample</x:v>
      </x:c>
    </x:row>
    <x:row r="16">
      <x:c r="A16" s="8" t="str">
        <x:v>PR-014</x:v>
      </x:c>
      <x:c r="B16" s="8" t="str">
        <x:v>HARNESS-PWR-MAIN</x:v>
      </x:c>
      <x:c r="C16" s="8" t="str">
        <x:v>T-PWR-MAIN-CTL</x:v>
      </x:c>
      <x:c r="D16" s="8" t="str">
        <x:v>H_PWR_MAIN control contacts</x:v>
      </x:c>
      <x:c r="E16" s="8" t="str">
        <x:v>Terminal</x:v>
      </x:c>
      <x:c r="F16" s="8" t="str">
        <x:v>Molex</x:v>
      </x:c>
      <x:c r="G16" s="8" t="str">
        <x:v>43030-0001</x:v>
      </x:c>
      <x:c r="H16" s="8" t="str">
        <x:v>Micro-Fit female crimp terminal 20-24 AWG class</x:v>
      </x:c>
      <x:c r="I16" s="8" t="str"/>
      <x:c r="J16" s="8" t="str">
        <x:v>COMMON</x:v>
      </x:c>
      <x:c r="K16" s="8" t="str">
        <x:v>FITTED</x:v>
      </x:c>
      <x:c r="L16" s="9" t="n">
        <x:v>12</x:v>
      </x:c>
      <x:c r="M16" s="9" t="n">
        <x:v>240</x:v>
      </x:c>
      <x:c r="N16" s="9" t="n">
        <x:v>12</x:v>
      </x:c>
      <x:c r="O16" s="9" t="n">
        <x:v>252</x:v>
      </x:c>
      <x:c r="P16" s="9" t="n">
        <x:v>492</x:v>
      </x:c>
      <x:c r="Q16" s="9" t="n">
        <x:v>24</x:v>
      </x:c>
      <x:c r="R16" s="9" t="n">
        <x:v>516</x:v>
      </x:c>
      <x:c r="S16" s="8" t="str">
        <x:v>COMMON_PROGRAM_PROCUREMENT</x:v>
      </x:c>
      <x:c r="T16" s="8" t="str">
        <x:v>SELECTED_PENDING_I2C_PULL_TEST</x:v>
      </x:c>
      <x:c r="U16" s="8" t="str">
        <x:v>Marking MPN package orientation electrical functional sample</x:v>
      </x:c>
    </x:row>
    <x:row r="17">
      <x:c r="A17" s="8" t="str">
        <x:v>PR-015</x:v>
      </x:c>
      <x:c r="B17" s="8" t="str">
        <x:v>HARNESS-PWR-MAIN</x:v>
      </x:c>
      <x:c r="C17" s="8" t="str">
        <x:v>T-PWR-MAIN-PWR</x:v>
      </x:c>
      <x:c r="D17" s="8" t="str">
        <x:v>H_PWR_MAIN power contacts</x:v>
      </x:c>
      <x:c r="E17" s="8" t="str">
        <x:v>Terminal</x:v>
      </x:c>
      <x:c r="F17" s="8" t="str">
        <x:v>Molex</x:v>
      </x:c>
      <x:c r="G17" s="8" t="str">
        <x:v>43030-0038</x:v>
      </x:c>
      <x:c r="H17" s="8" t="str">
        <x:v>Micro-Fit female crimp terminal 18 AWG class</x:v>
      </x:c>
      <x:c r="I17" s="8" t="str"/>
      <x:c r="J17" s="8" t="str">
        <x:v>COMMON</x:v>
      </x:c>
      <x:c r="K17" s="8" t="str">
        <x:v>FITTED</x:v>
      </x:c>
      <x:c r="L17" s="9" t="n">
        <x:v>12</x:v>
      </x:c>
      <x:c r="M17" s="9" t="n">
        <x:v>240</x:v>
      </x:c>
      <x:c r="N17" s="9" t="n">
        <x:v>12</x:v>
      </x:c>
      <x:c r="O17" s="9" t="n">
        <x:v>252</x:v>
      </x:c>
      <x:c r="P17" s="9" t="n">
        <x:v>492</x:v>
      </x:c>
      <x:c r="Q17" s="9" t="n">
        <x:v>24</x:v>
      </x:c>
      <x:c r="R17" s="9" t="n">
        <x:v>516</x:v>
      </x:c>
      <x:c r="S17" s="8" t="str">
        <x:v>COMMON_PROGRAM_PROCUREMENT</x:v>
      </x:c>
      <x:c r="T17" s="8" t="str">
        <x:v>SELECTED_PENDING_CURRENT_PULL_TEST</x:v>
      </x:c>
      <x:c r="U17" s="8" t="str">
        <x:v>Marking MPN package orientation electrical functional sample</x:v>
      </x:c>
    </x:row>
    <x:row r="18">
      <x:c r="A18" s="8" t="str">
        <x:v>PR-016</x:v>
      </x:c>
      <x:c r="B18" s="8" t="str">
        <x:v>PCB-PWR</x:v>
      </x:c>
      <x:c r="C18" s="8" t="str">
        <x:v>J-PWR-IN</x:v>
      </x:c>
      <x:c r="D18" s="8" t="str">
        <x:v>J1</x:v>
      </x:c>
      <x:c r="E18" s="8" t="str">
        <x:v>Connector</x:v>
      </x:c>
      <x:c r="F18" s="8" t="str">
        <x:v>Molex</x:v>
      </x:c>
      <x:c r="G18" s="8" t="str">
        <x:v>430450213</x:v>
      </x:c>
      <x:c r="H18" s="8" t="str">
        <x:v>2 positions</x:v>
      </x:c>
      <x:c r="I18" s="8" t="str"/>
      <x:c r="J18" s="8" t="str">
        <x:v>COMMON</x:v>
      </x:c>
      <x:c r="K18" s="8" t="str">
        <x:v>FITTED</x:v>
      </x:c>
      <x:c r="L18" s="9" t="n">
        <x:v>1</x:v>
      </x:c>
      <x:c r="M18" s="9" t="n">
        <x:v>20</x:v>
      </x:c>
      <x:c r="N18" s="9" t="n">
        <x:v>5</x:v>
      </x:c>
      <x:c r="O18" s="9" t="n">
        <x:v>25</x:v>
      </x:c>
      <x:c r="P18" s="9" t="n">
        <x:v>41</x:v>
      </x:c>
      <x:c r="Q18" s="9" t="n">
        <x:v>10</x:v>
      </x:c>
      <x:c r="R18" s="9" t="n">
        <x:v>51</x:v>
      </x:c>
      <x:c r="S18" s="8" t="str">
        <x:v>COMMON_PROGRAM_PROCUREMENT</x:v>
      </x:c>
      <x:c r="T18" s="8" t="str">
        <x:v>SELECTED_PENDING_MECHANICS</x:v>
      </x:c>
      <x:c r="U18" s="8" t="str">
        <x:v>Marking MPN package orientation electrical functional sample</x:v>
      </x:c>
    </x:row>
    <x:row r="19">
      <x:c r="A19" s="8" t="str">
        <x:v>PR-017</x:v>
      </x:c>
      <x:c r="B19" s="8" t="str">
        <x:v>PCB-MAIN | PCB-PWR</x:v>
      </x:c>
      <x:c r="C19" s="8" t="str">
        <x:v>J-PWR-MAIN | J-PWR-PWR</x:v>
      </x:c>
      <x:c r="D19" s="8" t="str">
        <x:v>J2 | J_PWR</x:v>
      </x:c>
      <x:c r="E19" s="8" t="str">
        <x:v>Connector</x:v>
      </x:c>
      <x:c r="F19" s="8" t="str">
        <x:v>Molex</x:v>
      </x:c>
      <x:c r="G19" s="8" t="str">
        <x:v>430451202</x:v>
      </x:c>
      <x:c r="H19" s="8" t="str">
        <x:v>12 positions</x:v>
      </x:c>
      <x:c r="I19" s="8" t="str"/>
      <x:c r="J19" s="8" t="str">
        <x:v>COMMON</x:v>
      </x:c>
      <x:c r="K19" s="8" t="str">
        <x:v>FITTED</x:v>
      </x:c>
      <x:c r="L19" s="9" t="n">
        <x:v>2</x:v>
      </x:c>
      <x:c r="M19" s="9" t="n">
        <x:v>40</x:v>
      </x:c>
      <x:c r="N19" s="9" t="n">
        <x:v>10</x:v>
      </x:c>
      <x:c r="O19" s="9" t="n">
        <x:v>50</x:v>
      </x:c>
      <x:c r="P19" s="9" t="n">
        <x:v>82</x:v>
      </x:c>
      <x:c r="Q19" s="9" t="n">
        <x:v>20</x:v>
      </x:c>
      <x:c r="R19" s="9" t="n">
        <x:v>102</x:v>
      </x:c>
      <x:c r="S19" s="8" t="str">
        <x:v>COMMON_PROGRAM_PROCUREMENT</x:v>
      </x:c>
      <x:c r="T19" s="8" t="str">
        <x:v>MECHANICAL_AUTHORITY_FROZEN_PENDING_HARNESS_SI | SELECTED_ELECTRICAL_PENDING_MECHANICS</x:v>
      </x:c>
      <x:c r="U19" s="8" t="str">
        <x:v>Marking dimensions latch mate continuity</x:v>
      </x:c>
    </x:row>
    <x:row r="20">
      <x:c r="A20" s="8" t="str">
        <x:v>PR-018</x:v>
      </x:c>
      <x:c r="B20" s="8" t="str">
        <x:v>PCB-MAIN</x:v>
      </x:c>
      <x:c r="C20" s="8" t="str">
        <x:v>J-TAMPER</x:v>
      </x:c>
      <x:c r="D20" s="8" t="str">
        <x:v>J13</x:v>
      </x:c>
      <x:c r="E20" s="8" t="str">
        <x:v>Connector</x:v>
      </x:c>
      <x:c r="F20" s="8" t="str">
        <x:v>Molex</x:v>
      </x:c>
      <x:c r="G20" s="8" t="str">
        <x:v>5040500291</x:v>
      </x:c>
      <x:c r="H20" s="8" t="str">
        <x:v>Pico-Lock 1.50 mm 2-circuit right-angle SMT</x:v>
      </x:c>
      <x:c r="I20" s="8" t="str"/>
      <x:c r="J20" s="8" t="str">
        <x:v>COMMON</x:v>
      </x:c>
      <x:c r="K20" s="8" t="str">
        <x:v>FITTED</x:v>
      </x:c>
      <x:c r="L20" s="9" t="n">
        <x:v>1</x:v>
      </x:c>
      <x:c r="M20" s="9" t="n">
        <x:v>20</x:v>
      </x:c>
      <x:c r="N20" s="9" t="n">
        <x:v>5</x:v>
      </x:c>
      <x:c r="O20" s="9" t="n">
        <x:v>25</x:v>
      </x:c>
      <x:c r="P20" s="9" t="n">
        <x:v>41</x:v>
      </x:c>
      <x:c r="Q20" s="9" t="n">
        <x:v>10</x:v>
      </x:c>
      <x:c r="R20" s="9" t="n">
        <x:v>51</x:v>
      </x:c>
      <x:c r="S20" s="8" t="str">
        <x:v>COMMON_PROGRAM_PROCUREMENT</x:v>
      </x:c>
      <x:c r="T20" s="8" t="str">
        <x:v>MECHANICAL_AUTHORITY_FROZEN_PENDING_PHYSICAL_TEST</x:v>
      </x:c>
      <x:c r="U20" s="8" t="str">
        <x:v>Mating pull continuity cable-break and cover-open fault coverage</x:v>
      </x:c>
    </x:row>
    <x:row r="21">
      <x:c r="A21" s="8" t="str">
        <x:v>PR-019</x:v>
      </x:c>
      <x:c r="B21" s="8" t="str">
        <x:v>PCB-MAIN | PCB-MIC</x:v>
      </x:c>
      <x:c r="C21" s="8" t="str">
        <x:v>J-MIC | J-MIC-MAIN</x:v>
      </x:c>
      <x:c r="D21" s="8" t="str">
        <x:v>J_MIC1;J_MIC2;J_MIC3;J_MIC4 | PCB-MIC:J1 x4</x:v>
      </x:c>
      <x:c r="E21" s="8" t="str">
        <x:v>Connector</x:v>
      </x:c>
      <x:c r="F21" s="8" t="str">
        <x:v>Molex</x:v>
      </x:c>
      <x:c r="G21" s="8" t="str">
        <x:v>5040500691</x:v>
      </x:c>
      <x:c r="H21" s="8" t="str">
        <x:v>Pico-Lock 1.50 mm 6-circuit right-angle SMT</x:v>
      </x:c>
      <x:c r="I21" s="8" t="str"/>
      <x:c r="J21" s="8" t="str">
        <x:v>COMMON</x:v>
      </x:c>
      <x:c r="K21" s="8" t="str">
        <x:v>FITTED</x:v>
      </x:c>
      <x:c r="L21" s="9" t="n">
        <x:v>8</x:v>
      </x:c>
      <x:c r="M21" s="9" t="n">
        <x:v>160</x:v>
      </x:c>
      <x:c r="N21" s="9" t="n">
        <x:v>24</x:v>
      </x:c>
      <x:c r="O21" s="9" t="n">
        <x:v>184</x:v>
      </x:c>
      <x:c r="P21" s="9" t="n">
        <x:v>328</x:v>
      </x:c>
      <x:c r="Q21" s="9" t="n">
        <x:v>48</x:v>
      </x:c>
      <x:c r="R21" s="9" t="n">
        <x:v>376</x:v>
      </x:c>
      <x:c r="S21" s="8" t="str">
        <x:v>COMMON_PROGRAM_PROCUREMENT</x:v>
      </x:c>
      <x:c r="T21" s="8" t="str">
        <x:v>MECHANICAL_AUTHORITY_FROZEN_PENDING_SI_AAD</x:v>
      </x:c>
      <x:c r="U21" s="8" t="str">
        <x:v>Marking MPN package orientation electrical functional sample | Mating pull test contact resistance continuity and temperature</x:v>
      </x:c>
    </x:row>
    <x:row r="22">
      <x:c r="A22" s="8" t="str">
        <x:v>PR-020</x:v>
      </x:c>
      <x:c r="B22" s="8" t="str">
        <x:v>HARNESS-MIC</x:v>
      </x:c>
      <x:c r="C22" s="8" t="str">
        <x:v>H-MIC</x:v>
      </x:c>
      <x:c r="D22" s="8" t="str">
        <x:v>H_MIC1:A/B;H_MIC2:A/B;H_MIC3:A/B;H_MIC4:A/B</x:v>
      </x:c>
      <x:c r="E22" s="8" t="str">
        <x:v>Housing</x:v>
      </x:c>
      <x:c r="F22" s="8" t="str">
        <x:v>Molex</x:v>
      </x:c>
      <x:c r="G22" s="8" t="str">
        <x:v>5040510601</x:v>
      </x:c>
      <x:c r="H22" s="8" t="str">
        <x:v>Pico-Lock 1.50 mm 6-circuit housing</x:v>
      </x:c>
      <x:c r="I22" s="8" t="str"/>
      <x:c r="J22" s="8" t="str">
        <x:v>COMMON</x:v>
      </x:c>
      <x:c r="K22" s="8" t="str">
        <x:v>FITTED</x:v>
      </x:c>
      <x:c r="L22" s="9" t="n">
        <x:v>8</x:v>
      </x:c>
      <x:c r="M22" s="9" t="n">
        <x:v>160</x:v>
      </x:c>
      <x:c r="N22" s="9" t="n">
        <x:v>16</x:v>
      </x:c>
      <x:c r="O22" s="9" t="n">
        <x:v>176</x:v>
      </x:c>
      <x:c r="P22" s="9" t="n">
        <x:v>328</x:v>
      </x:c>
      <x:c r="Q22" s="9" t="n">
        <x:v>32</x:v>
      </x:c>
      <x:c r="R22" s="9" t="n">
        <x:v>360</x:v>
      </x:c>
      <x:c r="S22" s="8" t="str">
        <x:v>COMMON_PROGRAM_PROCUREMENT</x:v>
      </x:c>
      <x:c r="T22" s="8" t="str">
        <x:v>SELECTED_PENDING_HARNESS_LENGTH_PULL_TEST</x:v>
      </x:c>
      <x:c r="U22" s="8" t="str">
        <x:v>Marking MPN package orientation electrical functional sample</x:v>
      </x:c>
    </x:row>
    <x:row r="23">
      <x:c r="A23" s="8" t="str">
        <x:v>PR-021</x:v>
      </x:c>
      <x:c r="B23" s="8" t="str">
        <x:v>HARNESS-MIC</x:v>
      </x:c>
      <x:c r="C23" s="8" t="str">
        <x:v>T-MIC</x:v>
      </x:c>
      <x:c r="D23" s="8" t="str">
        <x:v>H_MIC1..H_MIC4 contacts</x:v>
      </x:c>
      <x:c r="E23" s="8" t="str">
        <x:v>Terminal</x:v>
      </x:c>
      <x:c r="F23" s="8" t="str">
        <x:v>Molex</x:v>
      </x:c>
      <x:c r="G23" s="8" t="str">
        <x:v>5040520098</x:v>
      </x:c>
      <x:c r="H23" s="8" t="str">
        <x:v>Pico-Lock crimp terminal 28-24 AWG</x:v>
      </x:c>
      <x:c r="I23" s="8" t="str"/>
      <x:c r="J23" s="8" t="str">
        <x:v>COMMON</x:v>
      </x:c>
      <x:c r="K23" s="8" t="str">
        <x:v>FITTED</x:v>
      </x:c>
      <x:c r="L23" s="9" t="n">
        <x:v>48</x:v>
      </x:c>
      <x:c r="M23" s="9" t="n">
        <x:v>960</x:v>
      </x:c>
      <x:c r="N23" s="9" t="n">
        <x:v>48</x:v>
      </x:c>
      <x:c r="O23" s="9" t="n">
        <x:v>1008</x:v>
      </x:c>
      <x:c r="P23" s="9" t="n">
        <x:v>1968</x:v>
      </x:c>
      <x:c r="Q23" s="9" t="n">
        <x:v>96</x:v>
      </x:c>
      <x:c r="R23" s="9" t="n">
        <x:v>2064</x:v>
      </x:c>
      <x:c r="S23" s="8" t="str">
        <x:v>COMMON_PROGRAM_PROCUREMENT</x:v>
      </x:c>
      <x:c r="T23" s="8" t="str">
        <x:v>SELECTED_PENDING_CRIMP_PULL_TEST</x:v>
      </x:c>
      <x:c r="U23" s="8" t="str">
        <x:v>Marking MPN package orientation electrical functional sample</x:v>
      </x:c>
    </x:row>
    <x:row r="24">
      <x:c r="A24" s="8" t="str">
        <x:v>PR-022</x:v>
      </x:c>
      <x:c r="B24" s="8" t="str">
        <x:v>SYSTEM</x:v>
      </x:c>
      <x:c r="C24" s="8" t="str">
        <x:v>ANT-GNSS</x:v>
      </x:c>
      <x:c r="D24" s="8" t="str">
        <x:v>AE2</x:v>
      </x:c>
      <x:c r="E24" s="8" t="str">
        <x:v>Antenna</x:v>
      </x:c>
      <x:c r="F24" s="8" t="str">
        <x:v>Taoglas</x:v>
      </x:c>
      <x:c r="G24" s="8" t="str">
        <x:v>AA.166.A.301111</x:v>
      </x:c>
      <x:c r="H24" s="8" t="str">
        <x:v>IP67 magnetic 37.8x40.4x10 mm with 3 m RG174 SMA(M)</x:v>
      </x:c>
      <x:c r="I24" s="8" t="str"/>
      <x:c r="J24" s="8" t="str">
        <x:v>COMMON</x:v>
      </x:c>
      <x:c r="K24" s="8" t="str">
        <x:v>FITTED</x:v>
      </x:c>
      <x:c r="L24" s="9" t="n">
        <x:v>1</x:v>
      </x:c>
      <x:c r="M24" s="9" t="n">
        <x:v>20</x:v>
      </x:c>
      <x:c r="N24" s="9" t="n">
        <x:v>2</x:v>
      </x:c>
      <x:c r="O24" s="9" t="n">
        <x:v>22</x:v>
      </x:c>
      <x:c r="P24" s="9" t="n">
        <x:v>41</x:v>
      </x:c>
      <x:c r="Q24" s="9" t="n">
        <x:v>4</x:v>
      </x:c>
      <x:c r="R24" s="9" t="n">
        <x:v>45</x:v>
      </x:c>
      <x:c r="S24" s="8" t="str">
        <x:v>COMMON_PROGRAM_PROCUREMENT</x:v>
      </x:c>
      <x:c r="T24" s="8" t="str">
        <x:v>CONTROLLED_EVT_PURCHASE_EXACT_MPN_VALIDATION_DURING_ASSEMBLY_EVT</x:v>
      </x:c>
      <x:c r="U24" s="8" t="str">
        <x:v>Reconcile PO packing slip quantity and visible damage; verify connector cable route current at 3.3 V receiver sensitivity PPS mounting and coexistence during assembly EOL and EVT</x:v>
      </x:c>
    </x:row>
    <x:row r="25">
      <x:c r="A25" s="8" t="str">
        <x:v>PR-023</x:v>
      </x:c>
      <x:c r="B25" s="8" t="str">
        <x:v>PCB-MAIN</x:v>
      </x:c>
      <x:c r="C25" s="8" t="str">
        <x:v>MAIN-010-FL1</x:v>
      </x:c>
      <x:c r="D25" s="8" t="str">
        <x:v>FL1</x:v>
      </x:c>
      <x:c r="E25" s="8" t="str">
        <x:v>SAW_Filter</x:v>
      </x:c>
      <x:c r="F25" s="8" t="str">
        <x:v>Abracon</x:v>
      </x:c>
      <x:c r="G25" s="8" t="str">
        <x:v>ABSES5AF-L100KM</x:v>
      </x:c>
      <x:c r="H25" s="8" t="str">
        <x:v>1109-5</x:v>
      </x:c>
      <x:c r="I25" s="8" t="str">
        <x:v>1582.4 MHz wideband GNSS SAW</x:v>
      </x:c>
      <x:c r="J25" s="8" t="str">
        <x:v>COMMON</x:v>
      </x:c>
      <x:c r="K25" s="8" t="str">
        <x:v>FITTED</x:v>
      </x:c>
      <x:c r="L25" s="9" t="n">
        <x:v>1</x:v>
      </x:c>
      <x:c r="M25" s="9" t="n">
        <x:v>20</x:v>
      </x:c>
      <x:c r="N25" s="9" t="n">
        <x:v>0</x:v>
      </x:c>
      <x:c r="O25" s="9" t="n">
        <x:v>20</x:v>
      </x:c>
      <x:c r="P25" s="9" t="n">
        <x:v>41</x:v>
      </x:c>
      <x:c r="Q25" s="9" t="n">
        <x:v>0</x:v>
      </x:c>
      <x:c r="R25" s="9" t="n">
        <x:v>41</x:v>
      </x:c>
      <x:c r="S25" s="8" t="str">
        <x:v>COMMON_PROGRAM_PROCUREMENT</x:v>
      </x:c>
      <x:c r="T25" s="8" t="str">
        <x:v>SELECTED_PENDING_REVIEW_A</x:v>
      </x:c>
      <x:c r="U25" s="8" t="str">
        <x:v>Marking MPN package orientation electrical functional sample</x:v>
      </x:c>
    </x:row>
    <x:row r="26">
      <x:c r="A26" s="8" t="str">
        <x:v>PR-024</x:v>
      </x:c>
      <x:c r="B26" s="8" t="str">
        <x:v>PCB-MAIN</x:v>
      </x:c>
      <x:c r="C26" s="8" t="str">
        <x:v>U8</x:v>
      </x:c>
      <x:c r="D26" s="8" t="str">
        <x:v>U8</x:v>
      </x:c>
      <x:c r="E26" s="8" t="str">
        <x:v>Cellular</x:v>
      </x:c>
      <x:c r="F26" s="8" t="str">
        <x:v>Quectel</x:v>
      </x:c>
      <x:c r="G26" s="8" t="str">
        <x:v>BG95-M3</x:v>
      </x:c>
      <x:c r="H26" s="8" t="str">
        <x:v>LGA-102_23.6x19.9mm</x:v>
      </x:c>
      <x:c r="I26" s="8" t="str"/>
      <x:c r="J26" s="8" t="str">
        <x:v>COMMON</x:v>
      </x:c>
      <x:c r="K26" s="8" t="str">
        <x:v>FITTED</x:v>
      </x:c>
      <x:c r="L26" s="9" t="n">
        <x:v>1</x:v>
      </x:c>
      <x:c r="M26" s="9" t="n">
        <x:v>20</x:v>
      </x:c>
      <x:c r="N26" s="9" t="n">
        <x:v>5</x:v>
      </x:c>
      <x:c r="O26" s="9" t="n">
        <x:v>25</x:v>
      </x:c>
      <x:c r="P26" s="9" t="n">
        <x:v>41</x:v>
      </x:c>
      <x:c r="Q26" s="9" t="n">
        <x:v>10</x:v>
      </x:c>
      <x:c r="R26" s="9" t="n">
        <x:v>51</x:v>
      </x:c>
      <x:c r="S26" s="8" t="str">
        <x:v>COMMON_PROGRAM_PROCUREMENT</x:v>
      </x:c>
      <x:c r="T26" s="8" t="str">
        <x:v>SELECTED_PENDING_INCOMING_ID_AND_POST_ASSEMBLY_EVT</x:v>
      </x:c>
      <x:c r="U26" s="8" t="str">
        <x:v>IMEI label firmware RF conducted attach TLS</x:v>
      </x:c>
    </x:row>
    <x:row r="27">
      <x:c r="A27" s="8" t="str">
        <x:v>PR-025</x:v>
      </x:c>
      <x:c r="B27" s="8" t="str">
        <x:v>PCB-MAIN</x:v>
      </x:c>
      <x:c r="C27" s="8" t="str">
        <x:v>MAIN-010-FB1</x:v>
      </x:c>
      <x:c r="D27" s="8" t="str">
        <x:v>FB1</x:v>
      </x:c>
      <x:c r="E27" s="8" t="str">
        <x:v>Ferrite_Bead</x:v>
      </x:c>
      <x:c r="F27" s="8" t="str">
        <x:v>Murata</x:v>
      </x:c>
      <x:c r="G27" s="8" t="str">
        <x:v>BLM31KN601SN1L</x:v>
      </x:c>
      <x:c r="H27" s="8" t="str">
        <x:v>1206</x:v>
      </x:c>
      <x:c r="I27" s="8" t="str">
        <x:v>600 Ohm at 100 MHz</x:v>
      </x:c>
      <x:c r="J27" s="8" t="str">
        <x:v>COMMON</x:v>
      </x:c>
      <x:c r="K27" s="8" t="str">
        <x:v>FITTED</x:v>
      </x:c>
      <x:c r="L27" s="9" t="n">
        <x:v>1</x:v>
      </x:c>
      <x:c r="M27" s="9" t="n">
        <x:v>20</x:v>
      </x:c>
      <x:c r="N27" s="9" t="n">
        <x:v>0</x:v>
      </x:c>
      <x:c r="O27" s="9" t="n">
        <x:v>20</x:v>
      </x:c>
      <x:c r="P27" s="9" t="n">
        <x:v>41</x:v>
      </x:c>
      <x:c r="Q27" s="9" t="n">
        <x:v>0</x:v>
      </x:c>
      <x:c r="R27" s="9" t="n">
        <x:v>41</x:v>
      </x:c>
      <x:c r="S27" s="8" t="str">
        <x:v>COMMON_PROGRAM_PROCUREMENT</x:v>
      </x:c>
      <x:c r="T27" s="8" t="str">
        <x:v>SELECTED_PENDING_REVIEW_A</x:v>
      </x:c>
      <x:c r="U27" s="8" t="str">
        <x:v>Marking MPN package orientation electrical functional sample</x:v>
      </x:c>
    </x:row>
    <x:row r="28">
      <x:c r="A28" s="8" t="str">
        <x:v>PR-026</x:v>
      </x:c>
      <x:c r="B28" s="8" t="str">
        <x:v>SYSTEM</x:v>
      </x:c>
      <x:c r="C28" s="8" t="str">
        <x:v>RF-PIGTAIL</x:v>
      </x:c>
      <x:c r="D28" s="8" t="str">
        <x:v>J8/J9/J10 cable</x:v>
      </x:c>
      <x:c r="E28" s="8" t="str">
        <x:v>RF cable</x:v>
      </x:c>
      <x:c r="F28" s="8" t="str">
        <x:v>Taoglas</x:v>
      </x:c>
      <x:c r="G28" s="8" t="str">
        <x:v>CAB.0243</x:v>
      </x:c>
      <x:c r="H28" s="8" t="str">
        <x:v>1.13 mm micro-coax 150 mm MHF I/U.FL-compatible R/A to waterproof SMA(F) bulkhead</x:v>
      </x:c>
      <x:c r="I28" s="8" t="str"/>
      <x:c r="J28" s="8" t="str">
        <x:v>COMMON</x:v>
      </x:c>
      <x:c r="K28" s="8" t="str">
        <x:v>FITTED</x:v>
      </x:c>
      <x:c r="L28" s="9" t="n">
        <x:v>3</x:v>
      </x:c>
      <x:c r="M28" s="9" t="n">
        <x:v>60</x:v>
      </x:c>
      <x:c r="N28" s="9" t="n">
        <x:v>6</x:v>
      </x:c>
      <x:c r="O28" s="9" t="n">
        <x:v>66</x:v>
      </x:c>
      <x:c r="P28" s="9" t="n">
        <x:v>123</x:v>
      </x:c>
      <x:c r="Q28" s="9" t="n">
        <x:v>12</x:v>
      </x:c>
      <x:c r="R28" s="9" t="n">
        <x:v>135</x:v>
      </x:c>
      <x:c r="S28" s="8" t="str">
        <x:v>COMMON_PROGRAM_PROCUREMENT</x:v>
      </x:c>
      <x:c r="T28" s="8" t="str">
        <x:v>CONTROLLED_EVT_PURCHASE_EXACT_MPN_VALIDATION_DURING_ASSEMBLY_EVT</x:v>
      </x:c>
      <x:c r="U28" s="8" t="str">
        <x:v>Reconcile PO packing slip quantity and visible damage; verify every installed cable continuity polarity length and route then mate retention bend seal torque temperature and VNA performance during assembly EOL and EVT</x:v>
      </x:c>
    </x:row>
    <x:row r="29">
      <x:c r="A29" s="8" t="str">
        <x:v>PR-027</x:v>
      </x:c>
      <x:c r="B29" s="8" t="str">
        <x:v>PCB-PWR</x:v>
      </x:c>
      <x:c r="C29" s="8" t="str">
        <x:v>PWR-C-100N</x:v>
      </x:c>
      <x:c r="D29" s="8" t="str">
        <x:v>C1;C2;C4;C6</x:v>
      </x:c>
      <x:c r="E29" s="8" t="str">
        <x:v>Passive</x:v>
      </x:c>
      <x:c r="F29" s="8" t="str">
        <x:v>TDK</x:v>
      </x:c>
      <x:c r="G29" s="8" t="str">
        <x:v>CGA2B3X7R1E104K050BB</x:v>
      </x:c>
      <x:c r="H29" s="8" t="str">
        <x:v>0402</x:v>
      </x:c>
      <x:c r="I29" s="8" t="str">
        <x:v>100 nF 25 V X7R</x:v>
      </x:c>
      <x:c r="J29" s="8" t="str">
        <x:v>COMMON</x:v>
      </x:c>
      <x:c r="K29" s="8" t="str">
        <x:v>FITTED</x:v>
      </x:c>
      <x:c r="L29" s="9" t="n">
        <x:v>4</x:v>
      </x:c>
      <x:c r="M29" s="9" t="n">
        <x:v>80</x:v>
      </x:c>
      <x:c r="N29" s="9" t="n">
        <x:v>40</x:v>
      </x:c>
      <x:c r="O29" s="9" t="n">
        <x:v>120</x:v>
      </x:c>
      <x:c r="P29" s="9" t="n">
        <x:v>164</x:v>
      </x:c>
      <x:c r="Q29" s="9" t="n">
        <x:v>80</x:v>
      </x:c>
      <x:c r="R29" s="9" t="n">
        <x:v>244</x:v>
      </x:c>
      <x:c r="S29" s="8" t="str">
        <x:v>COMMON_PROGRAM_PROCUREMENT</x:v>
      </x:c>
      <x:c r="T29" s="8" t="str">
        <x:v>LOCKED_CANDIDATE_PENDING_DERATING</x:v>
      </x:c>
      <x:c r="U29" s="8" t="str">
        <x:v>Marking MPN package orientation electrical functional sample</x:v>
      </x:c>
    </x:row>
    <x:row r="30">
      <x:c r="A30" s="8" t="str">
        <x:v>PR-028</x:v>
      </x:c>
      <x:c r="B30" s="8" t="str">
        <x:v>PCB-MIC</x:v>
      </x:c>
      <x:c r="C30" s="8" t="str">
        <x:v>C-MIC</x:v>
      </x:c>
      <x:c r="D30" s="8" t="str">
        <x:v>PCB-MIC:C1 x4</x:v>
      </x:c>
      <x:c r="E30" s="8" t="str">
        <x:v>Passive</x:v>
      </x:c>
      <x:c r="F30" s="8" t="str">
        <x:v>TDK</x:v>
      </x:c>
      <x:c r="G30" s="8" t="str">
        <x:v>CGA2B3X7R1E104K050BB</x:v>
      </x:c>
      <x:c r="H30" s="8" t="str">
        <x:v>0402 1005 metric</x:v>
      </x:c>
      <x:c r="I30" s="8" t="str">
        <x:v>100 nF 25 V X7R</x:v>
      </x:c>
      <x:c r="J30" s="8" t="str">
        <x:v>COMMON</x:v>
      </x:c>
      <x:c r="K30" s="8" t="str">
        <x:v>FITTED</x:v>
      </x:c>
      <x:c r="L30" s="9" t="n">
        <x:v>4</x:v>
      </x:c>
      <x:c r="M30" s="9" t="n">
        <x:v>80</x:v>
      </x:c>
      <x:c r="N30" s="9" t="n">
        <x:v>40</x:v>
      </x:c>
      <x:c r="O30" s="9" t="n">
        <x:v>120</x:v>
      </x:c>
      <x:c r="P30" s="9" t="n">
        <x:v>164</x:v>
      </x:c>
      <x:c r="Q30" s="9" t="n">
        <x:v>80</x:v>
      </x:c>
      <x:c r="R30" s="9" t="n">
        <x:v>244</x:v>
      </x:c>
      <x:c r="S30" s="8" t="str">
        <x:v>COMMON_PROGRAM_PROCUREMENT</x:v>
      </x:c>
      <x:c r="T30" s="8" t="str">
        <x:v>SELECTED_PENDING_SAMPLE</x:v>
      </x:c>
      <x:c r="U30" s="8" t="str">
        <x:v>Value package reel label capacitance sample</x:v>
      </x:c>
    </x:row>
    <x:row r="31">
      <x:c r="A31" s="8" t="str">
        <x:v>PR-029</x:v>
      </x:c>
      <x:c r="B31" s="8" t="str">
        <x:v>PCB-PWR</x:v>
      </x:c>
      <x:c r="C31" s="8" t="str">
        <x:v>PWR-C-LDO</x:v>
      </x:c>
      <x:c r="D31" s="8" t="str">
        <x:v>C7;C8</x:v>
      </x:c>
      <x:c r="E31" s="8" t="str">
        <x:v>Passive</x:v>
      </x:c>
      <x:c r="F31" s="8" t="str">
        <x:v>TDK</x:v>
      </x:c>
      <x:c r="G31" s="8" t="str">
        <x:v>CGA3E1X7R1A225K080AC</x:v>
      </x:c>
      <x:c r="H31" s="8" t="str">
        <x:v>0603</x:v>
      </x:c>
      <x:c r="I31" s="8" t="str">
        <x:v>2.2 uF 10 V X7R</x:v>
      </x:c>
      <x:c r="J31" s="8" t="str">
        <x:v>COMMON</x:v>
      </x:c>
      <x:c r="K31" s="8" t="str">
        <x:v>FITTED</x:v>
      </x:c>
      <x:c r="L31" s="9" t="n">
        <x:v>2</x:v>
      </x:c>
      <x:c r="M31" s="9" t="n">
        <x:v>40</x:v>
      </x:c>
      <x:c r="N31" s="9" t="n">
        <x:v>40</x:v>
      </x:c>
      <x:c r="O31" s="9" t="n">
        <x:v>80</x:v>
      </x:c>
      <x:c r="P31" s="9" t="n">
        <x:v>82</x:v>
      </x:c>
      <x:c r="Q31" s="9" t="n">
        <x:v>80</x:v>
      </x:c>
      <x:c r="R31" s="9" t="n">
        <x:v>162</x:v>
      </x:c>
      <x:c r="S31" s="8" t="str">
        <x:v>COMMON_PROGRAM_PROCUREMENT</x:v>
      </x:c>
      <x:c r="T31" s="8" t="str">
        <x:v>LOCKED_CANDIDATE_PENDING_DERATING</x:v>
      </x:c>
      <x:c r="U31" s="8" t="str">
        <x:v>Marking MPN package orientation electrical functional sample</x:v>
      </x:c>
    </x:row>
    <x:row r="32">
      <x:c r="A32" s="8" t="str">
        <x:v>PR-030</x:v>
      </x:c>
      <x:c r="B32" s="8" t="str">
        <x:v>PCB-PWR</x:v>
      </x:c>
      <x:c r="C32" s="8" t="str">
        <x:v>PWR-C-CIN-HF</x:v>
      </x:c>
      <x:c r="D32" s="8" t="str">
        <x:v>C9;C20;C21</x:v>
      </x:c>
      <x:c r="E32" s="8" t="str">
        <x:v>Passive</x:v>
      </x:c>
      <x:c r="F32" s="8" t="str">
        <x:v>TDK</x:v>
      </x:c>
      <x:c r="G32" s="8" t="str">
        <x:v>CGA3E2X7R1H104K080AA</x:v>
      </x:c>
      <x:c r="H32" s="8" t="str">
        <x:v>0603</x:v>
      </x:c>
      <x:c r="I32" s="8" t="str">
        <x:v>100 nF 50 V X7R</x:v>
      </x:c>
      <x:c r="J32" s="8" t="str">
        <x:v>COMMON</x:v>
      </x:c>
      <x:c r="K32" s="8" t="str">
        <x:v>FITTED</x:v>
      </x:c>
      <x:c r="L32" s="9" t="n">
        <x:v>3</x:v>
      </x:c>
      <x:c r="M32" s="9" t="n">
        <x:v>60</x:v>
      </x:c>
      <x:c r="N32" s="9" t="n">
        <x:v>40</x:v>
      </x:c>
      <x:c r="O32" s="9" t="n">
        <x:v>100</x:v>
      </x:c>
      <x:c r="P32" s="9" t="n">
        <x:v>123</x:v>
      </x:c>
      <x:c r="Q32" s="9" t="n">
        <x:v>80</x:v>
      </x:c>
      <x:c r="R32" s="9" t="n">
        <x:v>203</x:v>
      </x:c>
      <x:c r="S32" s="8" t="str">
        <x:v>COMMON_PROGRAM_PROCUREMENT</x:v>
      </x:c>
      <x:c r="T32" s="8" t="str">
        <x:v>CONTROLLED_CANDIDATE_PENDING_MULTIPLE_REVIEWS</x:v>
      </x:c>
      <x:c r="U32" s="8" t="str">
        <x:v>Marking MPN package orientation electrical functional sample</x:v>
      </x:c>
    </x:row>
    <x:row r="33">
      <x:c r="A33" s="8" t="str">
        <x:v>PR-031</x:v>
      </x:c>
      <x:c r="B33" s="8" t="str">
        <x:v>PCB-PWR</x:v>
      </x:c>
      <x:c r="C33" s="8" t="str">
        <x:v>PWR-COUT-3V3 | PWR-COUT-3V8</x:v>
      </x:c>
      <x:c r="D33" s="8" t="str">
        <x:v>C3;C14;C15;C16 | C5;C17;C18;C19</x:v>
      </x:c>
      <x:c r="E33" s="8" t="str">
        <x:v>Passive</x:v>
      </x:c>
      <x:c r="F33" s="8" t="str">
        <x:v>TDK</x:v>
      </x:c>
      <x:c r="G33" s="8" t="str">
        <x:v>CGA6P3X7R1E226M250AB</x:v>
      </x:c>
      <x:c r="H33" s="8" t="str">
        <x:v>1210</x:v>
      </x:c>
      <x:c r="I33" s="8" t="str">
        <x:v>22 uF 25 V X7R</x:v>
      </x:c>
      <x:c r="J33" s="8" t="str">
        <x:v>COMMON</x:v>
      </x:c>
      <x:c r="K33" s="8" t="str">
        <x:v>FITTED</x:v>
      </x:c>
      <x:c r="L33" s="9" t="n">
        <x:v>8</x:v>
      </x:c>
      <x:c r="M33" s="9" t="n">
        <x:v>160</x:v>
      </x:c>
      <x:c r="N33" s="9" t="n">
        <x:v>80</x:v>
      </x:c>
      <x:c r="O33" s="9" t="n">
        <x:v>240</x:v>
      </x:c>
      <x:c r="P33" s="9" t="n">
        <x:v>328</x:v>
      </x:c>
      <x:c r="Q33" s="9" t="n">
        <x:v>160</x:v>
      </x:c>
      <x:c r="R33" s="9" t="n">
        <x:v>488</x:v>
      </x:c>
      <x:c r="S33" s="8" t="str">
        <x:v>COMMON_PROGRAM_PROCUREMENT</x:v>
      </x:c>
      <x:c r="T33" s="8" t="str">
        <x:v>LOCKED_CANDIDATE_PENDING_DERATING</x:v>
      </x:c>
      <x:c r="U33" s="8" t="str">
        <x:v>Marking MPN package orientation electrical functional sample</x:v>
      </x:c>
    </x:row>
    <x:row r="34">
      <x:c r="A34" s="8" t="str">
        <x:v>PR-032</x:v>
      </x:c>
      <x:c r="B34" s="8" t="str">
        <x:v>PCB-PWR</x:v>
      </x:c>
      <x:c r="C34" s="8" t="str">
        <x:v>PWR-C-INPUT</x:v>
      </x:c>
      <x:c r="D34" s="8" t="str">
        <x:v>C10;C11;C12</x:v>
      </x:c>
      <x:c r="E34" s="8" t="str">
        <x:v>Passive</x:v>
      </x:c>
      <x:c r="F34" s="8" t="str">
        <x:v>TDK</x:v>
      </x:c>
      <x:c r="G34" s="8" t="str">
        <x:v>CGA6P3X7R1H475K250AB</x:v>
      </x:c>
      <x:c r="H34" s="8" t="str">
        <x:v>1210</x:v>
      </x:c>
      <x:c r="I34" s="8" t="str">
        <x:v>4.7 uF 50 V X7R</x:v>
      </x:c>
      <x:c r="J34" s="8" t="str">
        <x:v>COMMON</x:v>
      </x:c>
      <x:c r="K34" s="8" t="str">
        <x:v>FITTED</x:v>
      </x:c>
      <x:c r="L34" s="9" t="n">
        <x:v>3</x:v>
      </x:c>
      <x:c r="M34" s="9" t="n">
        <x:v>60</x:v>
      </x:c>
      <x:c r="N34" s="9" t="n">
        <x:v>40</x:v>
      </x:c>
      <x:c r="O34" s="9" t="n">
        <x:v>100</x:v>
      </x:c>
      <x:c r="P34" s="9" t="n">
        <x:v>123</x:v>
      </x:c>
      <x:c r="Q34" s="9" t="n">
        <x:v>80</x:v>
      </x:c>
      <x:c r="R34" s="9" t="n">
        <x:v>203</x:v>
      </x:c>
      <x:c r="S34" s="8" t="str">
        <x:v>COMMON_PROGRAM_PROCUREMENT</x:v>
      </x:c>
      <x:c r="T34" s="8" t="str">
        <x:v>CONTROLLED_CANDIDATE_PENDING_MULTIPLE_REVIEWS</x:v>
      </x:c>
      <x:c r="U34" s="8" t="str">
        <x:v>Marking MPN package orientation electrical functional sample</x:v>
      </x:c>
    </x:row>
    <x:row r="35">
      <x:c r="A35" s="8" t="str">
        <x:v>PR-033</x:v>
      </x:c>
      <x:c r="B35" s="8" t="str">
        <x:v>PCB-PWR</x:v>
      </x:c>
      <x:c r="C35" s="8" t="str">
        <x:v>PWR-REV-FET</x:v>
      </x:c>
      <x:c r="D35" s="8" t="str">
        <x:v>Q1</x:v>
      </x:c>
      <x:c r="E35" s="8" t="str">
        <x:v>Protection</x:v>
      </x:c>
      <x:c r="F35" s="8" t="str">
        <x:v>Texas Instruments</x:v>
      </x:c>
      <x:c r="G35" s="8" t="str">
        <x:v>CSD18540Q5B</x:v>
      </x:c>
      <x:c r="H35" s="8" t="str">
        <x:v>VSON-CLIP 5x6 mm</x:v>
      </x:c>
      <x:c r="I35" s="8" t="str"/>
      <x:c r="J35" s="8" t="str">
        <x:v>COMMON</x:v>
      </x:c>
      <x:c r="K35" s="8" t="str">
        <x:v>FITTED</x:v>
      </x:c>
      <x:c r="L35" s="9" t="n">
        <x:v>1</x:v>
      </x:c>
      <x:c r="M35" s="9" t="n">
        <x:v>20</x:v>
      </x:c>
      <x:c r="N35" s="9" t="n">
        <x:v>5</x:v>
      </x:c>
      <x:c r="O35" s="9" t="n">
        <x:v>25</x:v>
      </x:c>
      <x:c r="P35" s="9" t="n">
        <x:v>41</x:v>
      </x:c>
      <x:c r="Q35" s="9" t="n">
        <x:v>10</x:v>
      </x:c>
      <x:c r="R35" s="9" t="n">
        <x:v>51</x:v>
      </x:c>
      <x:c r="S35" s="8" t="str">
        <x:v>COMMON_PROGRAM_PROCUREMENT</x:v>
      </x:c>
      <x:c r="T35" s="8" t="str">
        <x:v>SELECTED_TECHNICALLY_PROCUREMENT_CHECK</x:v>
      </x:c>
      <x:c r="U35" s="8" t="str">
        <x:v>Marking Rds thermal and reverse fault test</x:v>
      </x:c>
    </x:row>
    <x:row r="36">
      <x:c r="A36" s="8" t="str">
        <x:v>PR-034</x:v>
      </x:c>
      <x:c r="B36" s="8" t="str">
        <x:v>PCB-MAIN</x:v>
      </x:c>
      <x:c r="C36" s="8" t="str">
        <x:v>U10</x:v>
      </x:c>
      <x:c r="D36" s="8" t="str">
        <x:v>U10</x:v>
      </x:c>
      <x:c r="E36" s="8" t="str">
        <x:v>LoRa</x:v>
      </x:c>
      <x:c r="F36" s="8" t="str">
        <x:v>Ebyte</x:v>
      </x:c>
      <x:c r="G36" s="8" t="str">
        <x:v>E22-900M22S</x:v>
      </x:c>
      <x:c r="H36" s="8" t="str">
        <x:v>SMD_20x14_22P_1.27mm</x:v>
      </x:c>
      <x:c r="I36" s="8" t="str"/>
      <x:c r="J36" s="8" t="str">
        <x:v>RU868_PILOT</x:v>
      </x:c>
      <x:c r="K36" s="8" t="str">
        <x:v>FITTED</x:v>
      </x:c>
      <x:c r="L36" s="9" t="n">
        <x:v>1</x:v>
      </x:c>
      <x:c r="M36" s="9" t="n">
        <x:v>20</x:v>
      </x:c>
      <x:c r="N36" s="9" t="n">
        <x:v>6</x:v>
      </x:c>
      <x:c r="O36" s="9" t="n">
        <x:v>26</x:v>
      </x:c>
      <x:c r="P36" s="9" t="n">
        <x:v>41</x:v>
      </x:c>
      <x:c r="Q36" s="9" t="n">
        <x:v>12</x:v>
      </x:c>
      <x:c r="R36" s="9" t="n">
        <x:v>53</x:v>
      </x:c>
      <x:c r="S36" s="8" t="str">
        <x:v>COMMON_PROGRAM_PROCUREMENT</x:v>
      </x:c>
      <x:c r="T36" s="8" t="str">
        <x:v>SELECTED_PENDING_CASTELLATED_OPTION_RF_REGULATORY</x:v>
      </x:c>
      <x:c r="U36" s="8" t="str">
        <x:v>Marking antenna-interface option firmware conducted power sensitivity sleep current</x:v>
      </x:c>
    </x:row>
    <x:row r="37">
      <x:c r="A37" s="8" t="str">
        <x:v>PR-035</x:v>
      </x:c>
      <x:c r="B37" s="8" t="str">
        <x:v>PCB-PWR</x:v>
      </x:c>
      <x:c r="C37" s="8" t="str">
        <x:v>PWR-C-BULK</x:v>
      </x:c>
      <x:c r="D37" s="8" t="str">
        <x:v>C13</x:v>
      </x:c>
      <x:c r="E37" s="8" t="str">
        <x:v>Passive</x:v>
      </x:c>
      <x:c r="F37" s="8" t="str">
        <x:v>Panasonic Industry</x:v>
      </x:c>
      <x:c r="G37" s="8" t="str">
        <x:v>EEH-ZK1V101XP</x:v>
      </x:c>
      <x:c r="H37" s="8" t="str">
        <x:v>SMD can 6.3x7.7 mm</x:v>
      </x:c>
      <x:c r="I37" s="8" t="str">
        <x:v>100 uF 35 V hybrid</x:v>
      </x:c>
      <x:c r="J37" s="8" t="str">
        <x:v>COMMON</x:v>
      </x:c>
      <x:c r="K37" s="8" t="str">
        <x:v>FITTED</x:v>
      </x:c>
      <x:c r="L37" s="9" t="n">
        <x:v>1</x:v>
      </x:c>
      <x:c r="M37" s="9" t="n">
        <x:v>20</x:v>
      </x:c>
      <x:c r="N37" s="9" t="n">
        <x:v>40</x:v>
      </x:c>
      <x:c r="O37" s="9" t="n">
        <x:v>60</x:v>
      </x:c>
      <x:c r="P37" s="9" t="n">
        <x:v>41</x:v>
      </x:c>
      <x:c r="Q37" s="9" t="n">
        <x:v>80</x:v>
      </x:c>
      <x:c r="R37" s="9" t="n">
        <x:v>121</x:v>
      </x:c>
      <x:c r="S37" s="8" t="str">
        <x:v>COMMON_PROGRAM_PROCUREMENT</x:v>
      </x:c>
      <x:c r="T37" s="8" t="str">
        <x:v>LOCKED_CANDIDATE_PACKAGE_REVIEW_PENDING</x:v>
      </x:c>
      <x:c r="U37" s="8" t="str">
        <x:v>Marking MPN package orientation electrical functional sample</x:v>
      </x:c>
    </x:row>
    <x:row r="38">
      <x:c r="A38" s="8" t="str">
        <x:v>PR-036</x:v>
      </x:c>
      <x:c r="B38" s="8" t="str">
        <x:v>PCB-PWR</x:v>
      </x:c>
      <x:c r="C38" s="8" t="str">
        <x:v>PWR-R-100K-01</x:v>
      </x:c>
      <x:c r="D38" s="8" t="str">
        <x:v>R1</x:v>
      </x:c>
      <x:c r="E38" s="8" t="str">
        <x:v>Passive</x:v>
      </x:c>
      <x:c r="F38" s="8" t="str">
        <x:v>Panasonic Industry</x:v>
      </x:c>
      <x:c r="G38" s="8" t="str">
        <x:v>ERA-2AEB104X</x:v>
      </x:c>
      <x:c r="H38" s="8" t="str">
        <x:v>0402</x:v>
      </x:c>
      <x:c r="I38" s="8" t="str">
        <x:v>100 kOhm 0.1%</x:v>
      </x:c>
      <x:c r="J38" s="8" t="str">
        <x:v>COMMON</x:v>
      </x:c>
      <x:c r="K38" s="8" t="str">
        <x:v>FITTED</x:v>
      </x:c>
      <x:c r="L38" s="9" t="n">
        <x:v>1</x:v>
      </x:c>
      <x:c r="M38" s="9" t="n">
        <x:v>20</x:v>
      </x:c>
      <x:c r="N38" s="9" t="n">
        <x:v>40</x:v>
      </x:c>
      <x:c r="O38" s="9" t="n">
        <x:v>60</x:v>
      </x:c>
      <x:c r="P38" s="9" t="n">
        <x:v>41</x:v>
      </x:c>
      <x:c r="Q38" s="9" t="n">
        <x:v>80</x:v>
      </x:c>
      <x:c r="R38" s="9" t="n">
        <x:v>121</x:v>
      </x:c>
      <x:c r="S38" s="8" t="str">
        <x:v>COMMON_PROGRAM_PROCUREMENT</x:v>
      </x:c>
      <x:c r="T38" s="8" t="str">
        <x:v>LOCKED_CANDIDATE</x:v>
      </x:c>
      <x:c r="U38" s="8" t="str">
        <x:v>Marking MPN package orientation electrical functional sample</x:v>
      </x:c>
    </x:row>
    <x:row r="39">
      <x:c r="A39" s="8" t="str">
        <x:v>PR-037</x:v>
      </x:c>
      <x:c r="B39" s="8" t="str">
        <x:v>PCB-PWR</x:v>
      </x:c>
      <x:c r="C39" s="8" t="str">
        <x:v>PWR-R-35K7</x:v>
      </x:c>
      <x:c r="D39" s="8" t="str">
        <x:v>R2</x:v>
      </x:c>
      <x:c r="E39" s="8" t="str">
        <x:v>Passive</x:v>
      </x:c>
      <x:c r="F39" s="8" t="str">
        <x:v>Panasonic Industry</x:v>
      </x:c>
      <x:c r="G39" s="8" t="str">
        <x:v>ERA-2AEB3572X</x:v>
      </x:c>
      <x:c r="H39" s="8" t="str">
        <x:v>0402</x:v>
      </x:c>
      <x:c r="I39" s="8" t="str">
        <x:v>35.7 kOhm 0.1%</x:v>
      </x:c>
      <x:c r="J39" s="8" t="str">
        <x:v>COMMON</x:v>
      </x:c>
      <x:c r="K39" s="8" t="str">
        <x:v>FITTED</x:v>
      </x:c>
      <x:c r="L39" s="9" t="n">
        <x:v>1</x:v>
      </x:c>
      <x:c r="M39" s="9" t="n">
        <x:v>20</x:v>
      </x:c>
      <x:c r="N39" s="9" t="n">
        <x:v>40</x:v>
      </x:c>
      <x:c r="O39" s="9" t="n">
        <x:v>60</x:v>
      </x:c>
      <x:c r="P39" s="9" t="n">
        <x:v>41</x:v>
      </x:c>
      <x:c r="Q39" s="9" t="n">
        <x:v>80</x:v>
      </x:c>
      <x:c r="R39" s="9" t="n">
        <x:v>121</x:v>
      </x:c>
      <x:c r="S39" s="8" t="str">
        <x:v>COMMON_PROGRAM_PROCUREMENT</x:v>
      </x:c>
      <x:c r="T39" s="8" t="str">
        <x:v>LOCKED_CANDIDATE</x:v>
      </x:c>
      <x:c r="U39" s="8" t="str">
        <x:v>Marking MPN package orientation electrical functional sample</x:v>
      </x:c>
    </x:row>
    <x:row r="40">
      <x:c r="A40" s="8" t="str">
        <x:v>PR-038</x:v>
      </x:c>
      <x:c r="B40" s="8" t="str">
        <x:v>PCB-PWR</x:v>
      </x:c>
      <x:c r="C40" s="8" t="str">
        <x:v>PWR-R-86K6</x:v>
      </x:c>
      <x:c r="D40" s="8" t="str">
        <x:v>R3;R7</x:v>
      </x:c>
      <x:c r="E40" s="8" t="str">
        <x:v>Passive</x:v>
      </x:c>
      <x:c r="F40" s="8" t="str">
        <x:v>Panasonic Industry</x:v>
      </x:c>
      <x:c r="G40" s="8" t="str">
        <x:v>ERA-2AEB8662X</x:v>
      </x:c>
      <x:c r="H40" s="8" t="str">
        <x:v>0402</x:v>
      </x:c>
      <x:c r="I40" s="8" t="str">
        <x:v>86.6 kOhm 0.1%</x:v>
      </x:c>
      <x:c r="J40" s="8" t="str">
        <x:v>COMMON</x:v>
      </x:c>
      <x:c r="K40" s="8" t="str">
        <x:v>FITTED</x:v>
      </x:c>
      <x:c r="L40" s="9" t="n">
        <x:v>2</x:v>
      </x:c>
      <x:c r="M40" s="9" t="n">
        <x:v>40</x:v>
      </x:c>
      <x:c r="N40" s="9" t="n">
        <x:v>40</x:v>
      </x:c>
      <x:c r="O40" s="9" t="n">
        <x:v>80</x:v>
      </x:c>
      <x:c r="P40" s="9" t="n">
        <x:v>82</x:v>
      </x:c>
      <x:c r="Q40" s="9" t="n">
        <x:v>80</x:v>
      </x:c>
      <x:c r="R40" s="9" t="n">
        <x:v>162</x:v>
      </x:c>
      <x:c r="S40" s="8" t="str">
        <x:v>COMMON_PROGRAM_PROCUREMENT</x:v>
      </x:c>
      <x:c r="T40" s="8" t="str">
        <x:v>LOCKED_CANDIDATE</x:v>
      </x:c>
      <x:c r="U40" s="8" t="str">
        <x:v>Marking MPN package orientation electrical functional sample</x:v>
      </x:c>
    </x:row>
    <x:row r="41">
      <x:c r="A41" s="8" t="str">
        <x:v>PR-040</x:v>
      </x:c>
      <x:c r="B41" s="8" t="str">
        <x:v>PCB-MAIN</x:v>
      </x:c>
      <x:c r="C41" s="8" t="str">
        <x:v>MAIN-010-R103 | MAIN-010-R39 | MAIN-010-R40 | MAIN-010-R42 | MAIN-010-R43 | MAIN-010-R50 | MAIN-010-R51 | MAIN-010-R52 | MAIN-010-R53 | MAIN-010-R54 | MAIN-010-R55 | MAIN-010-R73</x:v>
      </x:c>
      <x:c r="D41" s="8" t="str">
        <x:v>R103 | R39 | R40 | R42 | R43 | R50 | R51 | R52 | R53 | R54 | R55 | R73</x:v>
      </x:c>
      <x:c r="E41" s="8" t="str">
        <x:v>Resistor</x:v>
      </x:c>
      <x:c r="F41" s="8" t="str">
        <x:v>Panasonic</x:v>
      </x:c>
      <x:c r="G41" s="8" t="str">
        <x:v>ERJ-2GE0R00X</x:v>
      </x:c>
      <x:c r="H41" s="8" t="str">
        <x:v>0402</x:v>
      </x:c>
      <x:c r="I41" s="8" t="str">
        <x:v>0 Ohm</x:v>
      </x:c>
      <x:c r="J41" s="8" t="str">
        <x:v>COMMON</x:v>
      </x:c>
      <x:c r="K41" s="8" t="str">
        <x:v>FITTED</x:v>
      </x:c>
      <x:c r="L41" s="9" t="n">
        <x:v>12</x:v>
      </x:c>
      <x:c r="M41" s="9" t="n">
        <x:v>240</x:v>
      </x:c>
      <x:c r="N41" s="9" t="n">
        <x:v>0</x:v>
      </x:c>
      <x:c r="O41" s="9" t="n">
        <x:v>240</x:v>
      </x:c>
      <x:c r="P41" s="9" t="n">
        <x:v>492</x:v>
      </x:c>
      <x:c r="Q41" s="9" t="n">
        <x:v>0</x:v>
      </x:c>
      <x:c r="R41" s="9" t="n">
        <x:v>492</x:v>
      </x:c>
      <x:c r="S41" s="8" t="str">
        <x:v>COMMON_PROGRAM_PROCUREMENT</x:v>
      </x:c>
      <x:c r="T41" s="8" t="str">
        <x:v>SELECTED_PENDING_REVIEW_A</x:v>
      </x:c>
      <x:c r="U41" s="8" t="str">
        <x:v>Marking MPN package orientation electrical functional sample</x:v>
      </x:c>
    </x:row>
    <x:row r="42">
      <x:c r="A42" s="8" t="str">
        <x:v>PR-042</x:v>
      </x:c>
      <x:c r="B42" s="8" t="str">
        <x:v>PCB-PWR</x:v>
      </x:c>
      <x:c r="C42" s="8" t="str">
        <x:v>PWR-R-0R</x:v>
      </x:c>
      <x:c r="D42" s="8" t="str">
        <x:v>R4;R8</x:v>
      </x:c>
      <x:c r="E42" s="8" t="str">
        <x:v>Passive</x:v>
      </x:c>
      <x:c r="F42" s="8" t="str">
        <x:v>Panasonic Industry</x:v>
      </x:c>
      <x:c r="G42" s="8" t="str">
        <x:v>ERJ-2GE0R00X</x:v>
      </x:c>
      <x:c r="H42" s="8" t="str">
        <x:v>0402</x:v>
      </x:c>
      <x:c r="I42" s="8" t="str">
        <x:v>0 ohm</x:v>
      </x:c>
      <x:c r="J42" s="8" t="str">
        <x:v>COMMON</x:v>
      </x:c>
      <x:c r="K42" s="8" t="str">
        <x:v>FITTED</x:v>
      </x:c>
      <x:c r="L42" s="9" t="n">
        <x:v>2</x:v>
      </x:c>
      <x:c r="M42" s="9" t="n">
        <x:v>40</x:v>
      </x:c>
      <x:c r="N42" s="9" t="n">
        <x:v>40</x:v>
      </x:c>
      <x:c r="O42" s="9" t="n">
        <x:v>80</x:v>
      </x:c>
      <x:c r="P42" s="9" t="n">
        <x:v>82</x:v>
      </x:c>
      <x:c r="Q42" s="9" t="n">
        <x:v>80</x:v>
      </x:c>
      <x:c r="R42" s="9" t="n">
        <x:v>162</x:v>
      </x:c>
      <x:c r="S42" s="8" t="str">
        <x:v>COMMON_PROGRAM_PROCUREMENT</x:v>
      </x:c>
      <x:c r="T42" s="8" t="str">
        <x:v>LOCKED_FITTED</x:v>
      </x:c>
      <x:c r="U42" s="8" t="str">
        <x:v>Marking MPN package orientation electrical functional sample</x:v>
      </x:c>
    </x:row>
    <x:row r="43">
      <x:c r="A43" s="8" t="str">
        <x:v>PR-043</x:v>
      </x:c>
      <x:c r="B43" s="8" t="str">
        <x:v>PCB-MIC</x:v>
      </x:c>
      <x:c r="C43" s="8" t="str">
        <x:v>R-MIC</x:v>
      </x:c>
      <x:c r="D43" s="8" t="str">
        <x:v>PCB-MIC:R1 x4</x:v>
      </x:c>
      <x:c r="E43" s="8" t="str">
        <x:v>Passive</x:v>
      </x:c>
      <x:c r="F43" s="8" t="str">
        <x:v>Panasonic Industry</x:v>
      </x:c>
      <x:c r="G43" s="8" t="str">
        <x:v>ERJ-2GE0R00X</x:v>
      </x:c>
      <x:c r="H43" s="8" t="str">
        <x:v>0402 1005 metric</x:v>
      </x:c>
      <x:c r="I43" s="8" t="str">
        <x:v>0 ohm</x:v>
      </x:c>
      <x:c r="J43" s="8" t="str">
        <x:v>COMMON</x:v>
      </x:c>
      <x:c r="K43" s="8" t="str">
        <x:v>FITTED</x:v>
      </x:c>
      <x:c r="L43" s="9" t="n">
        <x:v>4</x:v>
      </x:c>
      <x:c r="M43" s="9" t="n">
        <x:v>80</x:v>
      </x:c>
      <x:c r="N43" s="9" t="n">
        <x:v>40</x:v>
      </x:c>
      <x:c r="O43" s="9" t="n">
        <x:v>120</x:v>
      </x:c>
      <x:c r="P43" s="9" t="n">
        <x:v>164</x:v>
      </x:c>
      <x:c r="Q43" s="9" t="n">
        <x:v>80</x:v>
      </x:c>
      <x:c r="R43" s="9" t="n">
        <x:v>244</x:v>
      </x:c>
      <x:c r="S43" s="8" t="str">
        <x:v>COMMON_PROGRAM_PROCUREMENT</x:v>
      </x:c>
      <x:c r="T43" s="8" t="str">
        <x:v>SELECTED_POPULATED_BASELINE_PENDING_SI</x:v>
      </x:c>
      <x:c r="U43" s="8" t="str">
        <x:v>Marking MPN package orientation electrical functional sample</x:v>
      </x:c>
    </x:row>
    <x:row r="44">
      <x:c r="A44" s="8" t="str">
        <x:v>PR-044</x:v>
      </x:c>
      <x:c r="B44" s="8" t="str">
        <x:v>PCB-MAIN</x:v>
      </x:c>
      <x:c r="C44" s="8" t="str">
        <x:v>MAIN-010-R60 | MAIN-010-R61</x:v>
      </x:c>
      <x:c r="D44" s="8" t="str">
        <x:v>R60 | R61</x:v>
      </x:c>
      <x:c r="E44" s="8" t="str">
        <x:v>Resistor</x:v>
      </x:c>
      <x:c r="F44" s="8" t="str">
        <x:v>Panasonic</x:v>
      </x:c>
      <x:c r="G44" s="8" t="str">
        <x:v>ERJ-2GEJ104X</x:v>
      </x:c>
      <x:c r="H44" s="8" t="str">
        <x:v>0402</x:v>
      </x:c>
      <x:c r="I44" s="8" t="str">
        <x:v>100 kOhm 5% 0.1 W</x:v>
      </x:c>
      <x:c r="J44" s="8" t="str">
        <x:v>COMMON</x:v>
      </x:c>
      <x:c r="K44" s="8" t="str">
        <x:v>FITTED</x:v>
      </x:c>
      <x:c r="L44" s="9" t="n">
        <x:v>2</x:v>
      </x:c>
      <x:c r="M44" s="9" t="n">
        <x:v>40</x:v>
      </x:c>
      <x:c r="N44" s="9" t="n">
        <x:v>0</x:v>
      </x:c>
      <x:c r="O44" s="9" t="n">
        <x:v>40</x:v>
      </x:c>
      <x:c r="P44" s="9" t="n">
        <x:v>82</x:v>
      </x:c>
      <x:c r="Q44" s="9" t="n">
        <x:v>0</x:v>
      </x:c>
      <x:c r="R44" s="9" t="n">
        <x:v>82</x:v>
      </x:c>
      <x:c r="S44" s="8" t="str">
        <x:v>COMMON_PROGRAM_PROCUREMENT</x:v>
      </x:c>
      <x:c r="T44" s="8" t="str">
        <x:v>SELECTED_PENDING_REVIEW_A</x:v>
      </x:c>
      <x:c r="U44" s="8" t="str">
        <x:v>Marking MPN package orientation electrical functional sample</x:v>
      </x:c>
    </x:row>
    <x:row r="45">
      <x:c r="A45" s="8" t="str">
        <x:v>PR-045</x:v>
      </x:c>
      <x:c r="B45" s="8" t="str">
        <x:v>PCB-MAIN</x:v>
      </x:c>
      <x:c r="C45" s="8" t="str">
        <x:v>MAIN-010-R59</x:v>
      </x:c>
      <x:c r="D45" s="8" t="str">
        <x:v>R59</x:v>
      </x:c>
      <x:c r="E45" s="8" t="str">
        <x:v>Resistor</x:v>
      </x:c>
      <x:c r="F45" s="8" t="str">
        <x:v>Panasonic</x:v>
      </x:c>
      <x:c r="G45" s="8" t="str">
        <x:v>ERJ-2GEJ561X</x:v>
      </x:c>
      <x:c r="H45" s="8" t="str">
        <x:v>0402</x:v>
      </x:c>
      <x:c r="I45" s="8" t="str">
        <x:v>560 Ohm 5% 0.1 W</x:v>
      </x:c>
      <x:c r="J45" s="8" t="str">
        <x:v>COMMON</x:v>
      </x:c>
      <x:c r="K45" s="8" t="str">
        <x:v>FITTED</x:v>
      </x:c>
      <x:c r="L45" s="9" t="n">
        <x:v>1</x:v>
      </x:c>
      <x:c r="M45" s="9" t="n">
        <x:v>20</x:v>
      </x:c>
      <x:c r="N45" s="9" t="n">
        <x:v>0</x:v>
      </x:c>
      <x:c r="O45" s="9" t="n">
        <x:v>20</x:v>
      </x:c>
      <x:c r="P45" s="9" t="n">
        <x:v>41</x:v>
      </x:c>
      <x:c r="Q45" s="9" t="n">
        <x:v>0</x:v>
      </x:c>
      <x:c r="R45" s="9" t="n">
        <x:v>41</x:v>
      </x:c>
      <x:c r="S45" s="8" t="str">
        <x:v>COMMON_PROGRAM_PROCUREMENT</x:v>
      </x:c>
      <x:c r="T45" s="8" t="str">
        <x:v>SELECTED_PENDING_REVIEW_A</x:v>
      </x:c>
      <x:c r="U45" s="8" t="str">
        <x:v>Marking MPN package orientation electrical functional sample</x:v>
      </x:c>
    </x:row>
    <x:row r="46">
      <x:c r="A46" s="8" t="str">
        <x:v>PR-046</x:v>
      </x:c>
      <x:c r="B46" s="8" t="str">
        <x:v>PCB-MAIN</x:v>
      </x:c>
      <x:c r="C46" s="8" t="str">
        <x:v>MAIN-010-R100 | MAIN-010-R102 | MAIN-010-R38 | MAIN-010-R41 | MAIN-010-R95</x:v>
      </x:c>
      <x:c r="D46" s="8" t="str">
        <x:v>R100 | R102 | R38 | R41 | R95</x:v>
      </x:c>
      <x:c r="E46" s="8" t="str">
        <x:v>Resistor</x:v>
      </x:c>
      <x:c r="F46" s="8" t="str">
        <x:v>Panasonic</x:v>
      </x:c>
      <x:c r="G46" s="8" t="str">
        <x:v>ERJ-2RKF1001X</x:v>
      </x:c>
      <x:c r="H46" s="8" t="str">
        <x:v>0402</x:v>
      </x:c>
      <x:c r="I46" s="8" t="str">
        <x:v>1 kOhm 1%</x:v>
      </x:c>
      <x:c r="J46" s="8" t="str">
        <x:v>COMMON</x:v>
      </x:c>
      <x:c r="K46" s="8" t="str">
        <x:v>FITTED</x:v>
      </x:c>
      <x:c r="L46" s="9" t="n">
        <x:v>5</x:v>
      </x:c>
      <x:c r="M46" s="9" t="n">
        <x:v>100</x:v>
      </x:c>
      <x:c r="N46" s="9" t="n">
        <x:v>0</x:v>
      </x:c>
      <x:c r="O46" s="9" t="n">
        <x:v>100</x:v>
      </x:c>
      <x:c r="P46" s="9" t="n">
        <x:v>205</x:v>
      </x:c>
      <x:c r="Q46" s="9" t="n">
        <x:v>0</x:v>
      </x:c>
      <x:c r="R46" s="9" t="n">
        <x:v>205</x:v>
      </x:c>
      <x:c r="S46" s="8" t="str">
        <x:v>COMMON_PROGRAM_PROCUREMENT</x:v>
      </x:c>
      <x:c r="T46" s="8" t="str">
        <x:v>SELECTED_PENDING_REVIEW_A</x:v>
      </x:c>
      <x:c r="U46" s="8" t="str">
        <x:v>Marking MPN package orientation electrical functional sample</x:v>
      </x:c>
    </x:row>
    <x:row r="47">
      <x:c r="A47" s="8" t="str">
        <x:v>PR-047</x:v>
      </x:c>
      <x:c r="B47" s="8" t="str">
        <x:v>PCB-MAIN</x:v>
      </x:c>
      <x:c r="C47" s="8" t="str">
        <x:v>MAIN-010-R1 | MAIN-010-R28 | MAIN-010-R30 | MAIN-010-R31 | MAIN-010-R46 | MAIN-010-R48 | MAIN-010-R49 | MAIN-010-R67 | MAIN-010-R68 | MAIN-010-R7 | MAIN-010-R76 | MAIN-010-R78 | MAIN-010-R85 | MAIN-010-R86 | MAIN-010-R87 | MAIN-010-R88 | MAIN-010-R89 | MAIN-010-R90 | MAIN-010-R99</x:v>
      </x:c>
      <x:c r="D47" s="8" t="str">
        <x:v>R1 | R28 | R30 | R31 | R46 | R48 | R49 | R67 | R68 | R7 | R76 | R78 | R85 | R86 | R87 | R88 | R89 | R90 | R99</x:v>
      </x:c>
      <x:c r="E47" s="8" t="str">
        <x:v>Resistor</x:v>
      </x:c>
      <x:c r="F47" s="8" t="str">
        <x:v>Panasonic</x:v>
      </x:c>
      <x:c r="G47" s="8" t="str">
        <x:v>ERJ-2RKF1002X</x:v>
      </x:c>
      <x:c r="H47" s="8" t="str">
        <x:v>0402</x:v>
      </x:c>
      <x:c r="I47" s="8" t="str">
        <x:v>10 kOhm 1%</x:v>
      </x:c>
      <x:c r="J47" s="8" t="str">
        <x:v>COMMON</x:v>
      </x:c>
      <x:c r="K47" s="8" t="str">
        <x:v>FITTED</x:v>
      </x:c>
      <x:c r="L47" s="9" t="n">
        <x:v>19</x:v>
      </x:c>
      <x:c r="M47" s="9" t="n">
        <x:v>380</x:v>
      </x:c>
      <x:c r="N47" s="9" t="n">
        <x:v>0</x:v>
      </x:c>
      <x:c r="O47" s="9" t="n">
        <x:v>380</x:v>
      </x:c>
      <x:c r="P47" s="9" t="n">
        <x:v>779</x:v>
      </x:c>
      <x:c r="Q47" s="9" t="n">
        <x:v>0</x:v>
      </x:c>
      <x:c r="R47" s="9" t="n">
        <x:v>779</x:v>
      </x:c>
      <x:c r="S47" s="8" t="str">
        <x:v>COMMON_PROGRAM_PROCUREMENT</x:v>
      </x:c>
      <x:c r="T47" s="8" t="str">
        <x:v>SELECTED_PENDING_REVIEW_A</x:v>
      </x:c>
      <x:c r="U47" s="8" t="str">
        <x:v>Marking MPN package orientation electrical functional sample</x:v>
      </x:c>
    </x:row>
    <x:row r="48">
      <x:c r="A48" s="8" t="str">
        <x:v>PR-049</x:v>
      </x:c>
      <x:c r="B48" s="8" t="str">
        <x:v>PCB-PWR</x:v>
      </x:c>
      <x:c r="C48" s="8" t="str">
        <x:v>PWR-R-10K</x:v>
      </x:c>
      <x:c r="D48" s="8" t="str">
        <x:v>R10;R12</x:v>
      </x:c>
      <x:c r="E48" s="8" t="str">
        <x:v>Passive</x:v>
      </x:c>
      <x:c r="F48" s="8" t="str">
        <x:v>Panasonic Industry</x:v>
      </x:c>
      <x:c r="G48" s="8" t="str">
        <x:v>ERJ-2RKF1002X</x:v>
      </x:c>
      <x:c r="H48" s="8" t="str">
        <x:v>0402</x:v>
      </x:c>
      <x:c r="I48" s="8" t="str">
        <x:v>10 kOhm 1%</x:v>
      </x:c>
      <x:c r="J48" s="8" t="str">
        <x:v>COMMON</x:v>
      </x:c>
      <x:c r="K48" s="8" t="str">
        <x:v>FITTED</x:v>
      </x:c>
      <x:c r="L48" s="9" t="n">
        <x:v>2</x:v>
      </x:c>
      <x:c r="M48" s="9" t="n">
        <x:v>40</x:v>
      </x:c>
      <x:c r="N48" s="9" t="n">
        <x:v>40</x:v>
      </x:c>
      <x:c r="O48" s="9" t="n">
        <x:v>80</x:v>
      </x:c>
      <x:c r="P48" s="9" t="n">
        <x:v>82</x:v>
      </x:c>
      <x:c r="Q48" s="9" t="n">
        <x:v>80</x:v>
      </x:c>
      <x:c r="R48" s="9" t="n">
        <x:v>162</x:v>
      </x:c>
      <x:c r="S48" s="8" t="str">
        <x:v>COMMON_PROGRAM_PROCUREMENT</x:v>
      </x:c>
      <x:c r="T48" s="8" t="str">
        <x:v>LOCKED_FITTED</x:v>
      </x:c>
      <x:c r="U48" s="8" t="str">
        <x:v>Marking MPN package orientation electrical functional sample</x:v>
      </x:c>
    </x:row>
    <x:row r="49">
      <x:c r="A49" s="8" t="str">
        <x:v>PR-051</x:v>
      </x:c>
      <x:c r="B49" s="8" t="str">
        <x:v>PCB-MAIN</x:v>
      </x:c>
      <x:c r="C49" s="8" t="str">
        <x:v>MAIN-010-R19 | MAIN-010-R2 | MAIN-010-R20 | MAIN-010-R21 | MAIN-010-R22 | MAIN-010-R23 | MAIN-010-R29 | MAIN-010-R3 | MAIN-010-R32 | MAIN-010-R33 | MAIN-010-R34 | MAIN-010-R35 | MAIN-010-R45 | MAIN-010-R47 | MAIN-010-R5 | MAIN-010-R63 | MAIN-010-R64 | MAIN-010-R65 | MAIN-010-R66 | MAIN-010-R77 | MAIN-010-R96</x:v>
      </x:c>
      <x:c r="D49" s="8" t="str">
        <x:v>R19 | R2 | R20 | R21 | R22 | R23 | R29 | R3 | R32 | R33 | R34 | R35 | R45 | R47 | R5 | R63 | R64 | R65 | R66 | R77 | R96</x:v>
      </x:c>
      <x:c r="E49" s="8" t="str">
        <x:v>Resistor</x:v>
      </x:c>
      <x:c r="F49" s="8" t="str">
        <x:v>Panasonic</x:v>
      </x:c>
      <x:c r="G49" s="8" t="str">
        <x:v>ERJ-2RKF1003X</x:v>
      </x:c>
      <x:c r="H49" s="8" t="str">
        <x:v>0402</x:v>
      </x:c>
      <x:c r="I49" s="8" t="str">
        <x:v>100 kOhm 1%</x:v>
      </x:c>
      <x:c r="J49" s="8" t="str">
        <x:v>COMMON</x:v>
      </x:c>
      <x:c r="K49" s="8" t="str">
        <x:v>FITTED</x:v>
      </x:c>
      <x:c r="L49" s="9" t="n">
        <x:v>21</x:v>
      </x:c>
      <x:c r="M49" s="9" t="n">
        <x:v>420</x:v>
      </x:c>
      <x:c r="N49" s="9" t="n">
        <x:v>0</x:v>
      </x:c>
      <x:c r="O49" s="9" t="n">
        <x:v>420</x:v>
      </x:c>
      <x:c r="P49" s="9" t="n">
        <x:v>861</x:v>
      </x:c>
      <x:c r="Q49" s="9" t="n">
        <x:v>0</x:v>
      </x:c>
      <x:c r="R49" s="9" t="n">
        <x:v>861</x:v>
      </x:c>
      <x:c r="S49" s="8" t="str">
        <x:v>COMMON_PROGRAM_PROCUREMENT</x:v>
      </x:c>
      <x:c r="T49" s="8" t="str">
        <x:v>SELECTED_PENDING_REVIEW_A</x:v>
      </x:c>
      <x:c r="U49" s="8" t="str">
        <x:v>Marking MPN package orientation electrical functional sample</x:v>
      </x:c>
    </x:row>
    <x:row r="50">
      <x:c r="A50" s="8" t="str">
        <x:v>PR-052</x:v>
      </x:c>
      <x:c r="B50" s="8" t="str">
        <x:v>PCB-PWR</x:v>
      </x:c>
      <x:c r="C50" s="8" t="str">
        <x:v>PWR-R-100K</x:v>
      </x:c>
      <x:c r="D50" s="8" t="str">
        <x:v>R6;R11</x:v>
      </x:c>
      <x:c r="E50" s="8" t="str">
        <x:v>Passive</x:v>
      </x:c>
      <x:c r="F50" s="8" t="str">
        <x:v>Panasonic Industry</x:v>
      </x:c>
      <x:c r="G50" s="8" t="str">
        <x:v>ERJ-2RKF1003X</x:v>
      </x:c>
      <x:c r="H50" s="8" t="str">
        <x:v>0402</x:v>
      </x:c>
      <x:c r="I50" s="8" t="str">
        <x:v>100 kOhm 1%</x:v>
      </x:c>
      <x:c r="J50" s="8" t="str">
        <x:v>COMMON</x:v>
      </x:c>
      <x:c r="K50" s="8" t="str">
        <x:v>FITTED</x:v>
      </x:c>
      <x:c r="L50" s="9" t="n">
        <x:v>2</x:v>
      </x:c>
      <x:c r="M50" s="9" t="n">
        <x:v>40</x:v>
      </x:c>
      <x:c r="N50" s="9" t="n">
        <x:v>40</x:v>
      </x:c>
      <x:c r="O50" s="9" t="n">
        <x:v>80</x:v>
      </x:c>
      <x:c r="P50" s="9" t="n">
        <x:v>82</x:v>
      </x:c>
      <x:c r="Q50" s="9" t="n">
        <x:v>80</x:v>
      </x:c>
      <x:c r="R50" s="9" t="n">
        <x:v>162</x:v>
      </x:c>
      <x:c r="S50" s="8" t="str">
        <x:v>COMMON_PROGRAM_PROCUREMENT</x:v>
      </x:c>
      <x:c r="T50" s="8" t="str">
        <x:v>LOCKED_FITTED</x:v>
      </x:c>
      <x:c r="U50" s="8" t="str">
        <x:v>Marking MPN package orientation electrical functional sample</x:v>
      </x:c>
    </x:row>
    <x:row r="51">
      <x:c r="A51" s="8" t="str">
        <x:v>PR-053</x:v>
      </x:c>
      <x:c r="B51" s="8" t="str">
        <x:v>PCB-MAIN</x:v>
      </x:c>
      <x:c r="C51" s="8" t="str">
        <x:v>MAIN-010-R97</x:v>
      </x:c>
      <x:c r="D51" s="8" t="str">
        <x:v>R97</x:v>
      </x:c>
      <x:c r="E51" s="8" t="str">
        <x:v>Resistor</x:v>
      </x:c>
      <x:c r="F51" s="8" t="str">
        <x:v>Panasonic</x:v>
      </x:c>
      <x:c r="G51" s="8" t="str">
        <x:v>ERJ-2RKF1004X</x:v>
      </x:c>
      <x:c r="H51" s="8" t="str">
        <x:v>0402</x:v>
      </x:c>
      <x:c r="I51" s="8" t="str">
        <x:v>1 MOhm 1%</x:v>
      </x:c>
      <x:c r="J51" s="8" t="str">
        <x:v>COMMON</x:v>
      </x:c>
      <x:c r="K51" s="8" t="str">
        <x:v>FITTED</x:v>
      </x:c>
      <x:c r="L51" s="9" t="n">
        <x:v>1</x:v>
      </x:c>
      <x:c r="M51" s="9" t="n">
        <x:v>20</x:v>
      </x:c>
      <x:c r="N51" s="9" t="n">
        <x:v>0</x:v>
      </x:c>
      <x:c r="O51" s="9" t="n">
        <x:v>20</x:v>
      </x:c>
      <x:c r="P51" s="9" t="n">
        <x:v>41</x:v>
      </x:c>
      <x:c r="Q51" s="9" t="n">
        <x:v>0</x:v>
      </x:c>
      <x:c r="R51" s="9" t="n">
        <x:v>41</x:v>
      </x:c>
      <x:c r="S51" s="8" t="str">
        <x:v>COMMON_PROGRAM_PROCUREMENT</x:v>
      </x:c>
      <x:c r="T51" s="8" t="str">
        <x:v>SELECTED_PENDING_REVIEW_A</x:v>
      </x:c>
      <x:c r="U51" s="8" t="str">
        <x:v>Marking MPN package orientation electrical functional sample</x:v>
      </x:c>
    </x:row>
    <x:row r="52">
      <x:c r="A52" s="8" t="str">
        <x:v>PR-054</x:v>
      </x:c>
      <x:c r="B52" s="8" t="str">
        <x:v>PCB-MAIN</x:v>
      </x:c>
      <x:c r="C52" s="8" t="str">
        <x:v>MAIN-010-R13 | MAIN-010-R14</x:v>
      </x:c>
      <x:c r="D52" s="8" t="str">
        <x:v>R13 | R14</x:v>
      </x:c>
      <x:c r="E52" s="8" t="str">
        <x:v>Resistor</x:v>
      </x:c>
      <x:c r="F52" s="8" t="str">
        <x:v>Panasonic</x:v>
      </x:c>
      <x:c r="G52" s="8" t="str">
        <x:v>ERJ-2RKF2201X</x:v>
      </x:c>
      <x:c r="H52" s="8" t="str">
        <x:v>0402</x:v>
      </x:c>
      <x:c r="I52" s="8" t="str">
        <x:v>2.2 kOhm 1%</x:v>
      </x:c>
      <x:c r="J52" s="8" t="str">
        <x:v>COMMON</x:v>
      </x:c>
      <x:c r="K52" s="8" t="str">
        <x:v>FITTED</x:v>
      </x:c>
      <x:c r="L52" s="9" t="n">
        <x:v>2</x:v>
      </x:c>
      <x:c r="M52" s="9" t="n">
        <x:v>40</x:v>
      </x:c>
      <x:c r="N52" s="9" t="n">
        <x:v>0</x:v>
      </x:c>
      <x:c r="O52" s="9" t="n">
        <x:v>40</x:v>
      </x:c>
      <x:c r="P52" s="9" t="n">
        <x:v>82</x:v>
      </x:c>
      <x:c r="Q52" s="9" t="n">
        <x:v>0</x:v>
      </x:c>
      <x:c r="R52" s="9" t="n">
        <x:v>82</x:v>
      </x:c>
      <x:c r="S52" s="8" t="str">
        <x:v>COMMON_PROGRAM_PROCUREMENT</x:v>
      </x:c>
      <x:c r="T52" s="8" t="str">
        <x:v>SELECTED_PENDING_REVIEW_A</x:v>
      </x:c>
      <x:c r="U52" s="8" t="str">
        <x:v>Marking MPN package orientation electrical functional sample</x:v>
      </x:c>
    </x:row>
    <x:row r="53">
      <x:c r="A53" s="8" t="str">
        <x:v>PR-055</x:v>
      </x:c>
      <x:c r="B53" s="8" t="str">
        <x:v>PCB-MAIN</x:v>
      </x:c>
      <x:c r="C53" s="8" t="str">
        <x:v>MAIN-010-R10 | MAIN-010-R101 | MAIN-010-R11 | MAIN-010-R12 | MAIN-010-R15 | MAIN-010-R16 | MAIN-010-R17 | MAIN-010-R18 | MAIN-010-R36 | MAIN-010-R37 | MAIN-010-R56 | MAIN-010-R57 | MAIN-010-R58 | MAIN-010-R69 | MAIN-010-R70 | MAIN-010-R71 | MAIN-010-R72 | MAIN-010-R74 | MAIN-010-R75 | MAIN-010-R79 | MAIN-010-R8 | MAIN-010-R80 | MAIN-010-R81 | MAIN-010-R82 | MAIN-010-R83 | MAIN-010-R84 | MAIN-010-R9 | MAIN-010-R91 | MAIN-010-R92</x:v>
      </x:c>
      <x:c r="D53" s="8" t="str">
        <x:v>R10 | R101 | R11 | R12 | R15 | R16 | R17 | R18 | R36 | R37 | R56 | R57 | R58 | R69 | R70 | R71 | R72 | R74 | R75 | R79 | R8 | R80 | R81 | R82 | R83 | R84 | R9 | R91 | R92</x:v>
      </x:c>
      <x:c r="E53" s="8" t="str">
        <x:v>Resistor</x:v>
      </x:c>
      <x:c r="F53" s="8" t="str">
        <x:v>Panasonic</x:v>
      </x:c>
      <x:c r="G53" s="8" t="str">
        <x:v>ERJ-2RKF22R0X</x:v>
      </x:c>
      <x:c r="H53" s="8" t="str">
        <x:v>0402</x:v>
      </x:c>
      <x:c r="I53" s="8" t="str">
        <x:v>22 Ohm 1%</x:v>
      </x:c>
      <x:c r="J53" s="8" t="str">
        <x:v>COMMON</x:v>
      </x:c>
      <x:c r="K53" s="8" t="str">
        <x:v>FITTED</x:v>
      </x:c>
      <x:c r="L53" s="9" t="n">
        <x:v>29</x:v>
      </x:c>
      <x:c r="M53" s="9" t="n">
        <x:v>580</x:v>
      </x:c>
      <x:c r="N53" s="9" t="n">
        <x:v>0</x:v>
      </x:c>
      <x:c r="O53" s="9" t="n">
        <x:v>580</x:v>
      </x:c>
      <x:c r="P53" s="9" t="n">
        <x:v>1189</x:v>
      </x:c>
      <x:c r="Q53" s="9" t="n">
        <x:v>0</x:v>
      </x:c>
      <x:c r="R53" s="9" t="n">
        <x:v>1189</x:v>
      </x:c>
      <x:c r="S53" s="8" t="str">
        <x:v>COMMON_PROGRAM_PROCUREMENT</x:v>
      </x:c>
      <x:c r="T53" s="8" t="str">
        <x:v>SELECTED_PENDING_REVIEW_A</x:v>
      </x:c>
      <x:c r="U53" s="8" t="str">
        <x:v>Marking MPN package orientation electrical functional sample</x:v>
      </x:c>
    </x:row>
    <x:row r="54">
      <x:c r="A54" s="8" t="str">
        <x:v>PR-056</x:v>
      </x:c>
      <x:c r="B54" s="8" t="str">
        <x:v>PCB-MAIN</x:v>
      </x:c>
      <x:c r="C54" s="8" t="str">
        <x:v>MAIN-010-R24 | MAIN-010-R26</x:v>
      </x:c>
      <x:c r="D54" s="8" t="str">
        <x:v>R24 | R26</x:v>
      </x:c>
      <x:c r="E54" s="8" t="str">
        <x:v>Resistor</x:v>
      </x:c>
      <x:c r="F54" s="8" t="str">
        <x:v>Panasonic</x:v>
      </x:c>
      <x:c r="G54" s="8" t="str">
        <x:v>ERJ-2RKF4701X</x:v>
      </x:c>
      <x:c r="H54" s="8" t="str">
        <x:v>0402</x:v>
      </x:c>
      <x:c r="I54" s="8" t="str">
        <x:v>4.7 kOhm 1%</x:v>
      </x:c>
      <x:c r="J54" s="8" t="str">
        <x:v>COMMON</x:v>
      </x:c>
      <x:c r="K54" s="8" t="str">
        <x:v>FITTED</x:v>
      </x:c>
      <x:c r="L54" s="9" t="n">
        <x:v>2</x:v>
      </x:c>
      <x:c r="M54" s="9" t="n">
        <x:v>40</x:v>
      </x:c>
      <x:c r="N54" s="9" t="n">
        <x:v>0</x:v>
      </x:c>
      <x:c r="O54" s="9" t="n">
        <x:v>40</x:v>
      </x:c>
      <x:c r="P54" s="9" t="n">
        <x:v>82</x:v>
      </x:c>
      <x:c r="Q54" s="9" t="n">
        <x:v>0</x:v>
      </x:c>
      <x:c r="R54" s="9" t="n">
        <x:v>82</x:v>
      </x:c>
      <x:c r="S54" s="8" t="str">
        <x:v>COMMON_PROGRAM_PROCUREMENT</x:v>
      </x:c>
      <x:c r="T54" s="8" t="str">
        <x:v>SELECTED_PENDING_REVIEW_A</x:v>
      </x:c>
      <x:c r="U54" s="8" t="str">
        <x:v>Marking MPN package orientation electrical functional sample</x:v>
      </x:c>
    </x:row>
    <x:row r="55">
      <x:c r="A55" s="8" t="str">
        <x:v>PR-058</x:v>
      </x:c>
      <x:c r="B55" s="8" t="str">
        <x:v>PCB-MAIN</x:v>
      </x:c>
      <x:c r="C55" s="8" t="str">
        <x:v>MAIN-010-R25 | MAIN-010-R27 | MAIN-010-R44</x:v>
      </x:c>
      <x:c r="D55" s="8" t="str">
        <x:v>R25 | R27 | R44</x:v>
      </x:c>
      <x:c r="E55" s="8" t="str">
        <x:v>Resistor</x:v>
      </x:c>
      <x:c r="F55" s="8" t="str">
        <x:v>Panasonic</x:v>
      </x:c>
      <x:c r="G55" s="8" t="str">
        <x:v>ERJ-2RKF4702X</x:v>
      </x:c>
      <x:c r="H55" s="8" t="str">
        <x:v>0402</x:v>
      </x:c>
      <x:c r="I55" s="8" t="str">
        <x:v>47 kOhm 1%</x:v>
      </x:c>
      <x:c r="J55" s="8" t="str">
        <x:v>COMMON</x:v>
      </x:c>
      <x:c r="K55" s="8" t="str">
        <x:v>FITTED</x:v>
      </x:c>
      <x:c r="L55" s="9" t="n">
        <x:v>3</x:v>
      </x:c>
      <x:c r="M55" s="9" t="n">
        <x:v>60</x:v>
      </x:c>
      <x:c r="N55" s="9" t="n">
        <x:v>0</x:v>
      </x:c>
      <x:c r="O55" s="9" t="n">
        <x:v>60</x:v>
      </x:c>
      <x:c r="P55" s="9" t="n">
        <x:v>123</x:v>
      </x:c>
      <x:c r="Q55" s="9" t="n">
        <x:v>0</x:v>
      </x:c>
      <x:c r="R55" s="9" t="n">
        <x:v>123</x:v>
      </x:c>
      <x:c r="S55" s="8" t="str">
        <x:v>COMMON_PROGRAM_PROCUREMENT</x:v>
      </x:c>
      <x:c r="T55" s="8" t="str">
        <x:v>SELECTED_PENDING_REVIEW_A</x:v>
      </x:c>
      <x:c r="U55" s="8" t="str">
        <x:v>Marking MPN package orientation electrical functional sample</x:v>
      </x:c>
    </x:row>
    <x:row r="56">
      <x:c r="A56" s="8" t="str">
        <x:v>PR-059</x:v>
      </x:c>
      <x:c r="B56" s="8" t="str">
        <x:v>PCB-MAIN</x:v>
      </x:c>
      <x:c r="C56" s="8" t="str">
        <x:v>MAIN-010-R93 | MAIN-010-R94</x:v>
      </x:c>
      <x:c r="D56" s="8" t="str">
        <x:v>R93 | R94</x:v>
      </x:c>
      <x:c r="E56" s="8" t="str">
        <x:v>Resistor</x:v>
      </x:c>
      <x:c r="F56" s="8" t="str">
        <x:v>Panasonic</x:v>
      </x:c>
      <x:c r="G56" s="8" t="str">
        <x:v>ERJ-2RKF5101X</x:v>
      </x:c>
      <x:c r="H56" s="8" t="str">
        <x:v>0402</x:v>
      </x:c>
      <x:c r="I56" s="8" t="str">
        <x:v>5.1 kOhm 1%</x:v>
      </x:c>
      <x:c r="J56" s="8" t="str">
        <x:v>COMMON</x:v>
      </x:c>
      <x:c r="K56" s="8" t="str">
        <x:v>FITTED</x:v>
      </x:c>
      <x:c r="L56" s="9" t="n">
        <x:v>2</x:v>
      </x:c>
      <x:c r="M56" s="9" t="n">
        <x:v>40</x:v>
      </x:c>
      <x:c r="N56" s="9" t="n">
        <x:v>0</x:v>
      </x:c>
      <x:c r="O56" s="9" t="n">
        <x:v>40</x:v>
      </x:c>
      <x:c r="P56" s="9" t="n">
        <x:v>82</x:v>
      </x:c>
      <x:c r="Q56" s="9" t="n">
        <x:v>0</x:v>
      </x:c>
      <x:c r="R56" s="9" t="n">
        <x:v>82</x:v>
      </x:c>
      <x:c r="S56" s="8" t="str">
        <x:v>COMMON_PROGRAM_PROCUREMENT</x:v>
      </x:c>
      <x:c r="T56" s="8" t="str">
        <x:v>SELECTED_PENDING_REVIEW_A</x:v>
      </x:c>
      <x:c r="U56" s="8" t="str">
        <x:v>Marking MPN package orientation electrical functional sample</x:v>
      </x:c>
    </x:row>
    <x:row r="57">
      <x:c r="A57" s="8" t="str">
        <x:v>PR-060</x:v>
      </x:c>
      <x:c r="B57" s="8" t="str">
        <x:v>PCB-MAIN</x:v>
      </x:c>
      <x:c r="C57" s="8" t="str">
        <x:v>MAIN-010-R62</x:v>
      </x:c>
      <x:c r="D57" s="8" t="str">
        <x:v>R62</x:v>
      </x:c>
      <x:c r="E57" s="8" t="str">
        <x:v>Resistor</x:v>
      </x:c>
      <x:c r="F57" s="8" t="str">
        <x:v>Panasonic</x:v>
      </x:c>
      <x:c r="G57" s="8" t="str">
        <x:v>ERJ-8GEYJ100V</x:v>
      </x:c>
      <x:c r="H57" s="8" t="str">
        <x:v>1206</x:v>
      </x:c>
      <x:c r="I57" s="8" t="str">
        <x:v>10 Ohm 5% 0.25 W</x:v>
      </x:c>
      <x:c r="J57" s="8" t="str">
        <x:v>COMMON</x:v>
      </x:c>
      <x:c r="K57" s="8" t="str">
        <x:v>FITTED</x:v>
      </x:c>
      <x:c r="L57" s="9" t="n">
        <x:v>1</x:v>
      </x:c>
      <x:c r="M57" s="9" t="n">
        <x:v>20</x:v>
      </x:c>
      <x:c r="N57" s="9" t="n">
        <x:v>0</x:v>
      </x:c>
      <x:c r="O57" s="9" t="n">
        <x:v>20</x:v>
      </x:c>
      <x:c r="P57" s="9" t="n">
        <x:v>41</x:v>
      </x:c>
      <x:c r="Q57" s="9" t="n">
        <x:v>0</x:v>
      </x:c>
      <x:c r="R57" s="9" t="n">
        <x:v>41</x:v>
      </x:c>
      <x:c r="S57" s="8" t="str">
        <x:v>COMMON_PROGRAM_PROCUREMENT</x:v>
      </x:c>
      <x:c r="T57" s="8" t="str">
        <x:v>SELECTED_PENDING_REVIEW_A</x:v>
      </x:c>
      <x:c r="U57" s="8" t="str">
        <x:v>Marking MPN package orientation electrical functional sample</x:v>
      </x:c>
    </x:row>
    <x:row r="58">
      <x:c r="A58" s="8" t="str">
        <x:v>PR-061</x:v>
      </x:c>
      <x:c r="B58" s="8" t="str">
        <x:v>PCB-MAIN</x:v>
      </x:c>
      <x:c r="C58" s="8" t="str">
        <x:v>U14-U15</x:v>
      </x:c>
      <x:c r="D58" s="8" t="str">
        <x:v>U14;U15</x:v>
      </x:c>
      <x:c r="E58" s="8" t="str">
        <x:v>ESD</x:v>
      </x:c>
      <x:c r="F58" s="8" t="str">
        <x:v>STMicroelectronics</x:v>
      </x:c>
      <x:c r="G58" s="8" t="str">
        <x:v>ESDALC6V1-5P6</x:v>
      </x:c>
      <x:c r="H58" s="8" t="str">
        <x:v>SOT666_1.6x1.6mm</x:v>
      </x:c>
      <x:c r="I58" s="8" t="str"/>
      <x:c r="J58" s="8" t="str">
        <x:v>COMMON</x:v>
      </x:c>
      <x:c r="K58" s="8" t="str">
        <x:v>FITTED</x:v>
      </x:c>
      <x:c r="L58" s="9" t="n">
        <x:v>2</x:v>
      </x:c>
      <x:c r="M58" s="9" t="n">
        <x:v>40</x:v>
      </x:c>
      <x:c r="N58" s="9" t="n">
        <x:v>10</x:v>
      </x:c>
      <x:c r="O58" s="9" t="n">
        <x:v>50</x:v>
      </x:c>
      <x:c r="P58" s="9" t="n">
        <x:v>82</x:v>
      </x:c>
      <x:c r="Q58" s="9" t="n">
        <x:v>20</x:v>
      </x:c>
      <x:c r="R58" s="9" t="n">
        <x:v>102</x:v>
      </x:c>
      <x:c r="S58" s="8" t="str">
        <x:v>COMMON_PROGRAM_PROCUREMENT</x:v>
      </x:c>
      <x:c r="T58" s="8" t="str">
        <x:v>SELECTED_PENDING_SIM_ESD_SI_SAMPLE</x:v>
      </x:c>
      <x:c r="U58" s="8" t="str">
        <x:v>Capacitance leakage ESD rating marking</x:v>
      </x:c>
    </x:row>
    <x:row r="59">
      <x:c r="A59" s="8" t="str">
        <x:v>PR-062</x:v>
      </x:c>
      <x:c r="B59" s="8" t="str">
        <x:v>SYSTEM</x:v>
      </x:c>
      <x:c r="C59" s="8" t="str">
        <x:v>ANT-CELL</x:v>
      </x:c>
      <x:c r="D59" s="8" t="str">
        <x:v>AE1</x:v>
      </x:c>
      <x:c r="E59" s="8" t="str">
        <x:v>Antenna</x:v>
      </x:c>
      <x:c r="F59" s="8" t="str">
        <x:v>Taoglas</x:v>
      </x:c>
      <x:c r="G59" s="8" t="str">
        <x:v>G30.B.108111</x:v>
      </x:c>
      <x:c r="H59" s="8" t="str">
        <x:v>IP67 screw-mount dome with 1 m cable and SMA(M)</x:v>
      </x:c>
      <x:c r="I59" s="8" t="str"/>
      <x:c r="J59" s="8" t="str">
        <x:v>COMMON</x:v>
      </x:c>
      <x:c r="K59" s="8" t="str">
        <x:v>FITTED</x:v>
      </x:c>
      <x:c r="L59" s="9" t="n">
        <x:v>1</x:v>
      </x:c>
      <x:c r="M59" s="9" t="n">
        <x:v>20</x:v>
      </x:c>
      <x:c r="N59" s="9" t="n">
        <x:v>2</x:v>
      </x:c>
      <x:c r="O59" s="9" t="n">
        <x:v>22</x:v>
      </x:c>
      <x:c r="P59" s="9" t="n">
        <x:v>41</x:v>
      </x:c>
      <x:c r="Q59" s="9" t="n">
        <x:v>4</x:v>
      </x:c>
      <x:c r="R59" s="9" t="n">
        <x:v>45</x:v>
      </x:c>
      <x:c r="S59" s="8" t="str">
        <x:v>COMMON_PROGRAM_PROCUREMENT</x:v>
      </x:c>
      <x:c r="T59" s="8" t="str">
        <x:v>CONTROLLED_EVT_PURCHASE_EXACT_MPN_VALIDATION_DURING_ASSEMBLY_EVT</x:v>
      </x:c>
      <x:c r="U59" s="8" t="str">
        <x:v>Reconcile PO packing slip quantity and visible damage; verify cable length connector mate route seal installed VSWR loss attach and coexistence during assembly EOL and EVT</x:v>
      </x:c>
    </x:row>
    <x:row r="60">
      <x:c r="A60" s="8" t="str">
        <x:v>PR-063</x:v>
      </x:c>
      <x:c r="B60" s="8" t="str">
        <x:v>PCB-MAIN</x:v>
      </x:c>
      <x:c r="C60" s="8" t="str">
        <x:v>MAIN-010-C64</x:v>
      </x:c>
      <x:c r="D60" s="8" t="str">
        <x:v>C64</x:v>
      </x:c>
      <x:c r="E60" s="8" t="str">
        <x:v>Capacitor</x:v>
      </x:c>
      <x:c r="F60" s="8" t="str">
        <x:v>Murata</x:v>
      </x:c>
      <x:c r="G60" s="8" t="str">
        <x:v>GRM1555C1E470JA01D</x:v>
      </x:c>
      <x:c r="H60" s="8" t="str">
        <x:v>0402</x:v>
      </x:c>
      <x:c r="I60" s="8" t="str">
        <x:v>47 pF 25 V C0G</x:v>
      </x:c>
      <x:c r="J60" s="8" t="str">
        <x:v>COMMON</x:v>
      </x:c>
      <x:c r="K60" s="8" t="str">
        <x:v>FITTED</x:v>
      </x:c>
      <x:c r="L60" s="9" t="n">
        <x:v>1</x:v>
      </x:c>
      <x:c r="M60" s="9" t="n">
        <x:v>20</x:v>
      </x:c>
      <x:c r="N60" s="9" t="n">
        <x:v>0</x:v>
      </x:c>
      <x:c r="O60" s="9" t="n">
        <x:v>20</x:v>
      </x:c>
      <x:c r="P60" s="9" t="n">
        <x:v>41</x:v>
      </x:c>
      <x:c r="Q60" s="9" t="n">
        <x:v>0</x:v>
      </x:c>
      <x:c r="R60" s="9" t="n">
        <x:v>41</x:v>
      </x:c>
      <x:c r="S60" s="8" t="str">
        <x:v>COMMON_PROGRAM_PROCUREMENT</x:v>
      </x:c>
      <x:c r="T60" s="8" t="str">
        <x:v>SELECTED_PENDING_REVIEW_A</x:v>
      </x:c>
      <x:c r="U60" s="8" t="str">
        <x:v>Marking MPN package orientation electrical functional sample</x:v>
      </x:c>
    </x:row>
    <x:row r="61">
      <x:c r="A61" s="8" t="str">
        <x:v>PR-065</x:v>
      </x:c>
      <x:c r="B61" s="8" t="str">
        <x:v>PCB-MAIN</x:v>
      </x:c>
      <x:c r="C61" s="8" t="str">
        <x:v>MAIN-010-C43 | MAIN-010-C47</x:v>
      </x:c>
      <x:c r="D61" s="8" t="str">
        <x:v>C43 | C47</x:v>
      </x:c>
      <x:c r="E61" s="8" t="str">
        <x:v>Capacitor</x:v>
      </x:c>
      <x:c r="F61" s="8" t="str">
        <x:v>Murata</x:v>
      </x:c>
      <x:c r="G61" s="8" t="str">
        <x:v>GRM1555C1H100JA01D</x:v>
      </x:c>
      <x:c r="H61" s="8" t="str">
        <x:v>0402</x:v>
      </x:c>
      <x:c r="I61" s="8" t="str">
        <x:v>10 pF 50 V C0G</x:v>
      </x:c>
      <x:c r="J61" s="8" t="str">
        <x:v>COMMON</x:v>
      </x:c>
      <x:c r="K61" s="8" t="str">
        <x:v>FITTED</x:v>
      </x:c>
      <x:c r="L61" s="9" t="n">
        <x:v>2</x:v>
      </x:c>
      <x:c r="M61" s="9" t="n">
        <x:v>40</x:v>
      </x:c>
      <x:c r="N61" s="9" t="n">
        <x:v>0</x:v>
      </x:c>
      <x:c r="O61" s="9" t="n">
        <x:v>40</x:v>
      </x:c>
      <x:c r="P61" s="9" t="n">
        <x:v>82</x:v>
      </x:c>
      <x:c r="Q61" s="9" t="n">
        <x:v>0</x:v>
      </x:c>
      <x:c r="R61" s="9" t="n">
        <x:v>82</x:v>
      </x:c>
      <x:c r="S61" s="8" t="str">
        <x:v>COMMON_PROGRAM_PROCUREMENT</x:v>
      </x:c>
      <x:c r="T61" s="8" t="str">
        <x:v>SELECTED_PENDING_REVIEW_A</x:v>
      </x:c>
      <x:c r="U61" s="8" t="str">
        <x:v>Marking MPN package orientation electrical functional sample</x:v>
      </x:c>
    </x:row>
    <x:row r="62">
      <x:c r="A62" s="8" t="str">
        <x:v>PR-066</x:v>
      </x:c>
      <x:c r="B62" s="8" t="str">
        <x:v>PCB-MAIN</x:v>
      </x:c>
      <x:c r="C62" s="8" t="str">
        <x:v>MAIN-010-C40</x:v>
      </x:c>
      <x:c r="D62" s="8" t="str">
        <x:v>C40</x:v>
      </x:c>
      <x:c r="E62" s="8" t="str">
        <x:v>Capacitor</x:v>
      </x:c>
      <x:c r="F62" s="8" t="str">
        <x:v>Murata</x:v>
      </x:c>
      <x:c r="G62" s="8" t="str">
        <x:v>GRM1555C1H101JA01D</x:v>
      </x:c>
      <x:c r="H62" s="8" t="str">
        <x:v>0402</x:v>
      </x:c>
      <x:c r="I62" s="8" t="str">
        <x:v>100 pF 50 V C0G</x:v>
      </x:c>
      <x:c r="J62" s="8" t="str">
        <x:v>COMMON</x:v>
      </x:c>
      <x:c r="K62" s="8" t="str">
        <x:v>FITTED</x:v>
      </x:c>
      <x:c r="L62" s="9" t="n">
        <x:v>1</x:v>
      </x:c>
      <x:c r="M62" s="9" t="n">
        <x:v>20</x:v>
      </x:c>
      <x:c r="N62" s="9" t="n">
        <x:v>0</x:v>
      </x:c>
      <x:c r="O62" s="9" t="n">
        <x:v>20</x:v>
      </x:c>
      <x:c r="P62" s="9" t="n">
        <x:v>41</x:v>
      </x:c>
      <x:c r="Q62" s="9" t="n">
        <x:v>0</x:v>
      </x:c>
      <x:c r="R62" s="9" t="n">
        <x:v>41</x:v>
      </x:c>
      <x:c r="S62" s="8" t="str">
        <x:v>COMMON_PROGRAM_PROCUREMENT</x:v>
      </x:c>
      <x:c r="T62" s="8" t="str">
        <x:v>SELECTED_PENDING_REVIEW_A</x:v>
      </x:c>
      <x:c r="U62" s="8" t="str">
        <x:v>Marking MPN package orientation electrical functional sample</x:v>
      </x:c>
    </x:row>
    <x:row r="63">
      <x:c r="A63" s="8" t="str">
        <x:v>PR-067</x:v>
      </x:c>
      <x:c r="B63" s="8" t="str">
        <x:v>PCB-MAIN</x:v>
      </x:c>
      <x:c r="C63" s="8" t="str">
        <x:v>MAIN-010-C39</x:v>
      </x:c>
      <x:c r="D63" s="8" t="str">
        <x:v>C39</x:v>
      </x:c>
      <x:c r="E63" s="8" t="str">
        <x:v>Capacitor</x:v>
      </x:c>
      <x:c r="F63" s="8" t="str">
        <x:v>Murata</x:v>
      </x:c>
      <x:c r="G63" s="8" t="str">
        <x:v>GRM1555C1H151JA01D</x:v>
      </x:c>
      <x:c r="H63" s="8" t="str">
        <x:v>0402</x:v>
      </x:c>
      <x:c r="I63" s="8" t="str">
        <x:v>150 pF 50 V C0G</x:v>
      </x:c>
      <x:c r="J63" s="8" t="str">
        <x:v>COMMON</x:v>
      </x:c>
      <x:c r="K63" s="8" t="str">
        <x:v>FITTED</x:v>
      </x:c>
      <x:c r="L63" s="9" t="n">
        <x:v>1</x:v>
      </x:c>
      <x:c r="M63" s="9" t="n">
        <x:v>20</x:v>
      </x:c>
      <x:c r="N63" s="9" t="n">
        <x:v>0</x:v>
      </x:c>
      <x:c r="O63" s="9" t="n">
        <x:v>20</x:v>
      </x:c>
      <x:c r="P63" s="9" t="n">
        <x:v>41</x:v>
      </x:c>
      <x:c r="Q63" s="9" t="n">
        <x:v>0</x:v>
      </x:c>
      <x:c r="R63" s="9" t="n">
        <x:v>41</x:v>
      </x:c>
      <x:c r="S63" s="8" t="str">
        <x:v>COMMON_PROGRAM_PROCUREMENT</x:v>
      </x:c>
      <x:c r="T63" s="8" t="str">
        <x:v>SELECTED_PENDING_REVIEW_A</x:v>
      </x:c>
      <x:c r="U63" s="8" t="str">
        <x:v>Marking MPN package orientation electrical functional sample</x:v>
      </x:c>
    </x:row>
    <x:row r="64">
      <x:c r="A64" s="8" t="str">
        <x:v>PR-069</x:v>
      </x:c>
      <x:c r="B64" s="8" t="str">
        <x:v>PCB-MAIN</x:v>
      </x:c>
      <x:c r="C64" s="8" t="str">
        <x:v>MAIN-010-C42 | MAIN-010-C46</x:v>
      </x:c>
      <x:c r="D64" s="8" t="str">
        <x:v>C42 | C46</x:v>
      </x:c>
      <x:c r="E64" s="8" t="str">
        <x:v>Capacitor</x:v>
      </x:c>
      <x:c r="F64" s="8" t="str">
        <x:v>Murata</x:v>
      </x:c>
      <x:c r="G64" s="8" t="str">
        <x:v>GRM1555C1H330JA01D</x:v>
      </x:c>
      <x:c r="H64" s="8" t="str">
        <x:v>0402</x:v>
      </x:c>
      <x:c r="I64" s="8" t="str">
        <x:v>33 pF 50 V C0G</x:v>
      </x:c>
      <x:c r="J64" s="8" t="str">
        <x:v>COMMON</x:v>
      </x:c>
      <x:c r="K64" s="8" t="str">
        <x:v>FITTED</x:v>
      </x:c>
      <x:c r="L64" s="9" t="n">
        <x:v>2</x:v>
      </x:c>
      <x:c r="M64" s="9" t="n">
        <x:v>40</x:v>
      </x:c>
      <x:c r="N64" s="9" t="n">
        <x:v>0</x:v>
      </x:c>
      <x:c r="O64" s="9" t="n">
        <x:v>40</x:v>
      </x:c>
      <x:c r="P64" s="9" t="n">
        <x:v>82</x:v>
      </x:c>
      <x:c r="Q64" s="9" t="n">
        <x:v>0</x:v>
      </x:c>
      <x:c r="R64" s="9" t="n">
        <x:v>82</x:v>
      </x:c>
      <x:c r="S64" s="8" t="str">
        <x:v>COMMON_PROGRAM_PROCUREMENT</x:v>
      </x:c>
      <x:c r="T64" s="8" t="str">
        <x:v>SELECTED_PENDING_REVIEW_A</x:v>
      </x:c>
      <x:c r="U64" s="8" t="str">
        <x:v>Marking MPN package orientation electrical functional sample</x:v>
      </x:c>
    </x:row>
    <x:row r="65">
      <x:c r="A65" s="8" t="str">
        <x:v>PR-070</x:v>
      </x:c>
      <x:c r="B65" s="8" t="str">
        <x:v>PCB-MAIN</x:v>
      </x:c>
      <x:c r="C65" s="8" t="str">
        <x:v>MAIN-010-C41</x:v>
      </x:c>
      <x:c r="D65" s="8" t="str">
        <x:v>C41</x:v>
      </x:c>
      <x:c r="E65" s="8" t="str">
        <x:v>Capacitor</x:v>
      </x:c>
      <x:c r="F65" s="8" t="str">
        <x:v>Murata</x:v>
      </x:c>
      <x:c r="G65" s="8" t="str">
        <x:v>GRM1555C1H680JA01D</x:v>
      </x:c>
      <x:c r="H65" s="8" t="str">
        <x:v>0402</x:v>
      </x:c>
      <x:c r="I65" s="8" t="str">
        <x:v>68 pF 50 V C0G</x:v>
      </x:c>
      <x:c r="J65" s="8" t="str">
        <x:v>COMMON</x:v>
      </x:c>
      <x:c r="K65" s="8" t="str">
        <x:v>FITTED</x:v>
      </x:c>
      <x:c r="L65" s="9" t="n">
        <x:v>1</x:v>
      </x:c>
      <x:c r="M65" s="9" t="n">
        <x:v>20</x:v>
      </x:c>
      <x:c r="N65" s="9" t="n">
        <x:v>0</x:v>
      </x:c>
      <x:c r="O65" s="9" t="n">
        <x:v>20</x:v>
      </x:c>
      <x:c r="P65" s="9" t="n">
        <x:v>41</x:v>
      </x:c>
      <x:c r="Q65" s="9" t="n">
        <x:v>0</x:v>
      </x:c>
      <x:c r="R65" s="9" t="n">
        <x:v>41</x:v>
      </x:c>
      <x:c r="S65" s="8" t="str">
        <x:v>COMMON_PROGRAM_PROCUREMENT</x:v>
      </x:c>
      <x:c r="T65" s="8" t="str">
        <x:v>SELECTED_PENDING_REVIEW_A</x:v>
      </x:c>
      <x:c r="U65" s="8" t="str">
        <x:v>Marking MPN package orientation electrical functional sample</x:v>
      </x:c>
    </x:row>
    <x:row r="66">
      <x:c r="A66" s="8" t="str">
        <x:v>PR-071</x:v>
      </x:c>
      <x:c r="B66" s="8" t="str">
        <x:v>PCB-MAIN</x:v>
      </x:c>
      <x:c r="C66" s="8" t="str">
        <x:v>MAIN-010-C14 | MAIN-010-C15</x:v>
      </x:c>
      <x:c r="D66" s="8" t="str">
        <x:v>C14 | C15</x:v>
      </x:c>
      <x:c r="E66" s="8" t="str">
        <x:v>Capacitor</x:v>
      </x:c>
      <x:c r="F66" s="8" t="str">
        <x:v>Murata</x:v>
      </x:c>
      <x:c r="G66" s="8" t="str">
        <x:v>GRM155R61A225KE15D</x:v>
      </x:c>
      <x:c r="H66" s="8" t="str">
        <x:v>0402</x:v>
      </x:c>
      <x:c r="I66" s="8" t="str">
        <x:v>2.2 uF 10 V X5R</x:v>
      </x:c>
      <x:c r="J66" s="8" t="str">
        <x:v>COMMON</x:v>
      </x:c>
      <x:c r="K66" s="8" t="str">
        <x:v>FITTED</x:v>
      </x:c>
      <x:c r="L66" s="9" t="n">
        <x:v>2</x:v>
      </x:c>
      <x:c r="M66" s="9" t="n">
        <x:v>40</x:v>
      </x:c>
      <x:c r="N66" s="9" t="n">
        <x:v>0</x:v>
      </x:c>
      <x:c r="O66" s="9" t="n">
        <x:v>40</x:v>
      </x:c>
      <x:c r="P66" s="9" t="n">
        <x:v>82</x:v>
      </x:c>
      <x:c r="Q66" s="9" t="n">
        <x:v>0</x:v>
      </x:c>
      <x:c r="R66" s="9" t="n">
        <x:v>82</x:v>
      </x:c>
      <x:c r="S66" s="8" t="str">
        <x:v>COMMON_PROGRAM_PROCUREMENT</x:v>
      </x:c>
      <x:c r="T66" s="8" t="str">
        <x:v>SELECTED_PENDING_REVIEW_A</x:v>
      </x:c>
      <x:c r="U66" s="8" t="str">
        <x:v>Marking MPN package orientation electrical functional sample</x:v>
      </x:c>
    </x:row>
    <x:row r="67">
      <x:c r="A67" s="8" t="str">
        <x:v>PR-072</x:v>
      </x:c>
      <x:c r="B67" s="8" t="str">
        <x:v>PCB-MAIN</x:v>
      </x:c>
      <x:c r="C67" s="8" t="str">
        <x:v>MAIN-010-C11 | MAIN-010-C22 | MAIN-010-C9</x:v>
      </x:c>
      <x:c r="D67" s="8" t="str">
        <x:v>C11 | C22 | C9</x:v>
      </x:c>
      <x:c r="E67" s="8" t="str">
        <x:v>Capacitor</x:v>
      </x:c>
      <x:c r="F67" s="8" t="str">
        <x:v>Murata</x:v>
      </x:c>
      <x:c r="G67" s="8" t="str">
        <x:v>GRM155R61C105KA12D</x:v>
      </x:c>
      <x:c r="H67" s="8" t="str">
        <x:v>0402</x:v>
      </x:c>
      <x:c r="I67" s="8" t="str">
        <x:v>1 uF 16 V X5R</x:v>
      </x:c>
      <x:c r="J67" s="8" t="str">
        <x:v>COMMON</x:v>
      </x:c>
      <x:c r="K67" s="8" t="str">
        <x:v>FITTED</x:v>
      </x:c>
      <x:c r="L67" s="9" t="n">
        <x:v>3</x:v>
      </x:c>
      <x:c r="M67" s="9" t="n">
        <x:v>60</x:v>
      </x:c>
      <x:c r="N67" s="9" t="n">
        <x:v>0</x:v>
      </x:c>
      <x:c r="O67" s="9" t="n">
        <x:v>60</x:v>
      </x:c>
      <x:c r="P67" s="9" t="n">
        <x:v>123</x:v>
      </x:c>
      <x:c r="Q67" s="9" t="n">
        <x:v>0</x:v>
      </x:c>
      <x:c r="R67" s="9" t="n">
        <x:v>123</x:v>
      </x:c>
      <x:c r="S67" s="8" t="str">
        <x:v>COMMON_PROGRAM_PROCUREMENT</x:v>
      </x:c>
      <x:c r="T67" s="8" t="str">
        <x:v>SELECTED_PENDING_REVIEW_A</x:v>
      </x:c>
      <x:c r="U67" s="8" t="str">
        <x:v>Marking MPN package orientation electrical functional sample</x:v>
      </x:c>
    </x:row>
    <x:row r="68">
      <x:c r="A68" s="8" t="str">
        <x:v>PR-073</x:v>
      </x:c>
      <x:c r="B68" s="8" t="str">
        <x:v>PCB-MAIN</x:v>
      </x:c>
      <x:c r="C68" s="8" t="str">
        <x:v>MAIN-010-C63</x:v>
      </x:c>
      <x:c r="D68" s="8" t="str">
        <x:v>C63</x:v>
      </x:c>
      <x:c r="E68" s="8" t="str">
        <x:v>Capacitor</x:v>
      </x:c>
      <x:c r="F68" s="8" t="str">
        <x:v>Murata</x:v>
      </x:c>
      <x:c r="G68" s="8" t="str">
        <x:v>GRM155R71C103KA01D</x:v>
      </x:c>
      <x:c r="H68" s="8" t="str">
        <x:v>0402</x:v>
      </x:c>
      <x:c r="I68" s="8" t="str">
        <x:v>10 nF 16 V X7R</x:v>
      </x:c>
      <x:c r="J68" s="8" t="str">
        <x:v>COMMON</x:v>
      </x:c>
      <x:c r="K68" s="8" t="str">
        <x:v>FITTED</x:v>
      </x:c>
      <x:c r="L68" s="9" t="n">
        <x:v>1</x:v>
      </x:c>
      <x:c r="M68" s="9" t="n">
        <x:v>20</x:v>
      </x:c>
      <x:c r="N68" s="9" t="n">
        <x:v>0</x:v>
      </x:c>
      <x:c r="O68" s="9" t="n">
        <x:v>20</x:v>
      </x:c>
      <x:c r="P68" s="9" t="n">
        <x:v>41</x:v>
      </x:c>
      <x:c r="Q68" s="9" t="n">
        <x:v>0</x:v>
      </x:c>
      <x:c r="R68" s="9" t="n">
        <x:v>41</x:v>
      </x:c>
      <x:c r="S68" s="8" t="str">
        <x:v>COMMON_PROGRAM_PROCUREMENT</x:v>
      </x:c>
      <x:c r="T68" s="8" t="str">
        <x:v>SELECTED_PENDING_REVIEW_A</x:v>
      </x:c>
      <x:c r="U68" s="8" t="str">
        <x:v>Marking MPN package orientation electrical functional sample</x:v>
      </x:c>
    </x:row>
    <x:row r="69">
      <x:c r="A69" s="8" t="str">
        <x:v>PR-074</x:v>
      </x:c>
      <x:c r="B69" s="8" t="str">
        <x:v>PCB-MAIN</x:v>
      </x:c>
      <x:c r="C69" s="8" t="str">
        <x:v>MAIN-010-C48 | MAIN-010-C52 | MAIN-010-C53 | MAIN-010-C76 | MAIN-010-C78</x:v>
      </x:c>
      <x:c r="D69" s="8" t="str">
        <x:v>C48 | C52 | C53 | C76 | C78</x:v>
      </x:c>
      <x:c r="E69" s="8" t="str">
        <x:v>Capacitor</x:v>
      </x:c>
      <x:c r="F69" s="8" t="str">
        <x:v>Murata</x:v>
      </x:c>
      <x:c r="G69" s="8" t="str">
        <x:v>GRM155R71E103KA01D</x:v>
      </x:c>
      <x:c r="H69" s="8" t="str">
        <x:v>0402</x:v>
      </x:c>
      <x:c r="I69" s="8" t="str">
        <x:v>10 nF 25 V X7R</x:v>
      </x:c>
      <x:c r="J69" s="8" t="str">
        <x:v>COMMON</x:v>
      </x:c>
      <x:c r="K69" s="8" t="str">
        <x:v>FITTED</x:v>
      </x:c>
      <x:c r="L69" s="9" t="n">
        <x:v>5</x:v>
      </x:c>
      <x:c r="M69" s="9" t="n">
        <x:v>100</x:v>
      </x:c>
      <x:c r="N69" s="9" t="n">
        <x:v>0</x:v>
      </x:c>
      <x:c r="O69" s="9" t="n">
        <x:v>100</x:v>
      </x:c>
      <x:c r="P69" s="9" t="n">
        <x:v>205</x:v>
      </x:c>
      <x:c r="Q69" s="9" t="n">
        <x:v>0</x:v>
      </x:c>
      <x:c r="R69" s="9" t="n">
        <x:v>205</x:v>
      </x:c>
      <x:c r="S69" s="8" t="str">
        <x:v>COMMON_PROGRAM_PROCUREMENT</x:v>
      </x:c>
      <x:c r="T69" s="8" t="str">
        <x:v>SELECTED_PENDING_REVIEW_A</x:v>
      </x:c>
      <x:c r="U69" s="8" t="str">
        <x:v>Marking MPN package orientation electrical functional sample</x:v>
      </x:c>
    </x:row>
    <x:row r="70">
      <x:c r="A70" s="8" t="str">
        <x:v>PR-076</x:v>
      </x:c>
      <x:c r="B70" s="8" t="str">
        <x:v>PCB-MAIN</x:v>
      </x:c>
      <x:c r="C70" s="8" t="str">
        <x:v>MAIN-010-C1 | MAIN-010-C10 | MAIN-010-C12 | MAIN-010-C18 | MAIN-010-C2 | MAIN-010-C21 | MAIN-010-C23 | MAIN-010-C25 | MAIN-010-C26 | MAIN-010-C27 | MAIN-010-C28 | MAIN-010-C29 | MAIN-010-C3 | MAIN-010-C30 | MAIN-010-C31 | MAIN-010-C32 | MAIN-010-C33 | MAIN-010-C34 | MAIN-010-C35 | MAIN-010-C4 | MAIN-010-C45 | MAIN-010-C49 | MAIN-010-C5 | MAIN-010-C50 | MAIN-010-C51 | MAIN-010-C60 | MAIN-010-C62 | MAIN-010-C65 | MAIN-010-C66 | MAIN-010-C68 | MAIN-010-C7 | MAIN-010-C71 | MAIN-010-C73 | MAIN-010-C74 | MAIN-010-C8</x:v>
      </x:c>
      <x:c r="D70" s="8" t="str">
        <x:v>C1 | C10 | C12 | C18 | C2 | C21 | C23 | C25 | C26 | C27 | C28 | C29 | C3 | C30 | C31 | C32 | C33 | C34 | C35 | C4 | C45 | C49 | C5 | C50 | C51 | C60 | C62 | C65 | C66 | C68 | C7 | C71 | C73 | C74 | C8</x:v>
      </x:c>
      <x:c r="E70" s="8" t="str">
        <x:v>Capacitor</x:v>
      </x:c>
      <x:c r="F70" s="8" t="str">
        <x:v>Murata</x:v>
      </x:c>
      <x:c r="G70" s="8" t="str">
        <x:v>GRM155R71E104KE14D</x:v>
      </x:c>
      <x:c r="H70" s="8" t="str">
        <x:v>0402</x:v>
      </x:c>
      <x:c r="I70" s="8" t="str">
        <x:v>100 nF 25 V X7R</x:v>
      </x:c>
      <x:c r="J70" s="8" t="str">
        <x:v>COMMON</x:v>
      </x:c>
      <x:c r="K70" s="8" t="str">
        <x:v>FITTED</x:v>
      </x:c>
      <x:c r="L70" s="9" t="n">
        <x:v>35</x:v>
      </x:c>
      <x:c r="M70" s="9" t="n">
        <x:v>700</x:v>
      </x:c>
      <x:c r="N70" s="9" t="n">
        <x:v>0</x:v>
      </x:c>
      <x:c r="O70" s="9" t="n">
        <x:v>700</x:v>
      </x:c>
      <x:c r="P70" s="9" t="n">
        <x:v>1435</x:v>
      </x:c>
      <x:c r="Q70" s="9" t="n">
        <x:v>0</x:v>
      </x:c>
      <x:c r="R70" s="9" t="n">
        <x:v>1435</x:v>
      </x:c>
      <x:c r="S70" s="8" t="str">
        <x:v>COMMON_PROGRAM_PROCUREMENT</x:v>
      </x:c>
      <x:c r="T70" s="8" t="str">
        <x:v>SELECTED_PENDING_REVIEW_A</x:v>
      </x:c>
      <x:c r="U70" s="8" t="str">
        <x:v>Marking MPN package orientation electrical functional sample</x:v>
      </x:c>
    </x:row>
    <x:row r="71">
      <x:c r="A71" s="8" t="str">
        <x:v>PR-077</x:v>
      </x:c>
      <x:c r="B71" s="8" t="str">
        <x:v>PCB-MAIN</x:v>
      </x:c>
      <x:c r="C71" s="8" t="str">
        <x:v>MAIN-010-C37</x:v>
      </x:c>
      <x:c r="D71" s="8" t="str">
        <x:v>C37</x:v>
      </x:c>
      <x:c r="E71" s="8" t="str">
        <x:v>Capacitor</x:v>
      </x:c>
      <x:c r="F71" s="8" t="str">
        <x:v>Murata</x:v>
      </x:c>
      <x:c r="G71" s="8" t="str">
        <x:v>GRM155R71E224KE14D</x:v>
      </x:c>
      <x:c r="H71" s="8" t="str">
        <x:v>0402</x:v>
      </x:c>
      <x:c r="I71" s="8" t="str">
        <x:v>220 nF 25 V X7R</x:v>
      </x:c>
      <x:c r="J71" s="8" t="str">
        <x:v>COMMON</x:v>
      </x:c>
      <x:c r="K71" s="8" t="str">
        <x:v>FITTED</x:v>
      </x:c>
      <x:c r="L71" s="9" t="n">
        <x:v>1</x:v>
      </x:c>
      <x:c r="M71" s="9" t="n">
        <x:v>20</x:v>
      </x:c>
      <x:c r="N71" s="9" t="n">
        <x:v>0</x:v>
      </x:c>
      <x:c r="O71" s="9" t="n">
        <x:v>20</x:v>
      </x:c>
      <x:c r="P71" s="9" t="n">
        <x:v>41</x:v>
      </x:c>
      <x:c r="Q71" s="9" t="n">
        <x:v>0</x:v>
      </x:c>
      <x:c r="R71" s="9" t="n">
        <x:v>41</x:v>
      </x:c>
      <x:c r="S71" s="8" t="str">
        <x:v>COMMON_PROGRAM_PROCUREMENT</x:v>
      </x:c>
      <x:c r="T71" s="8" t="str">
        <x:v>SELECTED_PENDING_REVIEW_A</x:v>
      </x:c>
      <x:c r="U71" s="8" t="str">
        <x:v>Marking MPN package orientation electrical functional sample</x:v>
      </x:c>
    </x:row>
    <x:row r="72">
      <x:c r="A72" s="8" t="str">
        <x:v>PR-078</x:v>
      </x:c>
      <x:c r="B72" s="8" t="str">
        <x:v>PCB-MAIN</x:v>
      </x:c>
      <x:c r="C72" s="8" t="str">
        <x:v>MAIN-010-C38</x:v>
      </x:c>
      <x:c r="D72" s="8" t="str">
        <x:v>C38</x:v>
      </x:c>
      <x:c r="E72" s="8" t="str">
        <x:v>Capacitor</x:v>
      </x:c>
      <x:c r="F72" s="8" t="str">
        <x:v>Murata</x:v>
      </x:c>
      <x:c r="G72" s="8" t="str">
        <x:v>GRM155R71E473KA01D</x:v>
      </x:c>
      <x:c r="H72" s="8" t="str">
        <x:v>0402</x:v>
      </x:c>
      <x:c r="I72" s="8" t="str">
        <x:v>47 nF 25 V X7R</x:v>
      </x:c>
      <x:c r="J72" s="8" t="str">
        <x:v>COMMON</x:v>
      </x:c>
      <x:c r="K72" s="8" t="str">
        <x:v>FITTED</x:v>
      </x:c>
      <x:c r="L72" s="9" t="n">
        <x:v>1</x:v>
      </x:c>
      <x:c r="M72" s="9" t="n">
        <x:v>20</x:v>
      </x:c>
      <x:c r="N72" s="9" t="n">
        <x:v>0</x:v>
      </x:c>
      <x:c r="O72" s="9" t="n">
        <x:v>20</x:v>
      </x:c>
      <x:c r="P72" s="9" t="n">
        <x:v>41</x:v>
      </x:c>
      <x:c r="Q72" s="9" t="n">
        <x:v>0</x:v>
      </x:c>
      <x:c r="R72" s="9" t="n">
        <x:v>41</x:v>
      </x:c>
      <x:c r="S72" s="8" t="str">
        <x:v>COMMON_PROGRAM_PROCUREMENT</x:v>
      </x:c>
      <x:c r="T72" s="8" t="str">
        <x:v>SELECTED_PENDING_REVIEW_A</x:v>
      </x:c>
      <x:c r="U72" s="8" t="str">
        <x:v>Marking MPN package orientation electrical functional sample</x:v>
      </x:c>
    </x:row>
    <x:row r="73">
      <x:c r="A73" s="8" t="str">
        <x:v>PR-079</x:v>
      </x:c>
      <x:c r="B73" s="8" t="str">
        <x:v>PCB-MAIN</x:v>
      </x:c>
      <x:c r="C73" s="8" t="str">
        <x:v>MAIN-010-C77</x:v>
      </x:c>
      <x:c r="D73" s="8" t="str">
        <x:v>C77</x:v>
      </x:c>
      <x:c r="E73" s="8" t="str">
        <x:v>Capacitor</x:v>
      </x:c>
      <x:c r="F73" s="8" t="str">
        <x:v>Murata</x:v>
      </x:c>
      <x:c r="G73" s="8" t="str">
        <x:v>GRM155R72A472KA01D</x:v>
      </x:c>
      <x:c r="H73" s="8" t="str">
        <x:v>0402</x:v>
      </x:c>
      <x:c r="I73" s="8" t="str">
        <x:v>4.7 nF 100 V X7R</x:v>
      </x:c>
      <x:c r="J73" s="8" t="str">
        <x:v>COMMON</x:v>
      </x:c>
      <x:c r="K73" s="8" t="str">
        <x:v>FITTED</x:v>
      </x:c>
      <x:c r="L73" s="9" t="n">
        <x:v>1</x:v>
      </x:c>
      <x:c r="M73" s="9" t="n">
        <x:v>20</x:v>
      </x:c>
      <x:c r="N73" s="9" t="n">
        <x:v>0</x:v>
      </x:c>
      <x:c r="O73" s="9" t="n">
        <x:v>20</x:v>
      </x:c>
      <x:c r="P73" s="9" t="n">
        <x:v>41</x:v>
      </x:c>
      <x:c r="Q73" s="9" t="n">
        <x:v>0</x:v>
      </x:c>
      <x:c r="R73" s="9" t="n">
        <x:v>41</x:v>
      </x:c>
      <x:c r="S73" s="8" t="str">
        <x:v>COMMON_PROGRAM_PROCUREMENT</x:v>
      </x:c>
      <x:c r="T73" s="8" t="str">
        <x:v>SELECTED_PENDING_REVIEW_A</x:v>
      </x:c>
      <x:c r="U73" s="8" t="str">
        <x:v>Marking MPN package orientation electrical functional sample</x:v>
      </x:c>
    </x:row>
    <x:row r="74">
      <x:c r="A74" s="8" t="str">
        <x:v>PR-080</x:v>
      </x:c>
      <x:c r="B74" s="8" t="str">
        <x:v>PCB-MAIN</x:v>
      </x:c>
      <x:c r="C74" s="8" t="str">
        <x:v>MAIN-010-C13 | MAIN-010-C20 | MAIN-010-C24 | MAIN-010-C6 | MAIN-010-C61 | MAIN-010-C67 | MAIN-010-C72 | MAIN-010-C75</x:v>
      </x:c>
      <x:c r="D74" s="8" t="str">
        <x:v>C13 | C20 | C24 | C6 | C61 | C67 | C72 | C75</x:v>
      </x:c>
      <x:c r="E74" s="8" t="str">
        <x:v>Capacitor</x:v>
      </x:c>
      <x:c r="F74" s="8" t="str">
        <x:v>Murata</x:v>
      </x:c>
      <x:c r="G74" s="8" t="str">
        <x:v>GRM188R61A106KE69D</x:v>
      </x:c>
      <x:c r="H74" s="8" t="str">
        <x:v>0603</x:v>
      </x:c>
      <x:c r="I74" s="8" t="str">
        <x:v>10 uF 10 V X5R</x:v>
      </x:c>
      <x:c r="J74" s="8" t="str">
        <x:v>COMMON</x:v>
      </x:c>
      <x:c r="K74" s="8" t="str">
        <x:v>FITTED</x:v>
      </x:c>
      <x:c r="L74" s="9" t="n">
        <x:v>8</x:v>
      </x:c>
      <x:c r="M74" s="9" t="n">
        <x:v>160</x:v>
      </x:c>
      <x:c r="N74" s="9" t="n">
        <x:v>0</x:v>
      </x:c>
      <x:c r="O74" s="9" t="n">
        <x:v>160</x:v>
      </x:c>
      <x:c r="P74" s="9" t="n">
        <x:v>328</x:v>
      </x:c>
      <x:c r="Q74" s="9" t="n">
        <x:v>0</x:v>
      </x:c>
      <x:c r="R74" s="9" t="n">
        <x:v>328</x:v>
      </x:c>
      <x:c r="S74" s="8" t="str">
        <x:v>COMMON_PROGRAM_PROCUREMENT</x:v>
      </x:c>
      <x:c r="T74" s="8" t="str">
        <x:v>SELECTED_PENDING_REVIEW_A</x:v>
      </x:c>
      <x:c r="U74" s="8" t="str">
        <x:v>Marking MPN package orientation electrical functional sample</x:v>
      </x:c>
    </x:row>
    <x:row r="75">
      <x:c r="A75" s="8" t="str">
        <x:v>PR-081</x:v>
      </x:c>
      <x:c r="B75" s="8" t="str">
        <x:v>PCB-MAIN</x:v>
      </x:c>
      <x:c r="C75" s="8" t="str">
        <x:v>MAIN-010-C19</x:v>
      </x:c>
      <x:c r="D75" s="8" t="str">
        <x:v>C19</x:v>
      </x:c>
      <x:c r="E75" s="8" t="str">
        <x:v>Capacitor</x:v>
      </x:c>
      <x:c r="F75" s="8" t="str">
        <x:v>Murata</x:v>
      </x:c>
      <x:c r="G75" s="8" t="str">
        <x:v>GRM21BR61A226ME44L</x:v>
      </x:c>
      <x:c r="H75" s="8" t="str">
        <x:v>0805</x:v>
      </x:c>
      <x:c r="I75" s="8" t="str">
        <x:v>22 uF 10 V X5R</x:v>
      </x:c>
      <x:c r="J75" s="8" t="str">
        <x:v>COMMON</x:v>
      </x:c>
      <x:c r="K75" s="8" t="str">
        <x:v>FITTED</x:v>
      </x:c>
      <x:c r="L75" s="9" t="n">
        <x:v>1</x:v>
      </x:c>
      <x:c r="M75" s="9" t="n">
        <x:v>20</x:v>
      </x:c>
      <x:c r="N75" s="9" t="n">
        <x:v>0</x:v>
      </x:c>
      <x:c r="O75" s="9" t="n">
        <x:v>20</x:v>
      </x:c>
      <x:c r="P75" s="9" t="n">
        <x:v>41</x:v>
      </x:c>
      <x:c r="Q75" s="9" t="n">
        <x:v>0</x:v>
      </x:c>
      <x:c r="R75" s="9" t="n">
        <x:v>41</x:v>
      </x:c>
      <x:c r="S75" s="8" t="str">
        <x:v>COMMON_PROGRAM_PROCUREMENT</x:v>
      </x:c>
      <x:c r="T75" s="8" t="str">
        <x:v>SELECTED_PENDING_REVIEW_A</x:v>
      </x:c>
      <x:c r="U75" s="8" t="str">
        <x:v>Marking MPN package orientation electrical functional sample</x:v>
      </x:c>
    </x:row>
    <x:row r="76">
      <x:c r="A76" s="8" t="str">
        <x:v>PR-082</x:v>
      </x:c>
      <x:c r="B76" s="8" t="str">
        <x:v>PCB-PWR</x:v>
      </x:c>
      <x:c r="C76" s="8" t="str">
        <x:v>U-MON-01</x:v>
      </x:c>
      <x:c r="D76" s="8" t="str">
        <x:v>U2</x:v>
      </x:c>
      <x:c r="E76" s="8" t="str">
        <x:v>Monitor</x:v>
      </x:c>
      <x:c r="F76" s="8" t="str">
        <x:v>Texas Instruments</x:v>
      </x:c>
      <x:c r="G76" s="8" t="str">
        <x:v>INA226AIDGSR</x:v>
      </x:c>
      <x:c r="H76" s="8" t="str">
        <x:v>VSSOP-10</x:v>
      </x:c>
      <x:c r="I76" s="8" t="str"/>
      <x:c r="J76" s="8" t="str">
        <x:v>COMMON</x:v>
      </x:c>
      <x:c r="K76" s="8" t="str">
        <x:v>FITTED</x:v>
      </x:c>
      <x:c r="L76" s="9" t="n">
        <x:v>1</x:v>
      </x:c>
      <x:c r="M76" s="9" t="n">
        <x:v>20</x:v>
      </x:c>
      <x:c r="N76" s="9" t="n">
        <x:v>5</x:v>
      </x:c>
      <x:c r="O76" s="9" t="n">
        <x:v>25</x:v>
      </x:c>
      <x:c r="P76" s="9" t="n">
        <x:v>41</x:v>
      </x:c>
      <x:c r="Q76" s="9" t="n">
        <x:v>10</x:v>
      </x:c>
      <x:c r="R76" s="9" t="n">
        <x:v>51</x:v>
      </x:c>
      <x:c r="S76" s="8" t="str">
        <x:v>COMMON_PROGRAM_PROCUREMENT</x:v>
      </x:c>
      <x:c r="T76" s="8" t="str">
        <x:v>SELECTED_REV_A_12PIN_I2C</x:v>
      </x:c>
      <x:c r="U76" s="8" t="str">
        <x:v>Marking I2C ID calibration and reference-meter compare</x:v>
      </x:c>
    </x:row>
    <x:row r="77">
      <x:c r="A77" s="8" t="str">
        <x:v>PR-083</x:v>
      </x:c>
      <x:c r="B77" s="8" t="str">
        <x:v>PCB-MAIN</x:v>
      </x:c>
      <x:c r="C77" s="8" t="str">
        <x:v>U3</x:v>
      </x:c>
      <x:c r="D77" s="8" t="str">
        <x:v>U3</x:v>
      </x:c>
      <x:c r="E77" s="8" t="str">
        <x:v>Motion</x:v>
      </x:c>
      <x:c r="F77" s="8" t="str">
        <x:v>STMicroelectronics</x:v>
      </x:c>
      <x:c r="G77" s="8" t="str">
        <x:v>LIS2DW12TR</x:v>
      </x:c>
      <x:c r="H77" s="8" t="str">
        <x:v>LGA-12_2x2mm</x:v>
      </x:c>
      <x:c r="I77" s="8" t="str"/>
      <x:c r="J77" s="8" t="str">
        <x:v>COMMON</x:v>
      </x:c>
      <x:c r="K77" s="8" t="str">
        <x:v>FITTED</x:v>
      </x:c>
      <x:c r="L77" s="9" t="n">
        <x:v>1</x:v>
      </x:c>
      <x:c r="M77" s="9" t="n">
        <x:v>20</x:v>
      </x:c>
      <x:c r="N77" s="9" t="n">
        <x:v>5</x:v>
      </x:c>
      <x:c r="O77" s="9" t="n">
        <x:v>25</x:v>
      </x:c>
      <x:c r="P77" s="9" t="n">
        <x:v>41</x:v>
      </x:c>
      <x:c r="Q77" s="9" t="n">
        <x:v>10</x:v>
      </x:c>
      <x:c r="R77" s="9" t="n">
        <x:v>51</x:v>
      </x:c>
      <x:c r="S77" s="8" t="str">
        <x:v>COMMON_PROGRAM_PROCUREMENT</x:v>
      </x:c>
      <x:c r="T77" s="8" t="str">
        <x:v>SELECTED_PENDING_SAMPLE</x:v>
      </x:c>
      <x:c r="U77" s="8" t="str">
        <x:v>Marking orientation WHO_AM_I and self-test</x:v>
      </x:c>
    </x:row>
    <x:row r="78">
      <x:c r="A78" s="8" t="str">
        <x:v>PR-084</x:v>
      </x:c>
      <x:c r="B78" s="8" t="str">
        <x:v>PCB-PWR</x:v>
      </x:c>
      <x:c r="C78" s="8" t="str">
        <x:v>PWR-REV-CTL</x:v>
      </x:c>
      <x:c r="D78" s="8" t="str">
        <x:v>U1</x:v>
      </x:c>
      <x:c r="E78" s="8" t="str">
        <x:v>Protection</x:v>
      </x:c>
      <x:c r="F78" s="8" t="str">
        <x:v>Texas Instruments</x:v>
      </x:c>
      <x:c r="G78" s="8" t="str">
        <x:v>LM74700QDBVRQ1</x:v>
      </x:c>
      <x:c r="H78" s="8" t="str">
        <x:v>SOT-23-6</x:v>
      </x:c>
      <x:c r="I78" s="8" t="str"/>
      <x:c r="J78" s="8" t="str">
        <x:v>COMMON</x:v>
      </x:c>
      <x:c r="K78" s="8" t="str">
        <x:v>FITTED</x:v>
      </x:c>
      <x:c r="L78" s="9" t="n">
        <x:v>1</x:v>
      </x:c>
      <x:c r="M78" s="9" t="n">
        <x:v>20</x:v>
      </x:c>
      <x:c r="N78" s="9" t="n">
        <x:v>5</x:v>
      </x:c>
      <x:c r="O78" s="9" t="n">
        <x:v>25</x:v>
      </x:c>
      <x:c r="P78" s="9" t="n">
        <x:v>41</x:v>
      </x:c>
      <x:c r="Q78" s="9" t="n">
        <x:v>10</x:v>
      </x:c>
      <x:c r="R78" s="9" t="n">
        <x:v>51</x:v>
      </x:c>
      <x:c r="S78" s="8" t="str">
        <x:v>COMMON_PROGRAM_PROCUREMENT</x:v>
      </x:c>
      <x:c r="T78" s="8" t="str">
        <x:v>SELECTED_PENDING_SCHEMATIC_SAMPLE</x:v>
      </x:c>
      <x:c r="U78" s="8" t="str">
        <x:v>Marking reverse test and gate waveform</x:v>
      </x:c>
    </x:row>
    <x:row r="79">
      <x:c r="A79" s="8" t="str">
        <x:v>PR-085</x:v>
      </x:c>
      <x:c r="B79" s="8" t="str">
        <x:v>PCB-PWR</x:v>
      </x:c>
      <x:c r="C79" s="8" t="str">
        <x:v>U-PWR1 | U-PWR2</x:v>
      </x:c>
      <x:c r="D79" s="8" t="str">
        <x:v>U3 | U4</x:v>
      </x:c>
      <x:c r="E79" s="8" t="str">
        <x:v>Power</x:v>
      </x:c>
      <x:c r="F79" s="8" t="str">
        <x:v>Texas Instruments</x:v>
      </x:c>
      <x:c r="G79" s="8" t="str">
        <x:v>LMR604403SRAKR</x:v>
      </x:c>
      <x:c r="H79" s="8" t="str">
        <x:v>RAK-9</x:v>
      </x:c>
      <x:c r="I79" s="8" t="str"/>
      <x:c r="J79" s="8" t="str">
        <x:v>COMMON</x:v>
      </x:c>
      <x:c r="K79" s="8" t="str">
        <x:v>FITTED</x:v>
      </x:c>
      <x:c r="L79" s="9" t="n">
        <x:v>2</x:v>
      </x:c>
      <x:c r="M79" s="9" t="n">
        <x:v>40</x:v>
      </x:c>
      <x:c r="N79" s="9" t="n">
        <x:v>10</x:v>
      </x:c>
      <x:c r="O79" s="9" t="n">
        <x:v>50</x:v>
      </x:c>
      <x:c r="P79" s="9" t="n">
        <x:v>82</x:v>
      </x:c>
      <x:c r="Q79" s="9" t="n">
        <x:v>20</x:v>
      </x:c>
      <x:c r="R79" s="9" t="n">
        <x:v>102</x:v>
      </x:c>
      <x:c r="S79" s="8" t="str">
        <x:v>COMMON_PROGRAM_PROCUREMENT</x:v>
      </x:c>
      <x:c r="T79" s="8" t="str">
        <x:v>SELECTED_PENDING_DESIGN_CALC_SAMPLE</x:v>
      </x:c>
      <x:c r="U79" s="8" t="str">
        <x:v>Load step ripple efficiency sleep current thermal and EMI | Load step ripple efficiency thermal and EMI</x:v>
      </x:c>
    </x:row>
    <x:row r="80">
      <x:c r="A80" s="8" t="str">
        <x:v>PR-086</x:v>
      </x:c>
      <x:c r="B80" s="8" t="str">
        <x:v>PCB-MAIN</x:v>
      </x:c>
      <x:c r="C80" s="8" t="str">
        <x:v>MAIN-010-L1</x:v>
      </x:c>
      <x:c r="D80" s="8" t="str">
        <x:v>L1</x:v>
      </x:c>
      <x:c r="E80" s="8" t="str">
        <x:v>Inductor</x:v>
      </x:c>
      <x:c r="F80" s="8" t="str">
        <x:v>Murata</x:v>
      </x:c>
      <x:c r="G80" s="8" t="str">
        <x:v>LQH32PN2R2NN0L</x:v>
      </x:c>
      <x:c r="H80" s="8" t="str">
        <x:v>1210</x:v>
      </x:c>
      <x:c r="I80" s="8" t="str">
        <x:v>2.2 uH 20%</x:v>
      </x:c>
      <x:c r="J80" s="8" t="str">
        <x:v>COMMON</x:v>
      </x:c>
      <x:c r="K80" s="8" t="str">
        <x:v>FITTED</x:v>
      </x:c>
      <x:c r="L80" s="9" t="n">
        <x:v>1</x:v>
      </x:c>
      <x:c r="M80" s="9" t="n">
        <x:v>20</x:v>
      </x:c>
      <x:c r="N80" s="9" t="n">
        <x:v>0</x:v>
      </x:c>
      <x:c r="O80" s="9" t="n">
        <x:v>20</x:v>
      </x:c>
      <x:c r="P80" s="9" t="n">
        <x:v>41</x:v>
      </x:c>
      <x:c r="Q80" s="9" t="n">
        <x:v>0</x:v>
      </x:c>
      <x:c r="R80" s="9" t="n">
        <x:v>41</x:v>
      </x:c>
      <x:c r="S80" s="8" t="str">
        <x:v>COMMON_PROGRAM_PROCUREMENT</x:v>
      </x:c>
      <x:c r="T80" s="8" t="str">
        <x:v>SELECTED_PENDING_REVIEW_A</x:v>
      </x:c>
      <x:c r="U80" s="8" t="str">
        <x:v>Marking MPN package orientation electrical functional sample</x:v>
      </x:c>
    </x:row>
    <x:row r="81">
      <x:c r="A81" s="8" t="str">
        <x:v>PR-087</x:v>
      </x:c>
      <x:c r="B81" s="8" t="str">
        <x:v>PCB-MAIN</x:v>
      </x:c>
      <x:c r="C81" s="8" t="str">
        <x:v>MAIN-010-L2</x:v>
      </x:c>
      <x:c r="D81" s="8" t="str">
        <x:v>L2</x:v>
      </x:c>
      <x:c r="E81" s="8" t="str">
        <x:v>Inductor</x:v>
      </x:c>
      <x:c r="F81" s="8" t="str">
        <x:v>Murata</x:v>
      </x:c>
      <x:c r="G81" s="8" t="str">
        <x:v>LQW15AN27NJ00D</x:v>
      </x:c>
      <x:c r="H81" s="8" t="str">
        <x:v>0402</x:v>
      </x:c>
      <x:c r="I81" s="8" t="str">
        <x:v>27 nH 5%</x:v>
      </x:c>
      <x:c r="J81" s="8" t="str">
        <x:v>COMMON</x:v>
      </x:c>
      <x:c r="K81" s="8" t="str">
        <x:v>FITTED</x:v>
      </x:c>
      <x:c r="L81" s="9" t="n">
        <x:v>1</x:v>
      </x:c>
      <x:c r="M81" s="9" t="n">
        <x:v>20</x:v>
      </x:c>
      <x:c r="N81" s="9" t="n">
        <x:v>0</x:v>
      </x:c>
      <x:c r="O81" s="9" t="n">
        <x:v>20</x:v>
      </x:c>
      <x:c r="P81" s="9" t="n">
        <x:v>41</x:v>
      </x:c>
      <x:c r="Q81" s="9" t="n">
        <x:v>0</x:v>
      </x:c>
      <x:c r="R81" s="9" t="n">
        <x:v>41</x:v>
      </x:c>
      <x:c r="S81" s="8" t="str">
        <x:v>COMMON_PROGRAM_PROCUREMENT</x:v>
      </x:c>
      <x:c r="T81" s="8" t="str">
        <x:v>SELECTED_PENDING_REVIEW_A</x:v>
      </x:c>
      <x:c r="U81" s="8" t="str">
        <x:v>Marking MPN package orientation electrical functional sample</x:v>
      </x:c>
    </x:row>
    <x:row r="82">
      <x:c r="A82" s="8" t="str">
        <x:v>PR-088</x:v>
      </x:c>
      <x:c r="B82" s="8" t="str">
        <x:v>PCB-MAIN</x:v>
      </x:c>
      <x:c r="C82" s="8" t="str">
        <x:v>MAIN-010-U5</x:v>
      </x:c>
      <x:c r="D82" s="8" t="str">
        <x:v>U5</x:v>
      </x:c>
      <x:c r="E82" s="8" t="str">
        <x:v>Operational_Amplifier</x:v>
      </x:c>
      <x:c r="F82" s="8" t="str">
        <x:v>Analog Devices</x:v>
      </x:c>
      <x:c r="G82" s="8" t="str">
        <x:v>LT6000IDCB#TRMPBF</x:v>
      </x:c>
      <x:c r="H82" s="8" t="str">
        <x:v>DFN-6_DCB_2x3mm</x:v>
      </x:c>
      <x:c r="I82" s="8" t="str">
        <x:v>Single rail-to-rail low-power op amp</x:v>
      </x:c>
      <x:c r="J82" s="8" t="str">
        <x:v>COMMON</x:v>
      </x:c>
      <x:c r="K82" s="8" t="str">
        <x:v>FITTED</x:v>
      </x:c>
      <x:c r="L82" s="9" t="n">
        <x:v>1</x:v>
      </x:c>
      <x:c r="M82" s="9" t="n">
        <x:v>20</x:v>
      </x:c>
      <x:c r="N82" s="9" t="n">
        <x:v>0</x:v>
      </x:c>
      <x:c r="O82" s="9" t="n">
        <x:v>20</x:v>
      </x:c>
      <x:c r="P82" s="9" t="n">
        <x:v>41</x:v>
      </x:c>
      <x:c r="Q82" s="9" t="n">
        <x:v>0</x:v>
      </x:c>
      <x:c r="R82" s="9" t="n">
        <x:v>41</x:v>
      </x:c>
      <x:c r="S82" s="8" t="str">
        <x:v>COMMON_PROGRAM_PROCUREMENT</x:v>
      </x:c>
      <x:c r="T82" s="8" t="str">
        <x:v>SELECTED_PENDING_REVIEW_A</x:v>
      </x:c>
      <x:c r="U82" s="8" t="str">
        <x:v>Marking MPN package orientation electrical functional sample</x:v>
      </x:c>
    </x:row>
    <x:row r="83">
      <x:c r="A83" s="8" t="str">
        <x:v>PR-089</x:v>
      </x:c>
      <x:c r="B83" s="8" t="str">
        <x:v>PCB-MAIN</x:v>
      </x:c>
      <x:c r="C83" s="8" t="str">
        <x:v>U9</x:v>
      </x:c>
      <x:c r="D83" s="8" t="str">
        <x:v>U9</x:v>
      </x:c>
      <x:c r="E83" s="8" t="str">
        <x:v>GNSS</x:v>
      </x:c>
      <x:c r="F83" s="8" t="str">
        <x:v>u-blox</x:v>
      </x:c>
      <x:c r="G83" s="8" t="str">
        <x:v>MAX-M10S-00B</x:v>
      </x:c>
      <x:c r="H83" s="8" t="str">
        <x:v>LCC-18_9.7x10.1mm</x:v>
      </x:c>
      <x:c r="I83" s="8" t="str"/>
      <x:c r="J83" s="8" t="str">
        <x:v>COMMON</x:v>
      </x:c>
      <x:c r="K83" s="8" t="str">
        <x:v>FITTED</x:v>
      </x:c>
      <x:c r="L83" s="9" t="n">
        <x:v>1</x:v>
      </x:c>
      <x:c r="M83" s="9" t="n">
        <x:v>20</x:v>
      </x:c>
      <x:c r="N83" s="9" t="n">
        <x:v>5</x:v>
      </x:c>
      <x:c r="O83" s="9" t="n">
        <x:v>25</x:v>
      </x:c>
      <x:c r="P83" s="9" t="n">
        <x:v>41</x:v>
      </x:c>
      <x:c r="Q83" s="9" t="n">
        <x:v>10</x:v>
      </x:c>
      <x:c r="R83" s="9" t="n">
        <x:v>51</x:v>
      </x:c>
      <x:c r="S83" s="8" t="str">
        <x:v>COMMON_PROGRAM_PROCUREMENT</x:v>
      </x:c>
      <x:c r="T83" s="8" t="str">
        <x:v>SELECTED_PENDING_GNSS_RF_TIMING_SAMPLE</x:v>
      </x:c>
      <x:c r="U83" s="8" t="str">
        <x:v>Marking firmware satellite fix PPS test</x:v>
      </x:c>
    </x:row>
    <x:row r="84">
      <x:c r="A84" s="8" t="str">
        <x:v>PR-090</x:v>
      </x:c>
      <x:c r="B84" s="8" t="str">
        <x:v>PCB-MAIN</x:v>
      </x:c>
      <x:c r="C84" s="8" t="str">
        <x:v>U11</x:v>
      </x:c>
      <x:c r="D84" s="8" t="str">
        <x:v>U11</x:v>
      </x:c>
      <x:c r="E84" s="8" t="str">
        <x:v>BLE</x:v>
      </x:c>
      <x:c r="F84" s="8" t="str">
        <x:v>Raytac</x:v>
      </x:c>
      <x:c r="G84" s="8" t="str">
        <x:v>MDBT50Q-P1MV2</x:v>
      </x:c>
      <x:c r="H84" s="8" t="str">
        <x:v>nRF52840_SMD_10.5x15.5_61P_PCB_antenna</x:v>
      </x:c>
      <x:c r="I84" s="8" t="str"/>
      <x:c r="J84" s="8" t="str">
        <x:v>COMMON</x:v>
      </x:c>
      <x:c r="K84" s="8" t="str">
        <x:v>FITTED</x:v>
      </x:c>
      <x:c r="L84" s="9" t="n">
        <x:v>1</x:v>
      </x:c>
      <x:c r="M84" s="9" t="n">
        <x:v>20</x:v>
      </x:c>
      <x:c r="N84" s="9" t="n">
        <x:v>5</x:v>
      </x:c>
      <x:c r="O84" s="9" t="n">
        <x:v>25</x:v>
      </x:c>
      <x:c r="P84" s="9" t="n">
        <x:v>41</x:v>
      </x:c>
      <x:c r="Q84" s="9" t="n">
        <x:v>10</x:v>
      </x:c>
      <x:c r="R84" s="9" t="n">
        <x:v>51</x:v>
      </x:c>
      <x:c r="S84" s="8" t="str">
        <x:v>COMMON_PROGRAM_PROCUREMENT</x:v>
      </x:c>
      <x:c r="T84" s="8" t="str">
        <x:v>SELECTED_PENDING_ENCLOSURE_RF</x:v>
      </x:c>
      <x:c r="U84" s="8" t="str">
        <x:v>Module label firmware BLE 2M coded PHY pairing OTA current RF range and temperature test</x:v>
      </x:c>
    </x:row>
    <x:row r="85">
      <x:c r="A85" s="8" t="str">
        <x:v>PR-091</x:v>
      </x:c>
      <x:c r="B85" s="8" t="str">
        <x:v>PCB-MAIN</x:v>
      </x:c>
      <x:c r="C85" s="8" t="str">
        <x:v>J-SD1</x:v>
      </x:c>
      <x:c r="D85" s="8" t="str">
        <x:v>J12</x:v>
      </x:c>
      <x:c r="E85" s="8" t="str">
        <x:v>Connector</x:v>
      </x:c>
      <x:c r="F85" s="8" t="str">
        <x:v>GCT</x:v>
      </x:c>
      <x:c r="G85" s="8" t="str">
        <x:v>MEM2052-00-195-00-A</x:v>
      </x:c>
      <x:c r="H85" s="8" t="str">
        <x:v>microSD push-push SMT 1.95 mm with detect</x:v>
      </x:c>
      <x:c r="I85" s="8" t="str"/>
      <x:c r="J85" s="8" t="str">
        <x:v>COMMON</x:v>
      </x:c>
      <x:c r="K85" s="8" t="str">
        <x:v>FITTED</x:v>
      </x:c>
      <x:c r="L85" s="9" t="n">
        <x:v>1</x:v>
      </x:c>
      <x:c r="M85" s="9" t="n">
        <x:v>20</x:v>
      </x:c>
      <x:c r="N85" s="9" t="n">
        <x:v>5</x:v>
      </x:c>
      <x:c r="O85" s="9" t="n">
        <x:v>25</x:v>
      </x:c>
      <x:c r="P85" s="9" t="n">
        <x:v>41</x:v>
      </x:c>
      <x:c r="Q85" s="9" t="n">
        <x:v>10</x:v>
      </x:c>
      <x:c r="R85" s="9" t="n">
        <x:v>51</x:v>
      </x:c>
      <x:c r="S85" s="8" t="str">
        <x:v>COMMON_PROGRAM_PROCUREMENT</x:v>
      </x:c>
      <x:c r="T85" s="8" t="str">
        <x:v>MECHANICAL_AUTHORITY_FROZEN_PENDING_PHYSICAL_TEST</x:v>
      </x:c>
      <x:c r="U85" s="8" t="str">
        <x:v>Mating detect coplanarity and cycle sample</x:v>
      </x:c>
    </x:row>
    <x:row r="86">
      <x:c r="A86" s="8" t="str">
        <x:v>PR-092</x:v>
      </x:c>
      <x:c r="B86" s="8" t="str">
        <x:v>PCB-MAIN</x:v>
      </x:c>
      <x:c r="C86" s="8" t="str">
        <x:v>Q-MODEM-PWRKEY | Q-MODEM-RESET | Q-SIM-MUX-EN</x:v>
      </x:c>
      <x:c r="D86" s="8" t="str">
        <x:v>Q1 | Q2 | Q3</x:v>
      </x:c>
      <x:c r="E86" s="8" t="str">
        <x:v>Transistor</x:v>
      </x:c>
      <x:c r="F86" s="8" t="str">
        <x:v>Nexperia</x:v>
      </x:c>
      <x:c r="G86" s="8" t="str">
        <x:v>MMBT3904,215</x:v>
      </x:c>
      <x:c r="H86" s="8" t="str">
        <x:v>SOT23</x:v>
      </x:c>
      <x:c r="I86" s="8" t="str"/>
      <x:c r="J86" s="8" t="str">
        <x:v>COMMON</x:v>
      </x:c>
      <x:c r="K86" s="8" t="str">
        <x:v>FITTED</x:v>
      </x:c>
      <x:c r="L86" s="9" t="n">
        <x:v>3</x:v>
      </x:c>
      <x:c r="M86" s="9" t="n">
        <x:v>60</x:v>
      </x:c>
      <x:c r="N86" s="9" t="n">
        <x:v>15</x:v>
      </x:c>
      <x:c r="O86" s="9" t="n">
        <x:v>75</x:v>
      </x:c>
      <x:c r="P86" s="9" t="n">
        <x:v>123</x:v>
      </x:c>
      <x:c r="Q86" s="9" t="n">
        <x:v>30</x:v>
      </x:c>
      <x:c r="R86" s="9" t="n">
        <x:v>153</x:v>
      </x:c>
      <x:c r="S86" s="8" t="str">
        <x:v>COMMON_PROGRAM_PROCUREMENT</x:v>
      </x:c>
      <x:c r="T86" s="8" t="str">
        <x:v>SELECTED_PENDING_CONTROL_TIMING_SAMPLE | SELECTED_PENDING_SIM_SAFE_STATE_SAMPLE</x:v>
      </x:c>
      <x:c r="U86" s="8" t="str">
        <x:v>Marking MPN package orientation electrical functional sample</x:v>
      </x:c>
    </x:row>
    <x:row r="87">
      <x:c r="A87" s="8" t="str">
        <x:v>PR-093</x:v>
      </x:c>
      <x:c r="B87" s="8" t="str">
        <x:v>PCB-MIC</x:v>
      </x:c>
      <x:c r="C87" s="8" t="str">
        <x:v>MK1</x:v>
      </x:c>
      <x:c r="D87" s="8" t="str">
        <x:v>MK1</x:v>
      </x:c>
      <x:c r="E87" s="8" t="str">
        <x:v>Microphone</x:v>
      </x:c>
      <x:c r="F87" s="8" t="str">
        <x:v>TDK InvenSense</x:v>
      </x:c>
      <x:c r="G87" s="8" t="str">
        <x:v>MMICT5838-00-012</x:v>
      </x:c>
      <x:c r="H87" s="8" t="str">
        <x:v>LGA-CAV-5 3.5x2.65x0.98 mm</x:v>
      </x:c>
      <x:c r="I87" s="8" t="str"/>
      <x:c r="J87" s="8" t="str">
        <x:v>COMMON</x:v>
      </x:c>
      <x:c r="K87" s="8" t="str">
        <x:v>FITTED</x:v>
      </x:c>
      <x:c r="L87" s="9" t="n">
        <x:v>4</x:v>
      </x:c>
      <x:c r="M87" s="9" t="n">
        <x:v>80</x:v>
      </x:c>
      <x:c r="N87" s="9" t="n">
        <x:v>16</x:v>
      </x:c>
      <x:c r="O87" s="9" t="n">
        <x:v>96</x:v>
      </x:c>
      <x:c r="P87" s="9" t="n">
        <x:v>164</x:v>
      </x:c>
      <x:c r="Q87" s="9" t="n">
        <x:v>32</x:v>
      </x:c>
      <x:c r="R87" s="9" t="n">
        <x:v>196</x:v>
      </x:c>
      <x:c r="S87" s="8" t="str">
        <x:v>COMMON_PROGRAM_PROCUREMENT</x:v>
      </x:c>
      <x:c r="T87" s="8" t="str">
        <x:v>SELECTED_PENDING_SAMPLE</x:v>
      </x:c>
      <x:c r="U87" s="8" t="str">
        <x:v>Marking lot acoustic sensitivity noise phase and port inspection</x:v>
      </x:c>
    </x:row>
    <x:row r="88">
      <x:c r="A88" s="8" t="str">
        <x:v>PR-094</x:v>
      </x:c>
      <x:c r="B88" s="8" t="str">
        <x:v>PCB-PWR</x:v>
      </x:c>
      <x:c r="C88" s="8" t="str">
        <x:v>PWR-NET-TIE</x:v>
      </x:c>
      <x:c r="D88" s="8" t="str">
        <x:v>NT1;NT2;NT3</x:v>
      </x:c>
      <x:c r="E88" s="8" t="str">
        <x:v>PCB feature</x:v>
      </x:c>
      <x:c r="F88" s="8" t="str">
        <x:v>PCB fabrication</x:v>
      </x:c>
      <x:c r="G88" s="8" t="str">
        <x:v>NET_TIE_COPPER_REV_A</x:v>
      </x:c>
      <x:c r="H88" s="8" t="str">
        <x:v>NetTie-2 SMD pad 0.5 mm</x:v>
      </x:c>
      <x:c r="I88" s="8" t="str">
        <x:v>2-pad copper net tie</x:v>
      </x:c>
      <x:c r="J88" s="8" t="str">
        <x:v>COMMON</x:v>
      </x:c>
      <x:c r="K88" s="8" t="str">
        <x:v>PCB_FEATURE</x:v>
      </x:c>
      <x:c r="L88" s="9" t="n">
        <x:v>3</x:v>
      </x:c>
      <x:c r="M88" s="9" t="n">
        <x:v>60</x:v>
      </x:c>
      <x:c r="N88" s="9" t="n">
        <x:v>0</x:v>
      </x:c>
      <x:c r="O88" s="9" t="n">
        <x:v>60</x:v>
      </x:c>
      <x:c r="P88" s="9" t="n">
        <x:v>123</x:v>
      </x:c>
      <x:c r="Q88" s="9" t="n">
        <x:v>0</x:v>
      </x:c>
      <x:c r="R88" s="9" t="n">
        <x:v>123</x:v>
      </x:c>
      <x:c r="S88" s="8" t="str">
        <x:v>COMMON_PROGRAM_PROCUREMENT</x:v>
      </x:c>
      <x:c r="T88" s="8" t="str">
        <x:v>LOCKED_LAYOUT_PENDING</x:v>
      </x:c>
      <x:c r="U88" s="8" t="str">
        <x:v>Marking MPN package orientation electrical functional sample</x:v>
      </x:c>
    </x:row>
    <x:row r="89">
      <x:c r="A89" s="8" t="str">
        <x:v>PR-095</x:v>
      </x:c>
      <x:c r="B89" s="8" t="str">
        <x:v>PCB-MAIN</x:v>
      </x:c>
      <x:c r="C89" s="8" t="str">
        <x:v>MAIN-010-D3 | MAIN-010-D5</x:v>
      </x:c>
      <x:c r="D89" s="8" t="str">
        <x:v>D3 | D5</x:v>
      </x:c>
      <x:c r="E89" s="8" t="str">
        <x:v>RF_ESD</x:v>
      </x:c>
      <x:c r="F89" s="8" t="str">
        <x:v>Nexperia</x:v>
      </x:c>
      <x:c r="G89" s="8" t="str">
        <x:v>PESD5V0C1BSF</x:v>
      </x:c>
      <x:c r="H89" s="8" t="str">
        <x:v>SOD962-2</x:v>
      </x:c>
      <x:c r="I89" s="8" t="str">
        <x:v>5 V bidirectional 0.2 pF RF ESD</x:v>
      </x:c>
      <x:c r="J89" s="8" t="str">
        <x:v>COMMON</x:v>
      </x:c>
      <x:c r="K89" s="8" t="str">
        <x:v>FITTED</x:v>
      </x:c>
      <x:c r="L89" s="9" t="n">
        <x:v>2</x:v>
      </x:c>
      <x:c r="M89" s="9" t="n">
        <x:v>40</x:v>
      </x:c>
      <x:c r="N89" s="9" t="n">
        <x:v>0</x:v>
      </x:c>
      <x:c r="O89" s="9" t="n">
        <x:v>40</x:v>
      </x:c>
      <x:c r="P89" s="9" t="n">
        <x:v>82</x:v>
      </x:c>
      <x:c r="Q89" s="9" t="n">
        <x:v>0</x:v>
      </x:c>
      <x:c r="R89" s="9" t="n">
        <x:v>82</x:v>
      </x:c>
      <x:c r="S89" s="8" t="str">
        <x:v>COMMON_PROGRAM_PROCUREMENT</x:v>
      </x:c>
      <x:c r="T89" s="8" t="str">
        <x:v>SELECTED_PENDING_REVIEW_A</x:v>
      </x:c>
      <x:c r="U89" s="8" t="str">
        <x:v>Marking MPN package orientation electrical functional sample</x:v>
      </x:c>
    </x:row>
    <x:row r="90">
      <x:c r="A90" s="8" t="str">
        <x:v>PR-096</x:v>
      </x:c>
      <x:c r="B90" s="8" t="str">
        <x:v>PCB-MAIN</x:v>
      </x:c>
      <x:c r="C90" s="8" t="str">
        <x:v>MAIN-010-D1 | MAIN-010-D2</x:v>
      </x:c>
      <x:c r="D90" s="8" t="str">
        <x:v>D1 | D2</x:v>
      </x:c>
      <x:c r="E90" s="8" t="str">
        <x:v>Supply_TVS</x:v>
      </x:c>
      <x:c r="F90" s="8" t="str">
        <x:v>Nexperia</x:v>
      </x:c>
      <x:c r="G90" s="8" t="str">
        <x:v>PESD5V0S1UL</x:v>
      </x:c>
      <x:c r="H90" s="8" t="str">
        <x:v>SOD882</x:v>
      </x:c>
      <x:c r="I90" s="8" t="str">
        <x:v>5 V unidirectional 150 W TVS</x:v>
      </x:c>
      <x:c r="J90" s="8" t="str">
        <x:v>COMMON</x:v>
      </x:c>
      <x:c r="K90" s="8" t="str">
        <x:v>FITTED</x:v>
      </x:c>
      <x:c r="L90" s="9" t="n">
        <x:v>2</x:v>
      </x:c>
      <x:c r="M90" s="9" t="n">
        <x:v>40</x:v>
      </x:c>
      <x:c r="N90" s="9" t="n">
        <x:v>0</x:v>
      </x:c>
      <x:c r="O90" s="9" t="n">
        <x:v>40</x:v>
      </x:c>
      <x:c r="P90" s="9" t="n">
        <x:v>82</x:v>
      </x:c>
      <x:c r="Q90" s="9" t="n">
        <x:v>0</x:v>
      </x:c>
      <x:c r="R90" s="9" t="n">
        <x:v>82</x:v>
      </x:c>
      <x:c r="S90" s="8" t="str">
        <x:v>COMMON_PROGRAM_PROCUREMENT</x:v>
      </x:c>
      <x:c r="T90" s="8" t="str">
        <x:v>SELECTED_PENDING_REVIEW_A</x:v>
      </x:c>
      <x:c r="U90" s="8" t="str">
        <x:v>Marking MPN package orientation electrical functional sample</x:v>
      </x:c>
    </x:row>
    <x:row r="91">
      <x:c r="A91" s="8" t="str">
        <x:v>PR-097</x:v>
      </x:c>
      <x:c r="B91" s="8" t="str">
        <x:v>SYSTEM</x:v>
      </x:c>
      <x:c r="C91" s="8" t="str">
        <x:v>BAT1</x:v>
      </x:c>
      <x:c r="D91" s="8" t="str">
        <x:v>BT1</x:v>
      </x:c>
      <x:c r="E91" s="8" t="str">
        <x:v>Battery</x:v>
      </x:c>
      <x:c r="F91" s="8" t="str">
        <x:v>RELiON</x:v>
      </x:c>
      <x:c r="G91" s="8" t="str">
        <x:v>RB40</x:v>
      </x:c>
      <x:c r="H91" s="8" t="str">
        <x:v>197x166x173 mm IP66 M8 pack</x:v>
      </x:c>
      <x:c r="I91" s="8" t="str"/>
      <x:c r="J91" s="8" t="str">
        <x:v>COMMON</x:v>
      </x:c>
      <x:c r="K91" s="8" t="str">
        <x:v>FITTED</x:v>
      </x:c>
      <x:c r="L91" s="9" t="n">
        <x:v>1</x:v>
      </x:c>
      <x:c r="M91" s="9" t="n">
        <x:v>20</x:v>
      </x:c>
      <x:c r="N91" s="9" t="n">
        <x:v>1</x:v>
      </x:c>
      <x:c r="O91" s="9" t="n">
        <x:v>21</x:v>
      </x:c>
      <x:c r="P91" s="9" t="n">
        <x:v>41</x:v>
      </x:c>
      <x:c r="Q91" s="9" t="n">
        <x:v>2</x:v>
      </x:c>
      <x:c r="R91" s="9" t="n">
        <x:v>43</x:v>
      </x:c>
      <x:c r="S91" s="8" t="str">
        <x:v>COMMON_PROGRAM_PROCUREMENT</x:v>
      </x:c>
      <x:c r="T91" s="8" t="str">
        <x:v>CONTROLLED_EVT_PURCHASE_EXACT_MPN_VALIDATION_DURING_ASSEMBLY_EVT</x:v>
      </x:c>
      <x:c r="U91" s="8" t="str">
        <x:v>Reconcile PO packing slip quantity and visible damage; check every unit polarity and open-circuit voltage at installation; capacity DCIR BMS and cold behavior during assembly and EVT</x:v>
      </x:c>
    </x:row>
    <x:row r="92">
      <x:c r="A92" s="8" t="str">
        <x:v>PR-098</x:v>
      </x:c>
      <x:c r="B92" s="8" t="str">
        <x:v>SYSTEM</x:v>
      </x:c>
      <x:c r="C92" s="8" t="str">
        <x:v>MPPT-TEMP</x:v>
      </x:c>
      <x:c r="D92" s="8" t="str">
        <x:v>TS-BAT1</x:v>
      </x:c>
      <x:c r="E92" s="8" t="str">
        <x:v>Sensor</x:v>
      </x:c>
      <x:c r="F92" s="8" t="str">
        <x:v>Victron Energy</x:v>
      </x:c>
      <x:c r="G92" s="8" t="str">
        <x:v>SBS050150200</x:v>
      </x:c>
      <x:c r="H92" s="8" t="str">
        <x:v>Smart Battery Sense long range up to 10 m radio with 0.45 m leads and M10 eyelets</x:v>
      </x:c>
      <x:c r="I92" s="8" t="str"/>
      <x:c r="J92" s="8" t="str">
        <x:v>COMMON</x:v>
      </x:c>
      <x:c r="K92" s="8" t="str">
        <x:v>FITTED</x:v>
      </x:c>
      <x:c r="L92" s="9" t="n">
        <x:v>1</x:v>
      </x:c>
      <x:c r="M92" s="9" t="n">
        <x:v>20</x:v>
      </x:c>
      <x:c r="N92" s="9" t="n">
        <x:v>1</x:v>
      </x:c>
      <x:c r="O92" s="9" t="n">
        <x:v>21</x:v>
      </x:c>
      <x:c r="P92" s="9" t="n">
        <x:v>41</x:v>
      </x:c>
      <x:c r="Q92" s="9" t="n">
        <x:v>2</x:v>
      </x:c>
      <x:c r="R92" s="9" t="n">
        <x:v>43</x:v>
      </x:c>
      <x:c r="S92" s="8" t="str">
        <x:v>COMMON_PROGRAM_PROCUREMENT</x:v>
      </x:c>
      <x:c r="T92" s="8" t="str">
        <x:v>CONTROLLED_EVT_PURCHASE_EXACT_MPN_VALIDATION_DURING_ASSEMBLY_EVT</x:v>
      </x:c>
      <x:c r="U92" s="8" t="str">
        <x:v>Reconcile PO packing slip quantity and visible damage; verify 0.45 m lead M10 eyelets retention accuracy VE.Smart pairing cutoff reconnect and network retention during station assembly EOL and cold EVT</x:v>
      </x:c>
    </x:row>
    <x:row r="93">
      <x:c r="A93" s="8" t="str">
        <x:v>PR-099</x:v>
      </x:c>
      <x:c r="B93" s="8" t="str">
        <x:v>SYSTEM</x:v>
      </x:c>
      <x:c r="C93" s="8" t="str">
        <x:v>MPPT1</x:v>
      </x:c>
      <x:c r="D93" s="8" t="str">
        <x:v>U-MPPT</x:v>
      </x:c>
      <x:c r="E93" s="8" t="str">
        <x:v>Controller</x:v>
      </x:c>
      <x:c r="F93" s="8" t="str">
        <x:v>Victron Energy</x:v>
      </x:c>
      <x:c r="G93" s="8" t="str">
        <x:v>SCC075010060R</x:v>
      </x:c>
      <x:c r="H93" s="8" t="str">
        <x:v>100x113x40 mm IP43 electronics IP22 terminals</x:v>
      </x:c>
      <x:c r="I93" s="8" t="str"/>
      <x:c r="J93" s="8" t="str">
        <x:v>COMMON</x:v>
      </x:c>
      <x:c r="K93" s="8" t="str">
        <x:v>FITTED</x:v>
      </x:c>
      <x:c r="L93" s="9" t="n">
        <x:v>1</x:v>
      </x:c>
      <x:c r="M93" s="9" t="n">
        <x:v>20</x:v>
      </x:c>
      <x:c r="N93" s="9" t="n">
        <x:v>1</x:v>
      </x:c>
      <x:c r="O93" s="9" t="n">
        <x:v>21</x:v>
      </x:c>
      <x:c r="P93" s="9" t="n">
        <x:v>41</x:v>
      </x:c>
      <x:c r="Q93" s="9" t="n">
        <x:v>2</x:v>
      </x:c>
      <x:c r="R93" s="9" t="n">
        <x:v>43</x:v>
      </x:c>
      <x:c r="S93" s="8" t="str">
        <x:v>COMMON_PROGRAM_PROCUREMENT</x:v>
      </x:c>
      <x:c r="T93" s="8" t="str">
        <x:v>CONTROLLED_EVT_PURCHASE_EXACT_MPN_VALIDATION_DURING_ASSEMBLY_EVT</x:v>
      </x:c>
      <x:c r="U93" s="8" t="str">
        <x:v>Reconcile PO packing slip quantity and visible damage; bind article and firmware at installation; export configuration and test charge profile reverse current quiescent thermal and cutoff during assembly EOL and EVT</x:v>
      </x:c>
    </x:row>
    <x:row r="94">
      <x:c r="A94" s="8" t="str">
        <x:v>PR-100</x:v>
      </x:c>
      <x:c r="B94" s="8" t="str">
        <x:v>PCB-MAIN</x:v>
      </x:c>
      <x:c r="C94" s="8" t="str">
        <x:v>U12</x:v>
      </x:c>
      <x:c r="D94" s="8" t="str">
        <x:v>U12</x:v>
      </x:c>
      <x:c r="E94" s="8" t="str">
        <x:v>Storage</x:v>
      </x:c>
      <x:c r="F94" s="8" t="str">
        <x:v>Kingston</x:v>
      </x:c>
      <x:c r="G94" s="8" t="str">
        <x:v>SDCIT2/32GB</x:v>
      </x:c>
      <x:c r="H94" s="8" t="str">
        <x:v>microSD_card_8_contact</x:v>
      </x:c>
      <x:c r="I94" s="8" t="str"/>
      <x:c r="J94" s="8" t="str">
        <x:v>COMMON</x:v>
      </x:c>
      <x:c r="K94" s="8" t="str">
        <x:v>FITTED</x:v>
      </x:c>
      <x:c r="L94" s="9" t="n">
        <x:v>1</x:v>
      </x:c>
      <x:c r="M94" s="9" t="n">
        <x:v>20</x:v>
      </x:c>
      <x:c r="N94" s="9" t="n">
        <x:v>5</x:v>
      </x:c>
      <x:c r="O94" s="9" t="n">
        <x:v>25</x:v>
      </x:c>
      <x:c r="P94" s="9" t="n">
        <x:v>41</x:v>
      </x:c>
      <x:c r="Q94" s="9" t="n">
        <x:v>10</x:v>
      </x:c>
      <x:c r="R94" s="9" t="n">
        <x:v>51</x:v>
      </x:c>
      <x:c r="S94" s="8" t="str">
        <x:v>COMMON_PROGRAM_PROCUREMENT</x:v>
      </x:c>
      <x:c r="T94" s="8" t="str">
        <x:v>SELECTED_PENDING_SAMPLE_ENDURANCE</x:v>
      </x:c>
      <x:c r="U94" s="8" t="str">
        <x:v>CID capacity full write/read temperature and power-loss sample</x:v>
      </x:c>
    </x:row>
    <x:row r="95">
      <x:c r="A95" s="8" t="str">
        <x:v>PR-101</x:v>
      </x:c>
      <x:c r="B95" s="8" t="str">
        <x:v>SYSTEM</x:v>
      </x:c>
      <x:c r="C95" s="8" t="str">
        <x:v>PV1</x:v>
      </x:c>
      <x:c r="D95" s="8" t="str">
        <x:v>PV1</x:v>
      </x:c>
      <x:c r="E95" s="8" t="str">
        <x:v>Solar panel</x:v>
      </x:c>
      <x:c r="F95" s="8" t="str">
        <x:v>SLD Tech / Solarland</x:v>
      </x:c>
      <x:c r="G95" s="8" t="str">
        <x:v>SLP080S-12M</x:v>
      </x:c>
      <x:c r="H95" s="8" t="str">
        <x:v>1475x342x40 mm framed 36-cell panel</x:v>
      </x:c>
      <x:c r="I95" s="8" t="str"/>
      <x:c r="J95" s="8" t="str">
        <x:v>COMMON</x:v>
      </x:c>
      <x:c r="K95" s="8" t="str">
        <x:v>FITTED</x:v>
      </x:c>
      <x:c r="L95" s="9" t="n">
        <x:v>1</x:v>
      </x:c>
      <x:c r="M95" s="9" t="n">
        <x:v>20</x:v>
      </x:c>
      <x:c r="N95" s="9" t="n">
        <x:v>1</x:v>
      </x:c>
      <x:c r="O95" s="9" t="n">
        <x:v>21</x:v>
      </x:c>
      <x:c r="P95" s="9" t="n">
        <x:v>41</x:v>
      </x:c>
      <x:c r="Q95" s="9" t="n">
        <x:v>2</x:v>
      </x:c>
      <x:c r="R95" s="9" t="n">
        <x:v>43</x:v>
      </x:c>
      <x:c r="S95" s="8" t="str">
        <x:v>COMMON_PROGRAM_PROCUREMENT</x:v>
      </x:c>
      <x:c r="T95" s="8" t="str">
        <x:v>CONTROLLED_EVT_PURCHASE_EXACT_MPN_VALIDATION_DURING_ASSEMBLY_EVT</x:v>
      </x:c>
      <x:c r="U95" s="8" t="str">
        <x:v>Reconcile PO packing slip quantity and visible transit damage; measure installed-unit Voc and perform IV insulation wet-leakage cold-Voc bracket cable and transport validation during assembly and EVT</x:v>
      </x:c>
    </x:row>
    <x:row r="96">
      <x:c r="A96" s="8" t="str">
        <x:v>PR-102</x:v>
      </x:c>
      <x:c r="B96" s="8" t="str">
        <x:v>PCB-PWR</x:v>
      </x:c>
      <x:c r="C96" s="8" t="str">
        <x:v>PWR-TVS-01</x:v>
      </x:c>
      <x:c r="D96" s="8" t="str">
        <x:v>D1</x:v>
      </x:c>
      <x:c r="E96" s="8" t="str">
        <x:v>Protection</x:v>
      </x:c>
      <x:c r="F96" s="8" t="str">
        <x:v>Littelfuse</x:v>
      </x:c>
      <x:c r="G96" s="8" t="str">
        <x:v>SMBJ18A</x:v>
      </x:c>
      <x:c r="H96" s="8" t="str">
        <x:v>SMB_DO-214AA</x:v>
      </x:c>
      <x:c r="I96" s="8" t="str"/>
      <x:c r="J96" s="8" t="str">
        <x:v>COMMON</x:v>
      </x:c>
      <x:c r="K96" s="8" t="str">
        <x:v>FITTED</x:v>
      </x:c>
      <x:c r="L96" s="9" t="n">
        <x:v>1</x:v>
      </x:c>
      <x:c r="M96" s="9" t="n">
        <x:v>20</x:v>
      </x:c>
      <x:c r="N96" s="9" t="n">
        <x:v>5</x:v>
      </x:c>
      <x:c r="O96" s="9" t="n">
        <x:v>25</x:v>
      </x:c>
      <x:c r="P96" s="9" t="n">
        <x:v>41</x:v>
      </x:c>
      <x:c r="Q96" s="9" t="n">
        <x:v>10</x:v>
      </x:c>
      <x:c r="R96" s="9" t="n">
        <x:v>51</x:v>
      </x:c>
      <x:c r="S96" s="8" t="str">
        <x:v>COMMON_PROGRAM_PROCUREMENT</x:v>
      </x:c>
      <x:c r="T96" s="8" t="str">
        <x:v>CANDIDATE_PENDING_SURGE_PROFILE</x:v>
      </x:c>
      <x:c r="U96" s="8" t="str">
        <x:v>Marking clamp pulse and thermal sample</x:v>
      </x:c>
    </x:row>
    <x:row r="97">
      <x:c r="A97" s="8" t="str">
        <x:v>PR-103</x:v>
      </x:c>
      <x:c r="B97" s="8" t="str">
        <x:v>PCB-MAIN</x:v>
      </x:c>
      <x:c r="C97" s="8" t="str">
        <x:v>U18</x:v>
      </x:c>
      <x:c r="D97" s="8" t="str">
        <x:v>U18</x:v>
      </x:c>
      <x:c r="E97" s="8" t="str">
        <x:v>Logic</x:v>
      </x:c>
      <x:c r="F97" s="8" t="str">
        <x:v>Texas Instruments</x:v>
      </x:c>
      <x:c r="G97" s="8" t="str">
        <x:v>SN74AXC1T45DRLR</x:v>
      </x:c>
      <x:c r="H97" s="8" t="str">
        <x:v>SOT-5X3_6</x:v>
      </x:c>
      <x:c r="I97" s="8" t="str"/>
      <x:c r="J97" s="8" t="str">
        <x:v>COMMON</x:v>
      </x:c>
      <x:c r="K97" s="8" t="str">
        <x:v>FITTED</x:v>
      </x:c>
      <x:c r="L97" s="9" t="n">
        <x:v>1</x:v>
      </x:c>
      <x:c r="M97" s="9" t="n">
        <x:v>20</x:v>
      </x:c>
      <x:c r="N97" s="9" t="n">
        <x:v>5</x:v>
      </x:c>
      <x:c r="O97" s="9" t="n">
        <x:v>25</x:v>
      </x:c>
      <x:c r="P97" s="9" t="n">
        <x:v>41</x:v>
      </x:c>
      <x:c r="Q97" s="9" t="n">
        <x:v>10</x:v>
      </x:c>
      <x:c r="R97" s="9" t="n">
        <x:v>51</x:v>
      </x:c>
      <x:c r="S97" s="8" t="str">
        <x:v>COMMON_PROGRAM_PROCUREMENT</x:v>
      </x:c>
      <x:c r="T97" s="8" t="str">
        <x:v>SELECTED_PENDING_AAD_WAKE_TEST</x:v>
      </x:c>
      <x:c r="U97" s="8" t="str">
        <x:v>Marking MPN package orientation electrical functional sample</x:v>
      </x:c>
    </x:row>
    <x:row r="98">
      <x:c r="A98" s="8" t="str">
        <x:v>PR-104</x:v>
      </x:c>
      <x:c r="B98" s="8" t="str">
        <x:v>PCB-MAIN</x:v>
      </x:c>
      <x:c r="C98" s="8" t="str">
        <x:v>U16 | U7</x:v>
      </x:c>
      <x:c r="D98" s="8" t="str">
        <x:v>U16 | U7</x:v>
      </x:c>
      <x:c r="E98" s="8" t="str">
        <x:v>Level translator | Logic</x:v>
      </x:c>
      <x:c r="F98" s="8" t="str">
        <x:v>Texas Instruments</x:v>
      </x:c>
      <x:c r="G98" s="8" t="str">
        <x:v>SN74AXC8T245PWR</x:v>
      </x:c>
      <x:c r="H98" s="8" t="str">
        <x:v>TSSOP-24</x:v>
      </x:c>
      <x:c r="I98" s="8" t="str"/>
      <x:c r="J98" s="8" t="str">
        <x:v>COMMON</x:v>
      </x:c>
      <x:c r="K98" s="8" t="str">
        <x:v>FITTED</x:v>
      </x:c>
      <x:c r="L98" s="9" t="n">
        <x:v>2</x:v>
      </x:c>
      <x:c r="M98" s="9" t="n">
        <x:v>40</x:v>
      </x:c>
      <x:c r="N98" s="9" t="n">
        <x:v>10</x:v>
      </x:c>
      <x:c r="O98" s="9" t="n">
        <x:v>50</x:v>
      </x:c>
      <x:c r="P98" s="9" t="n">
        <x:v>82</x:v>
      </x:c>
      <x:c r="Q98" s="9" t="n">
        <x:v>20</x:v>
      </x:c>
      <x:c r="R98" s="9" t="n">
        <x:v>102</x:v>
      </x:c>
      <x:c r="S98" s="8" t="str">
        <x:v>COMMON_PROGRAM_PROCUREMENT</x:v>
      </x:c>
      <x:c r="T98" s="8" t="str">
        <x:v>SELECTED_PENDING_SI_AAD_SAMPLE | SELECTED_PENDING_UART_POWER_SAMPLE</x:v>
      </x:c>
      <x:c r="U98" s="8" t="str">
        <x:v>Logic levels direction leakage sleep test | Marking MPN package orientation electrical functional sample</x:v>
      </x:c>
    </x:row>
    <x:row r="99">
      <x:c r="A99" s="8" t="str">
        <x:v>PR-105</x:v>
      </x:c>
      <x:c r="B99" s="8" t="str">
        <x:v>PCB-MAIN</x:v>
      </x:c>
      <x:c r="C99" s="8" t="str">
        <x:v>MAIN-010-U6</x:v>
      </x:c>
      <x:c r="D99" s="8" t="str">
        <x:v>U6</x:v>
      </x:c>
      <x:c r="E99" s="8" t="str">
        <x:v>Open_Drain_Buffer</x:v>
      </x:c>
      <x:c r="F99" s="8" t="str">
        <x:v>Texas Instruments</x:v>
      </x:c>
      <x:c r="G99" s="8" t="str">
        <x:v>SN74LVC1G07DBVR</x:v>
      </x:c>
      <x:c r="H99" s="8" t="str">
        <x:v>SOT-23-5_DBV</x:v>
      </x:c>
      <x:c r="I99" s="8" t="str">
        <x:v>Single non-inverting open-drain buffer</x:v>
      </x:c>
      <x:c r="J99" s="8" t="str">
        <x:v>COMMON</x:v>
      </x:c>
      <x:c r="K99" s="8" t="str">
        <x:v>FITTED</x:v>
      </x:c>
      <x:c r="L99" s="9" t="n">
        <x:v>1</x:v>
      </x:c>
      <x:c r="M99" s="9" t="n">
        <x:v>20</x:v>
      </x:c>
      <x:c r="N99" s="9" t="n">
        <x:v>0</x:v>
      </x:c>
      <x:c r="O99" s="9" t="n">
        <x:v>20</x:v>
      </x:c>
      <x:c r="P99" s="9" t="n">
        <x:v>41</x:v>
      </x:c>
      <x:c r="Q99" s="9" t="n">
        <x:v>0</x:v>
      </x:c>
      <x:c r="R99" s="9" t="n">
        <x:v>41</x:v>
      </x:c>
      <x:c r="S99" s="8" t="str">
        <x:v>COMMON_PROGRAM_PROCUREMENT</x:v>
      </x:c>
      <x:c r="T99" s="8" t="str">
        <x:v>SELECTED_PENDING_REVIEW_A</x:v>
      </x:c>
      <x:c r="U99" s="8" t="str">
        <x:v>Marking MPN package orientation electrical functional sample</x:v>
      </x:c>
    </x:row>
    <x:row r="100">
      <x:c r="A100" s="8" t="str">
        <x:v>PR-106</x:v>
      </x:c>
      <x:c r="B100" s="8" t="str">
        <x:v>PCB-MAIN</x:v>
      </x:c>
      <x:c r="C100" s="8" t="str">
        <x:v>U17</x:v>
      </x:c>
      <x:c r="D100" s="8" t="str">
        <x:v>U17</x:v>
      </x:c>
      <x:c r="E100" s="8" t="str">
        <x:v>Logic</x:v>
      </x:c>
      <x:c r="F100" s="8" t="str">
        <x:v>Texas Instruments</x:v>
      </x:c>
      <x:c r="G100" s="8" t="str">
        <x:v>SN74LVC32APWR</x:v>
      </x:c>
      <x:c r="H100" s="8" t="str">
        <x:v>TSSOP-14</x:v>
      </x:c>
      <x:c r="I100" s="8" t="str"/>
      <x:c r="J100" s="8" t="str">
        <x:v>COMMON</x:v>
      </x:c>
      <x:c r="K100" s="8" t="str">
        <x:v>FITTED</x:v>
      </x:c>
      <x:c r="L100" s="9" t="n">
        <x:v>1</x:v>
      </x:c>
      <x:c r="M100" s="9" t="n">
        <x:v>20</x:v>
      </x:c>
      <x:c r="N100" s="9" t="n">
        <x:v>5</x:v>
      </x:c>
      <x:c r="O100" s="9" t="n">
        <x:v>25</x:v>
      </x:c>
      <x:c r="P100" s="9" t="n">
        <x:v>41</x:v>
      </x:c>
      <x:c r="Q100" s="9" t="n">
        <x:v>10</x:v>
      </x:c>
      <x:c r="R100" s="9" t="n">
        <x:v>51</x:v>
      </x:c>
      <x:c r="S100" s="8" t="str">
        <x:v>COMMON_PROGRAM_PROCUREMENT</x:v>
      </x:c>
      <x:c r="T100" s="8" t="str">
        <x:v>SELECTED_PENDING_AAD_WAKE_TEST</x:v>
      </x:c>
      <x:c r="U100" s="8" t="str">
        <x:v>Marking MPN package orientation electrical functional sample</x:v>
      </x:c>
    </x:row>
    <x:row r="101">
      <x:c r="A101" s="8" t="str">
        <x:v>PR-107</x:v>
      </x:c>
      <x:c r="B101" s="8" t="str">
        <x:v>PCB-MAIN</x:v>
      </x:c>
      <x:c r="C101" s="8" t="str">
        <x:v>U1</x:v>
      </x:c>
      <x:c r="D101" s="8" t="str">
        <x:v>U1</x:v>
      </x:c>
      <x:c r="E101" s="8" t="str">
        <x:v>MCU</x:v>
      </x:c>
      <x:c r="F101" s="8" t="str">
        <x:v>STMicroelectronics</x:v>
      </x:c>
      <x:c r="G101" s="8" t="str">
        <x:v>STM32U585VIT6Q</x:v>
      </x:c>
      <x:c r="H101" s="8" t="str">
        <x:v>LQFP100_14x14</x:v>
      </x:c>
      <x:c r="I101" s="8" t="str"/>
      <x:c r="J101" s="8" t="str">
        <x:v>COMMON</x:v>
      </x:c>
      <x:c r="K101" s="8" t="str">
        <x:v>FITTED</x:v>
      </x:c>
      <x:c r="L101" s="9" t="n">
        <x:v>1</x:v>
      </x:c>
      <x:c r="M101" s="9" t="n">
        <x:v>20</x:v>
      </x:c>
      <x:c r="N101" s="9" t="n">
        <x:v>5</x:v>
      </x:c>
      <x:c r="O101" s="9" t="n">
        <x:v>25</x:v>
      </x:c>
      <x:c r="P101" s="9" t="n">
        <x:v>41</x:v>
      </x:c>
      <x:c r="Q101" s="9" t="n">
        <x:v>10</x:v>
      </x:c>
      <x:c r="R101" s="9" t="n">
        <x:v>51</x:v>
      </x:c>
      <x:c r="S101" s="8" t="str">
        <x:v>COMMON_PROGRAM_PROCUREMENT</x:v>
      </x:c>
      <x:c r="T101" s="8" t="str">
        <x:v>SELECTED_PENDING_TARGET_SAMPLE</x:v>
      </x:c>
      <x:c r="U101" s="8" t="str">
        <x:v>Label lot date code package X-ray sample ID readout</x:v>
      </x:c>
    </x:row>
    <x:row r="102">
      <x:c r="A102" s="8" t="str">
        <x:v>PR-108</x:v>
      </x:c>
      <x:c r="B102" s="8" t="str">
        <x:v>PCB-MAIN</x:v>
      </x:c>
      <x:c r="C102" s="8" t="str">
        <x:v>U4</x:v>
      </x:c>
      <x:c r="D102" s="8" t="str">
        <x:v>U4</x:v>
      </x:c>
      <x:c r="E102" s="8" t="str">
        <x:v>Temperature</x:v>
      </x:c>
      <x:c r="F102" s="8" t="str">
        <x:v>STMicroelectronics</x:v>
      </x:c>
      <x:c r="G102" s="8" t="str">
        <x:v>STTS22HTR</x:v>
      </x:c>
      <x:c r="H102" s="8" t="str">
        <x:v>UDFN-6L_2x2mm</x:v>
      </x:c>
      <x:c r="I102" s="8" t="str"/>
      <x:c r="J102" s="8" t="str">
        <x:v>COMMON</x:v>
      </x:c>
      <x:c r="K102" s="8" t="str">
        <x:v>FITTED</x:v>
      </x:c>
      <x:c r="L102" s="9" t="n">
        <x:v>1</x:v>
      </x:c>
      <x:c r="M102" s="9" t="n">
        <x:v>20</x:v>
      </x:c>
      <x:c r="N102" s="9" t="n">
        <x:v>5</x:v>
      </x:c>
      <x:c r="O102" s="9" t="n">
        <x:v>25</x:v>
      </x:c>
      <x:c r="P102" s="9" t="n">
        <x:v>41</x:v>
      </x:c>
      <x:c r="Q102" s="9" t="n">
        <x:v>10</x:v>
      </x:c>
      <x:c r="R102" s="9" t="n">
        <x:v>51</x:v>
      </x:c>
      <x:c r="S102" s="8" t="str">
        <x:v>COMMON_PROGRAM_PROCUREMENT</x:v>
      </x:c>
      <x:c r="T102" s="8" t="str">
        <x:v>SELECTED_PENDING_ASSEMBLY_REVIEW</x:v>
      </x:c>
      <x:c r="U102" s="8" t="str">
        <x:v>X-ray sample ID and temperature compare</x:v>
      </x:c>
    </x:row>
    <x:row r="103">
      <x:c r="A103" s="8" t="str">
        <x:v>PR-109</x:v>
      </x:c>
      <x:c r="B103" s="8" t="str">
        <x:v>PCB-MAIN</x:v>
      </x:c>
      <x:c r="C103" s="8" t="str">
        <x:v>MAIN-010-Q4</x:v>
      </x:c>
      <x:c r="D103" s="8" t="str">
        <x:v>Q4</x:v>
      </x:c>
      <x:c r="E103" s="8" t="str">
        <x:v>Dual_MOSFET</x:v>
      </x:c>
      <x:c r="F103" s="8" t="str">
        <x:v>Vishay</x:v>
      </x:c>
      <x:c r="G103" s="8" t="str">
        <x:v>Si1016X-T1-GE3</x:v>
      </x:c>
      <x:c r="H103" s="8" t="str">
        <x:v>SOT-563_SC-89</x:v>
      </x:c>
      <x:c r="I103" s="8" t="str">
        <x:v>Complementary N and P channel 20 V</x:v>
      </x:c>
      <x:c r="J103" s="8" t="str">
        <x:v>COMMON</x:v>
      </x:c>
      <x:c r="K103" s="8" t="str">
        <x:v>FITTED</x:v>
      </x:c>
      <x:c r="L103" s="9" t="n">
        <x:v>1</x:v>
      </x:c>
      <x:c r="M103" s="9" t="n">
        <x:v>20</x:v>
      </x:c>
      <x:c r="N103" s="9" t="n">
        <x:v>0</x:v>
      </x:c>
      <x:c r="O103" s="9" t="n">
        <x:v>20</x:v>
      </x:c>
      <x:c r="P103" s="9" t="n">
        <x:v>41</x:v>
      </x:c>
      <x:c r="Q103" s="9" t="n">
        <x:v>0</x:v>
      </x:c>
      <x:c r="R103" s="9" t="n">
        <x:v>41</x:v>
      </x:c>
      <x:c r="S103" s="8" t="str">
        <x:v>COMMON_PROGRAM_PROCUREMENT</x:v>
      </x:c>
      <x:c r="T103" s="8" t="str">
        <x:v>SELECTED_PENDING_REVIEW_A</x:v>
      </x:c>
      <x:c r="U103" s="8" t="str">
        <x:v>Marking MPN package orientation electrical functional sample</x:v>
      </x:c>
    </x:row>
    <x:row r="104">
      <x:c r="A104" s="8" t="str">
        <x:v>PR-110</x:v>
      </x:c>
      <x:c r="B104" s="8" t="str">
        <x:v>PCB-MAIN</x:v>
      </x:c>
      <x:c r="C104" s="8" t="str">
        <x:v>X1</x:v>
      </x:c>
      <x:c r="D104" s="8" t="str">
        <x:v>X1</x:v>
      </x:c>
      <x:c r="E104" s="8" t="str">
        <x:v>Clock</x:v>
      </x:c>
      <x:c r="F104" s="8" t="str">
        <x:v>SiTime</x:v>
      </x:c>
      <x:c r="G104" s="8" t="str">
        <x:v>SiT1552AI-JE-DCC-32.768D</x:v>
      </x:c>
      <x:c r="H104" s="8" t="str">
        <x:v>CSP-4_1.5x0.8mm</x:v>
      </x:c>
      <x:c r="I104" s="8" t="str">
        <x:v>32.768 kHz full-swing LVCMOS</x:v>
      </x:c>
      <x:c r="J104" s="8" t="str">
        <x:v>COMMON</x:v>
      </x:c>
      <x:c r="K104" s="8" t="str">
        <x:v>FITTED</x:v>
      </x:c>
      <x:c r="L104" s="9" t="n">
        <x:v>1</x:v>
      </x:c>
      <x:c r="M104" s="9" t="n">
        <x:v>20</x:v>
      </x:c>
      <x:c r="N104" s="9" t="n">
        <x:v>5</x:v>
      </x:c>
      <x:c r="O104" s="9" t="n">
        <x:v>25</x:v>
      </x:c>
      <x:c r="P104" s="9" t="n">
        <x:v>41</x:v>
      </x:c>
      <x:c r="Q104" s="9" t="n">
        <x:v>10</x:v>
      </x:c>
      <x:c r="R104" s="9" t="n">
        <x:v>51</x:v>
      </x:c>
      <x:c r="S104" s="8" t="str">
        <x:v>COMMON_PROGRAM_PROCUREMENT</x:v>
      </x:c>
      <x:c r="T104" s="8" t="str">
        <x:v>SELECTED_PENDING_LSE_BYPASS_REVIEW</x:v>
      </x:c>
      <x:c r="U104" s="8" t="str">
        <x:v>Frequency and current sample test</x:v>
      </x:c>
    </x:row>
    <x:row r="105">
      <x:c r="A105" s="8" t="str">
        <x:v>PR-111</x:v>
      </x:c>
      <x:c r="B105" s="8" t="str">
        <x:v>PCB-MAIN</x:v>
      </x:c>
      <x:c r="C105" s="8" t="str">
        <x:v>MAIN-010-C36 | MAIN-010-C44</x:v>
      </x:c>
      <x:c r="D105" s="8" t="str">
        <x:v>C36 | C44</x:v>
      </x:c>
      <x:c r="E105" s="8" t="str">
        <x:v>Capacitor</x:v>
      </x:c>
      <x:c r="F105" s="8" t="str">
        <x:v>KEMET</x:v>
      </x:c>
      <x:c r="G105" s="8" t="str">
        <x:v>T520D107M006ATE015</x:v>
      </x:c>
      <x:c r="H105" s="8" t="str">
        <x:v>7343-31</x:v>
      </x:c>
      <x:c r="I105" s="8" t="str">
        <x:v>100 uF 6.3 V 15 mOhm polymer</x:v>
      </x:c>
      <x:c r="J105" s="8" t="str">
        <x:v>COMMON</x:v>
      </x:c>
      <x:c r="K105" s="8" t="str">
        <x:v>FITTED</x:v>
      </x:c>
      <x:c r="L105" s="9" t="n">
        <x:v>2</x:v>
      </x:c>
      <x:c r="M105" s="9" t="n">
        <x:v>40</x:v>
      </x:c>
      <x:c r="N105" s="9" t="n">
        <x:v>0</x:v>
      </x:c>
      <x:c r="O105" s="9" t="n">
        <x:v>40</x:v>
      </x:c>
      <x:c r="P105" s="9" t="n">
        <x:v>82</x:v>
      </x:c>
      <x:c r="Q105" s="9" t="n">
        <x:v>0</x:v>
      </x:c>
      <x:c r="R105" s="9" t="n">
        <x:v>82</x:v>
      </x:c>
      <x:c r="S105" s="8" t="str">
        <x:v>COMMON_PROGRAM_PROCUREMENT</x:v>
      </x:c>
      <x:c r="T105" s="8" t="str">
        <x:v>SELECTED_PENDING_REVIEW_A</x:v>
      </x:c>
      <x:c r="U105" s="8" t="str">
        <x:v>Marking MPN package orientation electrical functional sample</x:v>
      </x:c>
    </x:row>
    <x:row r="106">
      <x:c r="A106" s="8" t="str">
        <x:v>PR-112</x:v>
      </x:c>
      <x:c r="B106" s="8" t="str">
        <x:v>SYSTEM</x:v>
      </x:c>
      <x:c r="C106" s="8" t="str">
        <x:v>ANT-LORA</x:v>
      </x:c>
      <x:c r="D106" s="8" t="str">
        <x:v>AE3</x:v>
      </x:c>
      <x:c r="E106" s="8" t="str">
        <x:v>Antenna</x:v>
      </x:c>
      <x:c r="F106" s="8" t="str">
        <x:v>Taoglas</x:v>
      </x:c>
      <x:c r="G106" s="8" t="str">
        <x:v>TI.89.B.2111W</x:v>
      </x:c>
      <x:c r="H106" s="8" t="str">
        <x:v>IP67 terminal antenna 180x13 mm SMA(M)</x:v>
      </x:c>
      <x:c r="I106" s="8" t="str"/>
      <x:c r="J106" s="8" t="str">
        <x:v>RU868_PILOT</x:v>
      </x:c>
      <x:c r="K106" s="8" t="str">
        <x:v>FITTED</x:v>
      </x:c>
      <x:c r="L106" s="9" t="n">
        <x:v>1</x:v>
      </x:c>
      <x:c r="M106" s="9" t="n">
        <x:v>20</x:v>
      </x:c>
      <x:c r="N106" s="9" t="n">
        <x:v>2</x:v>
      </x:c>
      <x:c r="O106" s="9" t="n">
        <x:v>22</x:v>
      </x:c>
      <x:c r="P106" s="9" t="n">
        <x:v>41</x:v>
      </x:c>
      <x:c r="Q106" s="9" t="n">
        <x:v>4</x:v>
      </x:c>
      <x:c r="R106" s="9" t="n">
        <x:v>45</x:v>
      </x:c>
      <x:c r="S106" s="8" t="str">
        <x:v>COMMON_PROGRAM_PROCUREMENT</x:v>
      </x:c>
      <x:c r="T106" s="8" t="str">
        <x:v>CONTROLLED_EVT_PURCHASE_EXACT_MPN_VALIDATION_DURING_ASSEMBLY_EVT</x:v>
      </x:c>
      <x:c r="U106" s="8" t="str">
        <x:v>Reconcile PO packing slip quantity and visible damage; verify connector mate installed VSWR conducted power sensitivity coexistence and RU868 radiated compliance during assembly EOL and EVT</x:v>
      </x:c>
    </x:row>
    <x:row r="107">
      <x:c r="A107" s="8" t="str">
        <x:v>PR-113</x:v>
      </x:c>
      <x:c r="B107" s="8" t="str">
        <x:v>PCB-MAIN</x:v>
      </x:c>
      <x:c r="C107" s="8" t="str">
        <x:v>MAIN-010-D10 | MAIN-010-D11 | MAIN-010-D6 | MAIN-010-D7 | MAIN-010-D8 | MAIN-010-D9</x:v>
      </x:c>
      <x:c r="D107" s="8" t="str">
        <x:v>D10 | D11 | D6 | D7 | D8 | D9</x:v>
      </x:c>
      <x:c r="E107" s="8" t="str">
        <x:v>ESD_Diode</x:v>
      </x:c>
      <x:c r="F107" s="8" t="str">
        <x:v>Texas Instruments</x:v>
      </x:c>
      <x:c r="G107" s="8" t="str">
        <x:v>TPD1E05U06DYAR</x:v>
      </x:c>
      <x:c r="H107" s="8" t="str">
        <x:v>SOD-523_DYA</x:v>
      </x:c>
      <x:c r="I107" s="8" t="str">
        <x:v>5.5 V 0.5 pF ESD</x:v>
      </x:c>
      <x:c r="J107" s="8" t="str">
        <x:v>COMMON</x:v>
      </x:c>
      <x:c r="K107" s="8" t="str">
        <x:v>FITTED</x:v>
      </x:c>
      <x:c r="L107" s="9" t="n">
        <x:v>6</x:v>
      </x:c>
      <x:c r="M107" s="9" t="n">
        <x:v>120</x:v>
      </x:c>
      <x:c r="N107" s="9" t="n">
        <x:v>0</x:v>
      </x:c>
      <x:c r="O107" s="9" t="n">
        <x:v>120</x:v>
      </x:c>
      <x:c r="P107" s="9" t="n">
        <x:v>246</x:v>
      </x:c>
      <x:c r="Q107" s="9" t="n">
        <x:v>0</x:v>
      </x:c>
      <x:c r="R107" s="9" t="n">
        <x:v>246</x:v>
      </x:c>
      <x:c r="S107" s="8" t="str">
        <x:v>COMMON_PROGRAM_PROCUREMENT</x:v>
      </x:c>
      <x:c r="T107" s="8" t="str">
        <x:v>SELECTED_PENDING_REVIEW_A</x:v>
      </x:c>
      <x:c r="U107" s="8" t="str">
        <x:v>Marking MPN package orientation electrical functional sample</x:v>
      </x:c>
    </x:row>
    <x:row r="108">
      <x:c r="A108" s="8" t="str">
        <x:v>PR-114</x:v>
      </x:c>
      <x:c r="B108" s="8" t="str">
        <x:v>PCB-MAIN</x:v>
      </x:c>
      <x:c r="C108" s="8" t="str">
        <x:v>MAIN-010-D4</x:v>
      </x:c>
      <x:c r="D108" s="8" t="str">
        <x:v>D4</x:v>
      </x:c>
      <x:c r="E108" s="8" t="str">
        <x:v>RF_ESD</x:v>
      </x:c>
      <x:c r="F108" s="8" t="str">
        <x:v>Texas Instruments</x:v>
      </x:c>
      <x:c r="G108" s="8" t="str">
        <x:v>TPD1E05U06DYAR</x:v>
      </x:c>
      <x:c r="H108" s="8" t="str">
        <x:v>SOD-523_DYA</x:v>
      </x:c>
      <x:c r="I108" s="8" t="str">
        <x:v>5.5 V unidirectional 0.5 pF RF ESD</x:v>
      </x:c>
      <x:c r="J108" s="8" t="str">
        <x:v>COMMON</x:v>
      </x:c>
      <x:c r="K108" s="8" t="str">
        <x:v>FITTED</x:v>
      </x:c>
      <x:c r="L108" s="9" t="n">
        <x:v>1</x:v>
      </x:c>
      <x:c r="M108" s="9" t="n">
        <x:v>20</x:v>
      </x:c>
      <x:c r="N108" s="9" t="n">
        <x:v>0</x:v>
      </x:c>
      <x:c r="O108" s="9" t="n">
        <x:v>20</x:v>
      </x:c>
      <x:c r="P108" s="9" t="n">
        <x:v>41</x:v>
      </x:c>
      <x:c r="Q108" s="9" t="n">
        <x:v>0</x:v>
      </x:c>
      <x:c r="R108" s="9" t="n">
        <x:v>41</x:v>
      </x:c>
      <x:c r="S108" s="8" t="str">
        <x:v>COMMON_PROGRAM_PROCUREMENT</x:v>
      </x:c>
      <x:c r="T108" s="8" t="str">
        <x:v>SELECTED_PENDING_REVIEW_A</x:v>
      </x:c>
      <x:c r="U108" s="8" t="str">
        <x:v>Marking MPN package orientation electrical functional sample</x:v>
      </x:c>
    </x:row>
    <x:row r="109">
      <x:c r="A109" s="8" t="str">
        <x:v>PR-115</x:v>
      </x:c>
      <x:c r="B109" s="8" t="str">
        <x:v>PCB-MAIN</x:v>
      </x:c>
      <x:c r="C109" s="8" t="str">
        <x:v>MAIN-010-U25 | MAIN-010-U26</x:v>
      </x:c>
      <x:c r="D109" s="8" t="str">
        <x:v>U25 | U26</x:v>
      </x:c>
      <x:c r="E109" s="8" t="str">
        <x:v>USB_ESD_Array</x:v>
      </x:c>
      <x:c r="F109" s="8" t="str">
        <x:v>Texas Instruments</x:v>
      </x:c>
      <x:c r="G109" s="8" t="str">
        <x:v>TPD2EUSB30DRTR</x:v>
      </x:c>
      <x:c r="H109" s="8" t="str">
        <x:v>SOT-9X3_DRT</x:v>
      </x:c>
      <x:c r="I109" s="8" t="str">
        <x:v>2 channel 0.7 pF USB ESD</x:v>
      </x:c>
      <x:c r="J109" s="8" t="str">
        <x:v>COMMON</x:v>
      </x:c>
      <x:c r="K109" s="8" t="str">
        <x:v>FITTED</x:v>
      </x:c>
      <x:c r="L109" s="9" t="n">
        <x:v>2</x:v>
      </x:c>
      <x:c r="M109" s="9" t="n">
        <x:v>40</x:v>
      </x:c>
      <x:c r="N109" s="9" t="n">
        <x:v>0</x:v>
      </x:c>
      <x:c r="O109" s="9" t="n">
        <x:v>40</x:v>
      </x:c>
      <x:c r="P109" s="9" t="n">
        <x:v>82</x:v>
      </x:c>
      <x:c r="Q109" s="9" t="n">
        <x:v>0</x:v>
      </x:c>
      <x:c r="R109" s="9" t="n">
        <x:v>82</x:v>
      </x:c>
      <x:c r="S109" s="8" t="str">
        <x:v>COMMON_PROGRAM_PROCUREMENT</x:v>
      </x:c>
      <x:c r="T109" s="8" t="str">
        <x:v>SELECTED_PENDING_REVIEW_A</x:v>
      </x:c>
      <x:c r="U109" s="8" t="str">
        <x:v>Marking MPN package orientation electrical functional sample</x:v>
      </x:c>
    </x:row>
    <x:row r="110">
      <x:c r="A110" s="8" t="str">
        <x:v>PR-116</x:v>
      </x:c>
      <x:c r="B110" s="8" t="str">
        <x:v>PCB-MAIN</x:v>
      </x:c>
      <x:c r="C110" s="8" t="str">
        <x:v>MAIN-010-U19 | MAIN-010-U20 | MAIN-010-U21 | MAIN-010-U22 | MAIN-010-U23 | MAIN-010-U24 | MAIN-010-U27</x:v>
      </x:c>
      <x:c r="D110" s="8" t="str">
        <x:v>U19 | U20 | U21 | U22 | U23 | U24 | U27</x:v>
      </x:c>
      <x:c r="E110" s="8" t="str">
        <x:v>ESD_Array</x:v>
      </x:c>
      <x:c r="F110" s="8" t="str">
        <x:v>Texas Instruments</x:v>
      </x:c>
      <x:c r="G110" s="8" t="str">
        <x:v>TPD4E05U06DQAR</x:v>
      </x:c>
      <x:c r="H110" s="8" t="str">
        <x:v>USON-10_DQA</x:v>
      </x:c>
      <x:c r="I110" s="8" t="str">
        <x:v>4 channel 0.5 pF ESD</x:v>
      </x:c>
      <x:c r="J110" s="8" t="str">
        <x:v>COMMON</x:v>
      </x:c>
      <x:c r="K110" s="8" t="str">
        <x:v>FITTED</x:v>
      </x:c>
      <x:c r="L110" s="9" t="n">
        <x:v>7</x:v>
      </x:c>
      <x:c r="M110" s="9" t="n">
        <x:v>140</x:v>
      </x:c>
      <x:c r="N110" s="9" t="n">
        <x:v>0</x:v>
      </x:c>
      <x:c r="O110" s="9" t="n">
        <x:v>140</x:v>
      </x:c>
      <x:c r="P110" s="9" t="n">
        <x:v>287</x:v>
      </x:c>
      <x:c r="Q110" s="9" t="n">
        <x:v>0</x:v>
      </x:c>
      <x:c r="R110" s="9" t="n">
        <x:v>287</x:v>
      </x:c>
      <x:c r="S110" s="8" t="str">
        <x:v>COMMON_PROGRAM_PROCUREMENT</x:v>
      </x:c>
      <x:c r="T110" s="8" t="str">
        <x:v>SELECTED_PENDING_REVIEW_A</x:v>
      </x:c>
      <x:c r="U110" s="8" t="str">
        <x:v>Marking MPN package orientation electrical functional sample</x:v>
      </x:c>
    </x:row>
    <x:row r="111">
      <x:c r="A111" s="8" t="str">
        <x:v>PR-117</x:v>
      </x:c>
      <x:c r="B111" s="8" t="str">
        <x:v>PCB-PWR</x:v>
      </x:c>
      <x:c r="C111" s="8" t="str">
        <x:v>U-PWR3</x:v>
      </x:c>
      <x:c r="D111" s="8" t="str">
        <x:v>U5</x:v>
      </x:c>
      <x:c r="E111" s="8" t="str">
        <x:v>Power</x:v>
      </x:c>
      <x:c r="F111" s="8" t="str">
        <x:v>Texas Instruments</x:v>
      </x:c>
      <x:c r="G111" s="8" t="str">
        <x:v>TPS7A2018PDBVR</x:v>
      </x:c>
      <x:c r="H111" s="8" t="str">
        <x:v>SOT-23-5</x:v>
      </x:c>
      <x:c r="I111" s="8" t="str"/>
      <x:c r="J111" s="8" t="str">
        <x:v>COMMON</x:v>
      </x:c>
      <x:c r="K111" s="8" t="str">
        <x:v>FITTED</x:v>
      </x:c>
      <x:c r="L111" s="9" t="n">
        <x:v>1</x:v>
      </x:c>
      <x:c r="M111" s="9" t="n">
        <x:v>20</x:v>
      </x:c>
      <x:c r="N111" s="9" t="n">
        <x:v>5</x:v>
      </x:c>
      <x:c r="O111" s="9" t="n">
        <x:v>25</x:v>
      </x:c>
      <x:c r="P111" s="9" t="n">
        <x:v>41</x:v>
      </x:c>
      <x:c r="Q111" s="9" t="n">
        <x:v>10</x:v>
      </x:c>
      <x:c r="R111" s="9" t="n">
        <x:v>51</x:v>
      </x:c>
      <x:c r="S111" s="8" t="str">
        <x:v>COMMON_PROGRAM_PROCUREMENT</x:v>
      </x:c>
      <x:c r="T111" s="8" t="str">
        <x:v>SELECTED_PENDING_NOISE_SAMPLE</x:v>
      </x:c>
      <x:c r="U111" s="8" t="str">
        <x:v>Noise PSRR dropout thermal and AAD sleep current</x:v>
      </x:c>
    </x:row>
    <x:row r="112">
      <x:c r="A112" s="8" t="str">
        <x:v>PR-118</x:v>
      </x:c>
      <x:c r="B112" s="8" t="str">
        <x:v>PCB-MAIN</x:v>
      </x:c>
      <x:c r="C112" s="8" t="str">
        <x:v>U13</x:v>
      </x:c>
      <x:c r="D112" s="8" t="str">
        <x:v>U13</x:v>
      </x:c>
      <x:c r="E112" s="8" t="str">
        <x:v>SIM switch</x:v>
      </x:c>
      <x:c r="F112" s="8" t="str">
        <x:v>Texas Instruments</x:v>
      </x:c>
      <x:c r="G112" s="8" t="str">
        <x:v>TS3A27518EPWR</x:v>
      </x:c>
      <x:c r="H112" s="8" t="str">
        <x:v>TSSOP-24_PW</x:v>
      </x:c>
      <x:c r="I112" s="8" t="str"/>
      <x:c r="J112" s="8" t="str">
        <x:v>COMMON</x:v>
      </x:c>
      <x:c r="K112" s="8" t="str">
        <x:v>FITTED</x:v>
      </x:c>
      <x:c r="L112" s="9" t="n">
        <x:v>1</x:v>
      </x:c>
      <x:c r="M112" s="9" t="n">
        <x:v>20</x:v>
      </x:c>
      <x:c r="N112" s="9" t="n">
        <x:v>5</x:v>
      </x:c>
      <x:c r="O112" s="9" t="n">
        <x:v>25</x:v>
      </x:c>
      <x:c r="P112" s="9" t="n">
        <x:v>41</x:v>
      </x:c>
      <x:c r="Q112" s="9" t="n">
        <x:v>10</x:v>
      </x:c>
      <x:c r="R112" s="9" t="n">
        <x:v>51</x:v>
      </x:c>
      <x:c r="S112" s="8" t="str">
        <x:v>COMMON_PROGRAM_PROCUREMENT</x:v>
      </x:c>
      <x:c r="T112" s="8" t="str">
        <x:v>SELECTED_PENDING_USIM_SI_SAMPLE</x:v>
      </x:c>
      <x:c r="U112" s="8" t="str">
        <x:v>Marking supply leakage Ron capacitance and 100 switch cycles</x:v>
      </x:c>
    </x:row>
    <x:row r="113">
      <x:c r="A113" s="8" t="str">
        <x:v>PR-119</x:v>
      </x:c>
      <x:c r="B113" s="8" t="str">
        <x:v>PCB-MAIN</x:v>
      </x:c>
      <x:c r="C113" s="8" t="str">
        <x:v>J-RF-CELL | J-RF-GNSS</x:v>
      </x:c>
      <x:c r="D113" s="8" t="str">
        <x:v>J8 | J9</x:v>
      </x:c>
      <x:c r="E113" s="8" t="str">
        <x:v>RF connector</x:v>
      </x:c>
      <x:c r="F113" s="8" t="str">
        <x:v>Hirose</x:v>
      </x:c>
      <x:c r="G113" s="8" t="str">
        <x:v>U.FL-R-SMT-1(60)</x:v>
      </x:c>
      <x:c r="H113" s="8" t="str">
        <x:v>U.FL SMT receptacle</x:v>
      </x:c>
      <x:c r="I113" s="8" t="str"/>
      <x:c r="J113" s="8" t="str">
        <x:v>COMMON</x:v>
      </x:c>
      <x:c r="K113" s="8" t="str">
        <x:v>FITTED</x:v>
      </x:c>
      <x:c r="L113" s="9" t="n">
        <x:v>2</x:v>
      </x:c>
      <x:c r="M113" s="9" t="n">
        <x:v>40</x:v>
      </x:c>
      <x:c r="N113" s="9" t="n">
        <x:v>16</x:v>
      </x:c>
      <x:c r="O113" s="9" t="n">
        <x:v>56</x:v>
      </x:c>
      <x:c r="P113" s="9" t="n">
        <x:v>82</x:v>
      </x:c>
      <x:c r="Q113" s="9" t="n">
        <x:v>32</x:v>
      </x:c>
      <x:c r="R113" s="9" t="n">
        <x:v>114</x:v>
      </x:c>
      <x:c r="S113" s="8" t="str">
        <x:v>COMMON_PROGRAM_PROCUREMENT</x:v>
      </x:c>
      <x:c r="T113" s="8" t="str">
        <x:v>LAYOUT_ZONE_FROZEN_PENDING_RF_VALIDATION</x:v>
      </x:c>
      <x:c r="U113" s="8" t="str">
        <x:v>Visual mate gauge continuity VNA and VSWR | Visual mate gauge continuity receiver sensitivity and active-antenna current</x:v>
      </x:c>
    </x:row>
    <x:row r="114">
      <x:c r="A114" s="8" t="str">
        <x:v>PR-120</x:v>
      </x:c>
      <x:c r="B114" s="8" t="str">
        <x:v>PCB-MAIN</x:v>
      </x:c>
      <x:c r="C114" s="8" t="str">
        <x:v>J-RF-LORA</x:v>
      </x:c>
      <x:c r="D114" s="8" t="str">
        <x:v>J10</x:v>
      </x:c>
      <x:c r="E114" s="8" t="str">
        <x:v>RF connector</x:v>
      </x:c>
      <x:c r="F114" s="8" t="str">
        <x:v>Hirose</x:v>
      </x:c>
      <x:c r="G114" s="8" t="str">
        <x:v>U.FL-R-SMT-1(60)</x:v>
      </x:c>
      <x:c r="H114" s="8" t="str">
        <x:v>U.FL SMT receptacle</x:v>
      </x:c>
      <x:c r="I114" s="8" t="str"/>
      <x:c r="J114" s="8" t="str">
        <x:v>RU868_PILOT</x:v>
      </x:c>
      <x:c r="K114" s="8" t="str">
        <x:v>FITTED</x:v>
      </x:c>
      <x:c r="L114" s="9" t="n">
        <x:v>1</x:v>
      </x:c>
      <x:c r="M114" s="9" t="n">
        <x:v>20</x:v>
      </x:c>
      <x:c r="N114" s="9" t="n">
        <x:v>8</x:v>
      </x:c>
      <x:c r="O114" s="9" t="n">
        <x:v>28</x:v>
      </x:c>
      <x:c r="P114" s="9" t="n">
        <x:v>41</x:v>
      </x:c>
      <x:c r="Q114" s="9" t="n">
        <x:v>16</x:v>
      </x:c>
      <x:c r="R114" s="9" t="n">
        <x:v>57</x:v>
      </x:c>
      <x:c r="S114" s="8" t="str">
        <x:v>COMMON_PROGRAM_PROCUREMENT</x:v>
      </x:c>
      <x:c r="T114" s="8" t="str">
        <x:v>LAYOUT_ZONE_FROZEN_PENDING_RF_VALIDATION</x:v>
      </x:c>
      <x:c r="U114" s="8" t="str">
        <x:v>Visual mate gauge continuity conducted power sensitivity and VSWR</x:v>
      </x:c>
    </x:row>
    <x:row r="115">
      <x:c r="A115" s="8" t="str">
        <x:v>PR-121</x:v>
      </x:c>
      <x:c r="B115" s="8" t="str">
        <x:v>PCB-MAIN</x:v>
      </x:c>
      <x:c r="C115" s="8" t="str">
        <x:v>J-USB</x:v>
      </x:c>
      <x:c r="D115" s="8" t="str">
        <x:v>J11</x:v>
      </x:c>
      <x:c r="E115" s="8" t="str">
        <x:v>Connector</x:v>
      </x:c>
      <x:c r="F115" s="8" t="str">
        <x:v>GCT</x:v>
      </x:c>
      <x:c r="G115" s="8" t="str">
        <x:v>USB4105-GF-A-120</x:v>
      </x:c>
      <x:c r="H115" s="8" t="str">
        <x:v>16 positions</x:v>
      </x:c>
      <x:c r="I115" s="8" t="str"/>
      <x:c r="J115" s="8" t="str">
        <x:v>COMMON</x:v>
      </x:c>
      <x:c r="K115" s="8" t="str">
        <x:v>FITTED</x:v>
      </x:c>
      <x:c r="L115" s="9" t="n">
        <x:v>1</x:v>
      </x:c>
      <x:c r="M115" s="9" t="n">
        <x:v>20</x:v>
      </x:c>
      <x:c r="N115" s="9" t="n">
        <x:v>5</x:v>
      </x:c>
      <x:c r="O115" s="9" t="n">
        <x:v>25</x:v>
      </x:c>
      <x:c r="P115" s="9" t="n">
        <x:v>41</x:v>
      </x:c>
      <x:c r="Q115" s="9" t="n">
        <x:v>10</x:v>
      </x:c>
      <x:c r="R115" s="9" t="n">
        <x:v>51</x:v>
      </x:c>
      <x:c r="S115" s="8" t="str">
        <x:v>COMMON_PROGRAM_PROCUREMENT</x:v>
      </x:c>
      <x:c r="T115" s="8" t="str">
        <x:v>MECHANICAL_AUTHORITY_FROZEN_PENDING_PHYSICAL_TEST</x:v>
      </x:c>
      <x:c r="U115" s="8" t="str">
        <x:v>Marking MPN package orientation electrical functional sample</x:v>
      </x:c>
    </x:row>
    <x:row r="116">
      <x:c r="A116" s="8" t="str">
        <x:v>PR-122</x:v>
      </x:c>
      <x:c r="B116" s="8" t="str">
        <x:v>PCB-MAIN</x:v>
      </x:c>
      <x:c r="C116" s="8" t="str">
        <x:v>U2</x:v>
      </x:c>
      <x:c r="D116" s="8" t="str">
        <x:v>U2</x:v>
      </x:c>
      <x:c r="E116" s="8" t="str">
        <x:v>Memory</x:v>
      </x:c>
      <x:c r="F116" s="8" t="str">
        <x:v>Winbond</x:v>
      </x:c>
      <x:c r="G116" s="8" t="str">
        <x:v>W25Q512JVFIQ</x:v>
      </x:c>
      <x:c r="H116" s="8" t="str">
        <x:v>SOIC-16_300mil</x:v>
      </x:c>
      <x:c r="I116" s="8" t="str"/>
      <x:c r="J116" s="8" t="str">
        <x:v>COMMON</x:v>
      </x:c>
      <x:c r="K116" s="8" t="str">
        <x:v>FITTED</x:v>
      </x:c>
      <x:c r="L116" s="9" t="n">
        <x:v>1</x:v>
      </x:c>
      <x:c r="M116" s="9" t="n">
        <x:v>20</x:v>
      </x:c>
      <x:c r="N116" s="9" t="n">
        <x:v>5</x:v>
      </x:c>
      <x:c r="O116" s="9" t="n">
        <x:v>25</x:v>
      </x:c>
      <x:c r="P116" s="9" t="n">
        <x:v>41</x:v>
      </x:c>
      <x:c r="Q116" s="9" t="n">
        <x:v>10</x:v>
      </x:c>
      <x:c r="R116" s="9" t="n">
        <x:v>51</x:v>
      </x:c>
      <x:c r="S116" s="8" t="str">
        <x:v>COMMON_PROGRAM_PROCUREMENT</x:v>
      </x:c>
      <x:c r="T116" s="8" t="str">
        <x:v>SELECTED_PENDING_SAMPLE</x:v>
      </x:c>
      <x:c r="U116" s="8" t="str">
        <x:v>Marking electrical ID read/write/erase soak</x:v>
      </x:c>
    </x:row>
    <x:row r="117">
      <x:c r="A117" s="8" t="str">
        <x:v>PR-123</x:v>
      </x:c>
      <x:c r="B117" s="8" t="str">
        <x:v>PCB-PWR</x:v>
      </x:c>
      <x:c r="C117" s="8" t="str">
        <x:v>R-SHUNT-01</x:v>
      </x:c>
      <x:c r="D117" s="8" t="str">
        <x:v>RSH1</x:v>
      </x:c>
      <x:c r="E117" s="8" t="str">
        <x:v>Shunt</x:v>
      </x:c>
      <x:c r="F117" s="8" t="str">
        <x:v>Vishay Dale</x:v>
      </x:c>
      <x:c r="G117" s="8" t="str">
        <x:v>WSK2512R0100FEA</x:v>
      </x:c>
      <x:c r="H117" s="8" t="str">
        <x:v>WSK2512 4-terminal 6.35x3.18 mm</x:v>
      </x:c>
      <x:c r="I117" s="8" t="str">
        <x:v>10 mOhm 1% 1 W</x:v>
      </x:c>
      <x:c r="J117" s="8" t="str">
        <x:v>COMMON</x:v>
      </x:c>
      <x:c r="K117" s="8" t="str">
        <x:v>FITTED</x:v>
      </x:c>
      <x:c r="L117" s="9" t="n">
        <x:v>1</x:v>
      </x:c>
      <x:c r="M117" s="9" t="n">
        <x:v>20</x:v>
      </x:c>
      <x:c r="N117" s="9" t="n">
        <x:v>10</x:v>
      </x:c>
      <x:c r="O117" s="9" t="n">
        <x:v>30</x:v>
      </x:c>
      <x:c r="P117" s="9" t="n">
        <x:v>41</x:v>
      </x:c>
      <x:c r="Q117" s="9" t="n">
        <x:v>20</x:v>
      </x:c>
      <x:c r="R117" s="9" t="n">
        <x:v>61</x:v>
      </x:c>
      <x:c r="S117" s="8" t="str">
        <x:v>COMMON_PROGRAM_PROCUREMENT</x:v>
      </x:c>
      <x:c r="T117" s="8" t="str">
        <x:v>SELECTED_PENDING_KELVIN_LAYOUT_SAMPLE</x:v>
      </x:c>
      <x:c r="U117" s="8" t="str">
        <x:v>Resistance TCR marking and four-wire reference measurement</x:v>
      </x:c>
    </x:row>
    <x:row r="118">
      <x:c r="A118" s="8" t="str">
        <x:v>PR-124</x:v>
      </x:c>
      <x:c r="B118" s="8" t="str">
        <x:v>PCB-PWR</x:v>
      </x:c>
      <x:c r="C118" s="8" t="str">
        <x:v>PWR-L</x:v>
      </x:c>
      <x:c r="D118" s="8" t="str">
        <x:v>L1;L2</x:v>
      </x:c>
      <x:c r="E118" s="8" t="str">
        <x:v>Passive</x:v>
      </x:c>
      <x:c r="F118" s="8" t="str">
        <x:v>Coilcraft</x:v>
      </x:c>
      <x:c r="G118" s="8" t="str">
        <x:v>XAL7030-472MEC</x:v>
      </x:c>
      <x:c r="H118" s="8" t="str">
        <x:v>XAL7030</x:v>
      </x:c>
      <x:c r="I118" s="8" t="str">
        <x:v>4.7 uH +/-20%</x:v>
      </x:c>
      <x:c r="J118" s="8" t="str">
        <x:v>COMMON</x:v>
      </x:c>
      <x:c r="K118" s="8" t="str">
        <x:v>FITTED</x:v>
      </x:c>
      <x:c r="L118" s="9" t="n">
        <x:v>2</x:v>
      </x:c>
      <x:c r="M118" s="9" t="n">
        <x:v>40</x:v>
      </x:c>
      <x:c r="N118" s="9" t="n">
        <x:v>10</x:v>
      </x:c>
      <x:c r="O118" s="9" t="n">
        <x:v>50</x:v>
      </x:c>
      <x:c r="P118" s="9" t="n">
        <x:v>82</x:v>
      </x:c>
      <x:c r="Q118" s="9" t="n">
        <x:v>20</x:v>
      </x:c>
      <x:c r="R118" s="9" t="n">
        <x:v>102</x:v>
      </x:c>
      <x:c r="S118" s="8" t="str">
        <x:v>COMMON_PROGRAM_PROCUREMENT</x:v>
      </x:c>
      <x:c r="T118" s="8" t="str">
        <x:v>SELECTED_PENDING_LAYOUT_THERMAL_EMI</x:v>
      </x:c>
      <x:c r="U118" s="8" t="str">
        <x:v>Marking MPN package orientation electrical functional sample</x:v>
      </x:c>
    </x:row>
  </x:sheetData>
  <x:pageMargins left="0.7" right="0.7" top="0.75" bottom="0.75" header="0.3" footer="0.3"/>
  <x:tableParts count="1">
    <x:tablePart xmlns:r="http://schemas.openxmlformats.org/officeDocument/2006/relationships" r:id="R0ad1e213229f496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57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  <x:col min="8" max="8" width="20" hidden="0" customWidth="1"/>
    <x:col min="9" max="9" width="48" hidden="0" customWidth="1"/>
    <x:col min="10" max="10" width="70" hidden="0" customWidth="1"/>
    <x:col min="11" max="11" width="13" hidden="0" customWidth="1"/>
  </x:cols>
  <x:sheetData>
    <x:row r="1">
      <x:c r="A1" s="10" t="str">
        <x:v>Инженерные цены v.02 · 20 базовых станций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>
      <x:c r="A2" t="str">
        <x:v>Источник: «Закупочная ведомость_Дионея_v.02.xlsx», лист «Цены_КНР», 09.09.2026; SHA-256 730b0d3e3f47644cc091f141e689a40cbf9a2c9da8718ab8b4cbd8d530a91156</x:v>
      </x:c>
    </x:row>
    <x:row r="3">
      <x:c r="A3" t="str">
        <x:v>Цены в этом листе сохранены по исходным основаниям. Они не пересчитаны на обновлённые MPN, резервы закупки и программу 41 станции.</x:v>
      </x:c>
    </x:row>
    <x:row r="4">
      <x:c r="A4" s="12" t="str">
        <x:v>Прямые затраты, 20 шт.</x:v>
      </x:c>
      <x:c r="B4" s="13" t="n">
        <x:v>561805.89</x:v>
      </x:c>
      <x:c r="C4" s="12"/>
      <x:c r="D4" s="12" t="str">
        <x:v>Резерв 10%</x:v>
      </x:c>
      <x:c r="E4" s="13" t="n">
        <x:v>56180.59</x:v>
      </x:c>
      <x:c r="F4" s="12"/>
      <x:c r="G4" s="12" t="str">
        <x:v>Ориентир с резервом</x:v>
      </x:c>
      <x:c r="H4" s="13" t="n">
        <x:v>617986.48</x:v>
      </x:c>
    </x:row>
    <x:row r="6" ht="30" customHeight="1">
      <x:c r="A6" s="7" t="str">
        <x:v>Группа</x:v>
      </x:c>
      <x:c r="B6" s="7" t="str">
        <x:v>Item ID v02</x:v>
      </x:c>
      <x:c r="C6" s="7" t="str">
        <x:v>Наименование v02</x:v>
      </x:c>
      <x:c r="D6" s="7" t="str">
        <x:v>На станцию</x:v>
      </x:c>
      <x:c r="E6" s="7" t="str">
        <x:v>На 20</x:v>
      </x:c>
      <x:c r="F6" s="7" t="str">
        <x:v>Цена/ед., USD</x:v>
      </x:c>
      <x:c r="G6" s="7" t="str">
        <x:v>Цена/ед., ₽</x:v>
      </x:c>
      <x:c r="H6" s="7" t="str">
        <x:v>Стоимость 20, ₽</x:v>
      </x:c>
      <x:c r="I6" s="7" t="str">
        <x:v>Основание цены</x:v>
      </x:c>
      <x:c r="J6" s="7" t="str">
        <x:v>Источник</x:v>
      </x:c>
      <x:c r="K6" s="7" t="str">
        <x:v>Строка v02</x:v>
      </x:c>
    </x:row>
    <x:row r="7">
      <x:c r="A7" s="8" t="str">
        <x:v>Электронная компонентная база</x:v>
      </x:c>
      <x:c r="B7" s="8" t="str">
        <x:v>C-MIC</x:v>
      </x:c>
      <x:c r="C7" s="8" t="str">
        <x:v>Локальные развязывающие конденсаторы микрофона</x:v>
      </x:c>
      <x:c r="D7" s="9" t="n">
        <x:v>8</x:v>
      </x:c>
      <x:c r="E7" s="9" t="n">
        <x:v>160</x:v>
      </x:c>
      <x:c r="F7" s="15" t="n">
        <x:v>0.02</x:v>
      </x:c>
      <x:c r="G7" s="15" t="n">
        <x:v>1.701514</x:v>
      </x:c>
      <x:c r="H7" s="15" t="n">
        <x:v>272.24224</x:v>
      </x:c>
      <x:c r="I7" s="8" t="str">
        <x:v>Инженерная оценка КНР</x:v>
      </x:c>
      <x:c r="J7" s="8" t="str">
        <x:v>https://www.lcsc.com/</x:v>
      </x:c>
      <x:c r="K7" s="8" t="n">
        <x:v>7</x:v>
      </x:c>
    </x:row>
    <x:row r="8">
      <x:c r="A8" s="8" t="str">
        <x:v>Электронная компонентная база</x:v>
      </x:c>
      <x:c r="B8" s="8" t="str">
        <x:v>MK1</x:v>
      </x:c>
      <x:c r="C8" s="8" t="str">
        <x:v>Цифровой PDM MEMS-микрофон T5838</x:v>
      </x:c>
      <x:c r="D8" s="9" t="n">
        <x:v>4</x:v>
      </x:c>
      <x:c r="E8" s="9" t="n">
        <x:v>80</x:v>
      </x:c>
      <x:c r="F8" s="15" t="n">
        <x:v>1.57</x:v>
      </x:c>
      <x:c r="G8" s="15" t="n">
        <x:v>133.568849</x:v>
      </x:c>
      <x:c r="H8" s="15" t="n">
        <x:v>10685.50792</x:v>
      </x:c>
      <x:c r="I8" s="8" t="str">
        <x:v>Текущий прайс/бенчмарк MPN</x:v>
      </x:c>
      <x:c r="J8" s="8" t="str">
        <x:v>https://www.digikey.cn/en/products/detail/tdk-invensense/MMICT5838-00-012/16903860</x:v>
      </x:c>
      <x:c r="K8" s="8" t="n">
        <x:v>8</x:v>
      </x:c>
    </x:row>
    <x:row r="9">
      <x:c r="A9" s="8" t="str">
        <x:v>Электронная компонентная база</x:v>
      </x:c>
      <x:c r="B9" s="8" t="str">
        <x:v>PCB-MISC</x:v>
      </x:c>
      <x:c r="C9" s="8" t="str">
        <x:v>Прочая элементная база PCB: R/C/L, ESD, развязка, мелкие пассивы</x:v>
      </x:c>
      <x:c r="D9" s="9" t="n">
        <x:v>1</x:v>
      </x:c>
      <x:c r="E9" s="9" t="n">
        <x:v>20</x:v>
      </x:c>
      <x:c r="F9" s="15" t="n">
        <x:v>8</x:v>
      </x:c>
      <x:c r="G9" s="15" t="n">
        <x:v>680.6056</x:v>
      </x:c>
      <x:c r="H9" s="15" t="n">
        <x:v>13612.112</x:v>
      </x:c>
      <x:c r="I9" s="8" t="str">
        <x:v>Инженерный резерв для ещё не разложенных по MPN позиций Rev.A</x:v>
      </x:c>
      <x:c r="J9" s="8" t="str">
        <x:v>https://www.lcsc.com/</x:v>
      </x:c>
      <x:c r="K9" s="8" t="n">
        <x:v>9</x:v>
      </x:c>
    </x:row>
    <x:row r="10">
      <x:c r="A10" s="8" t="str">
        <x:v>Электронная компонентная база</x:v>
      </x:c>
      <x:c r="B10" s="8" t="str">
        <x:v>PWR-FUSE-01</x:v>
      </x:c>
      <x:c r="C10" s="8" t="str">
        <x:v>Предохранитель входной цепи PCB-PWR</x:v>
      </x:c>
      <x:c r="D10" s="9" t="n">
        <x:v>1</x:v>
      </x:c>
      <x:c r="E10" s="9" t="n">
        <x:v>20</x:v>
      </x:c>
      <x:c r="F10" s="15" t="n">
        <x:v>0.25</x:v>
      </x:c>
      <x:c r="G10" s="15" t="n">
        <x:v>21.268925</x:v>
      </x:c>
      <x:c r="H10" s="15" t="n">
        <x:v>425.3785</x:v>
      </x:c>
      <x:c r="I10" s="8" t="str">
        <x:v>Инженерная оценка КНР</x:v>
      </x:c>
      <x:c r="J10" s="8" t="str">
        <x:v>https://www.lcsc.com/</x:v>
      </x:c>
      <x:c r="K10" s="8" t="n">
        <x:v>10</x:v>
      </x:c>
    </x:row>
    <x:row r="11">
      <x:c r="A11" s="8" t="str">
        <x:v>Электронная компонентная база</x:v>
      </x:c>
      <x:c r="B11" s="8" t="str">
        <x:v>PWR-REV-CTL</x:v>
      </x:c>
      <x:c r="C11" s="8" t="str">
        <x:v>Контроллер защиты от переполюсовки и обратного тока</x:v>
      </x:c>
      <x:c r="D11" s="9" t="n">
        <x:v>1</x:v>
      </x:c>
      <x:c r="E11" s="9" t="n">
        <x:v>20</x:v>
      </x:c>
      <x:c r="F11" s="15" t="n">
        <x:v>13.3</x:v>
      </x:c>
      <x:c r="G11" s="15" t="n">
        <x:v>1131.50681</x:v>
      </x:c>
      <x:c r="H11" s="15" t="n">
        <x:v>22630.1362</x:v>
      </x:c>
      <x:c r="I11" s="8" t="str">
        <x:v>Текущий прайс/бенчмарк MPN</x:v>
      </x:c>
      <x:c r="J11" s="8" t="str">
        <x:v>https://www.lcsc.com/product-image/C2941042.html</x:v>
      </x:c>
      <x:c r="K11" s="8" t="n">
        <x:v>11</x:v>
      </x:c>
    </x:row>
    <x:row r="12">
      <x:c r="A12" s="8" t="str">
        <x:v>Электронная компонентная база</x:v>
      </x:c>
      <x:c r="B12" s="8" t="str">
        <x:v>PWR-REV-FET</x:v>
      </x:c>
      <x:c r="C12" s="8" t="str">
        <x:v>Силовой N-MOSFET 60 В, низкое Rds(on)</x:v>
      </x:c>
      <x:c r="D12" s="9" t="n">
        <x:v>1</x:v>
      </x:c>
      <x:c r="E12" s="9" t="n">
        <x:v>20</x:v>
      </x:c>
      <x:c r="F12" s="15" t="n">
        <x:v>1.5</x:v>
      </x:c>
      <x:c r="G12" s="15" t="n">
        <x:v>127.61355</x:v>
      </x:c>
      <x:c r="H12" s="15" t="n">
        <x:v>2552.2709999999997</x:v>
      </x:c>
      <x:c r="I12" s="8" t="str">
        <x:v>Текущий прайс/бенчмарк MPN</x:v>
      </x:c>
      <x:c r="J12" s="8" t="str">
        <x:v>https://lcsc.com/product-detail/MOSFET_Texas-Instruments-CSD18540Q5B_C86513.html</x:v>
      </x:c>
      <x:c r="K12" s="8" t="n">
        <x:v>12</x:v>
      </x:c>
    </x:row>
    <x:row r="13">
      <x:c r="A13" s="8" t="str">
        <x:v>Электронная компонентная база</x:v>
      </x:c>
      <x:c r="B13" s="8" t="str">
        <x:v>PWR-TVS-01</x:v>
      </x:c>
      <x:c r="C13" s="8" t="str">
        <x:v>TVS-защита силовой шины</x:v>
      </x:c>
      <x:c r="D13" s="9" t="n">
        <x:v>1</x:v>
      </x:c>
      <x:c r="E13" s="9" t="n">
        <x:v>20</x:v>
      </x:c>
      <x:c r="F13" s="15" t="n">
        <x:v>0.1</x:v>
      </x:c>
      <x:c r="G13" s="15" t="n">
        <x:v>8.50757</x:v>
      </x:c>
      <x:c r="H13" s="15" t="n">
        <x:v>170.1514</x:v>
      </x:c>
      <x:c r="I13" s="8" t="str">
        <x:v>Инженерная оценка КНР</x:v>
      </x:c>
      <x:c r="J13" s="8" t="str">
        <x:v>https://www.lcsc.com/</x:v>
      </x:c>
      <x:c r="K13" s="8" t="n">
        <x:v>13</x:v>
      </x:c>
    </x:row>
    <x:row r="14">
      <x:c r="A14" s="8" t="str">
        <x:v>Электронная компонентная база</x:v>
      </x:c>
      <x:c r="B14" s="8" t="str">
        <x:v>R-SHUNT-01</x:v>
      </x:c>
      <x:c r="C14" s="8" t="str">
        <x:v>Шунт 10 мОм, 4-выводный Kelvin</x:v>
      </x:c>
      <x:c r="D14" s="9" t="n">
        <x:v>1</x:v>
      </x:c>
      <x:c r="E14" s="9" t="n">
        <x:v>20</x:v>
      </x:c>
      <x:c r="F14" s="15" t="n">
        <x:v>0.5</x:v>
      </x:c>
      <x:c r="G14" s="15" t="n">
        <x:v>42.53785</x:v>
      </x:c>
      <x:c r="H14" s="15" t="n">
        <x:v>850.757</x:v>
      </x:c>
      <x:c r="I14" s="8" t="str">
        <x:v>Инженерная оценка КНР</x:v>
      </x:c>
      <x:c r="J14" s="8" t="str">
        <x:v>https://www.lcsc.com/</x:v>
      </x:c>
      <x:c r="K14" s="8" t="n">
        <x:v>14</x:v>
      </x:c>
    </x:row>
    <x:row r="15">
      <x:c r="A15" s="8" t="str">
        <x:v>Электронная компонентная база</x:v>
      </x:c>
      <x:c r="B15" s="8" t="str">
        <x:v>U-MON-01</x:v>
      </x:c>
      <x:c r="C15" s="8" t="str">
        <x:v>Монитор тока, напряжения и мощности батареи INA226</x:v>
      </x:c>
      <x:c r="D15" s="9" t="n">
        <x:v>1</x:v>
      </x:c>
      <x:c r="E15" s="9" t="n">
        <x:v>20</x:v>
      </x:c>
      <x:c r="F15" s="15" t="n">
        <x:v>0.61</x:v>
      </x:c>
      <x:c r="G15" s="15" t="n">
        <x:v>51.896176999999994</x:v>
      </x:c>
      <x:c r="H15" s="15" t="n">
        <x:v>1037.92354</x:v>
      </x:c>
      <x:c r="I15" s="8" t="str">
        <x:v>Текущий прайс/бенчмарк MPN</x:v>
      </x:c>
      <x:c r="J15" s="8" t="str">
        <x:v>https://www.lcsc.com/product-detail/C49851.html</x:v>
      </x:c>
      <x:c r="K15" s="8" t="n">
        <x:v>15</x:v>
      </x:c>
    </x:row>
    <x:row r="16">
      <x:c r="A16" s="8" t="str">
        <x:v>Электронная компонентная база</x:v>
      </x:c>
      <x:c r="B16" s="8" t="str">
        <x:v>U-PWR1</x:v>
      </x:c>
      <x:c r="C16" s="8" t="str">
        <x:v>DC/DC 3,8 В / 4 А для сотового модема</x:v>
      </x:c>
      <x:c r="D16" s="9" t="n">
        <x:v>1</x:v>
      </x:c>
      <x:c r="E16" s="9" t="n">
        <x:v>20</x:v>
      </x:c>
      <x:c r="F16" s="15" t="n">
        <x:v>2.64</x:v>
      </x:c>
      <x:c r="G16" s="15" t="n">
        <x:v>224.599848</x:v>
      </x:c>
      <x:c r="H16" s="15" t="n">
        <x:v>4491.99696</x:v>
      </x:c>
      <x:c r="I16" s="8" t="str">
        <x:v>Текущий прайс/бенчмарк MPN</x:v>
      </x:c>
      <x:c r="J16" s="8" t="str">
        <x:v>https://www.lcsc.com/product-detail/C43351623.html</x:v>
      </x:c>
      <x:c r="K16" s="8" t="n">
        <x:v>16</x:v>
      </x:c>
    </x:row>
    <x:row r="17">
      <x:c r="A17" s="8" t="str">
        <x:v>Электронная компонентная база</x:v>
      </x:c>
      <x:c r="B17" s="8" t="str">
        <x:v>U-PWR2</x:v>
      </x:c>
      <x:c r="C17" s="8" t="str">
        <x:v>DC/DC 3,3 В / 4 А цифрового питания</x:v>
      </x:c>
      <x:c r="D17" s="9" t="n">
        <x:v>1</x:v>
      </x:c>
      <x:c r="E17" s="9" t="n">
        <x:v>20</x:v>
      </x:c>
      <x:c r="F17" s="15" t="n">
        <x:v>2.64</x:v>
      </x:c>
      <x:c r="G17" s="15" t="n">
        <x:v>224.599848</x:v>
      </x:c>
      <x:c r="H17" s="15" t="n">
        <x:v>4491.99696</x:v>
      </x:c>
      <x:c r="I17" s="8" t="str">
        <x:v>Текущий прайс/бенчмарк MPN</x:v>
      </x:c>
      <x:c r="J17" s="8" t="str">
        <x:v>https://www.lcsc.com/product-detail/C43351623.html</x:v>
      </x:c>
      <x:c r="K17" s="8" t="n">
        <x:v>17</x:v>
      </x:c>
    </x:row>
    <x:row r="18">
      <x:c r="A18" s="8" t="str">
        <x:v>Электронная компонентная база</x:v>
      </x:c>
      <x:c r="B18" s="8" t="str">
        <x:v>U-PWR3</x:v>
      </x:c>
      <x:c r="C18" s="8" t="str">
        <x:v>Малошумящий LDO 1,8 В микрофонного тракта</x:v>
      </x:c>
      <x:c r="D18" s="9" t="n">
        <x:v>1</x:v>
      </x:c>
      <x:c r="E18" s="9" t="n">
        <x:v>20</x:v>
      </x:c>
      <x:c r="F18" s="15" t="n">
        <x:v>0.21</x:v>
      </x:c>
      <x:c r="G18" s="15" t="n">
        <x:v>17.865897</x:v>
      </x:c>
      <x:c r="H18" s="15" t="n">
        <x:v>357.31794</x:v>
      </x:c>
      <x:c r="I18" s="8" t="str">
        <x:v>Текущий прайс/бенчмарк MPN</x:v>
      </x:c>
      <x:c r="J18" s="8" t="str">
        <x:v>https://www.lcsc.com/product-detail/Voltage-Regulators-Linear-Low-Drop-Out-LDO-Regulators_Texas-Instruments-TPS7A2018PDBVR_C963430.html</x:v>
      </x:c>
      <x:c r="K18" s="8" t="n">
        <x:v>18</x:v>
      </x:c>
    </x:row>
    <x:row r="19">
      <x:c r="A19" s="8" t="str">
        <x:v>Электронная компонентная база</x:v>
      </x:c>
      <x:c r="B19" s="8" t="str">
        <x:v>U1</x:v>
      </x:c>
      <x:c r="C19" s="8" t="str">
        <x:v>Микроконтроллер STM32U585, защищённая low-power платформа</x:v>
      </x:c>
      <x:c r="D19" s="9" t="n">
        <x:v>1</x:v>
      </x:c>
      <x:c r="E19" s="9" t="n">
        <x:v>20</x:v>
      </x:c>
      <x:c r="F19" s="15" t="n">
        <x:v>14.45</x:v>
      </x:c>
      <x:c r="G19" s="15" t="n">
        <x:v>1229.3438649999998</x:v>
      </x:c>
      <x:c r="H19" s="15" t="n">
        <x:v>24586.8773</x:v>
      </x:c>
      <x:c r="I19" s="8" t="str">
        <x:v>Текущий прайс/бенчмарк MPN</x:v>
      </x:c>
      <x:c r="J19" s="8" t="str">
        <x:v>https://www.lcsc.com/product-detail/C5270986.html</x:v>
      </x:c>
      <x:c r="K19" s="8" t="n">
        <x:v>19</x:v>
      </x:c>
    </x:row>
    <x:row r="20">
      <x:c r="A20" s="8" t="str">
        <x:v>Электронная компонентная база</x:v>
      </x:c>
      <x:c r="B20" s="8" t="str">
        <x:v>U10</x:v>
      </x:c>
      <x:c r="C20" s="8" t="str">
        <x:v>LoRa-модуль SX1262 для RU868</x:v>
      </x:c>
      <x:c r="D20" s="9" t="n">
        <x:v>1</x:v>
      </x:c>
      <x:c r="E20" s="9" t="n">
        <x:v>20</x:v>
      </x:c>
      <x:c r="F20" s="15" t="n">
        <x:v>4.6</x:v>
      </x:c>
      <x:c r="G20" s="15" t="n">
        <x:v>391.34821999999997</x:v>
      </x:c>
      <x:c r="H20" s="15" t="n">
        <x:v>7826.9644</x:v>
      </x:c>
      <x:c r="I20" s="8" t="str">
        <x:v>Текущий прайс/бенчмарк MPN</x:v>
      </x:c>
      <x:c r="J20" s="8" t="str">
        <x:v>https://www.alibaba.com/p/ebyte-e22-900m22s-tcxo-7km-long_62443474220.html</x:v>
      </x:c>
      <x:c r="K20" s="8" t="n">
        <x:v>20</x:v>
      </x:c>
    </x:row>
    <x:row r="21">
      <x:c r="A21" s="8" t="str">
        <x:v>Электронная компонентная база</x:v>
      </x:c>
      <x:c r="B21" s="8" t="str">
        <x:v>U11</x:v>
      </x:c>
      <x:c r="C21" s="8" t="str">
        <x:v>BLE/OTA сопроцессор nRF52840</x:v>
      </x:c>
      <x:c r="D21" s="9" t="n">
        <x:v>1</x:v>
      </x:c>
      <x:c r="E21" s="9" t="n">
        <x:v>20</x:v>
      </x:c>
      <x:c r="F21" s="15" t="n">
        <x:v>6.86</x:v>
      </x:c>
      <x:c r="G21" s="15" t="n">
        <x:v>583.6193020000001</x:v>
      </x:c>
      <x:c r="H21" s="15" t="n">
        <x:v>11672.386040000001</x:v>
      </x:c>
      <x:c r="I21" s="8" t="str">
        <x:v>Текущий прайс/бенчмарк MPN</x:v>
      </x:c>
      <x:c r="J21" s="8" t="str">
        <x:v>https://www.tme.com/us/en-us/details/mdbt50q-p1mv2/iot-wifi-bluetooth-modules/raytac/</x:v>
      </x:c>
      <x:c r="K21" s="8" t="n">
        <x:v>21</x:v>
      </x:c>
    </x:row>
    <x:row r="22">
      <x:c r="A22" s="8" t="str">
        <x:v>Электронная компонентная база</x:v>
      </x:c>
      <x:c r="B22" s="8" t="str">
        <x:v>U12</x:v>
      </x:c>
      <x:c r="C22" s="8" t="str">
        <x:v>Промышленная microSD, 32 ГБ</x:v>
      </x:c>
      <x:c r="D22" s="9" t="n">
        <x:v>1</x:v>
      </x:c>
      <x:c r="E22" s="9" t="n">
        <x:v>20</x:v>
      </x:c>
      <x:c r="F22" s="15" t="n">
        <x:v>5</x:v>
      </x:c>
      <x:c r="G22" s="15" t="n">
        <x:v>425.3785</x:v>
      </x:c>
      <x:c r="H22" s="15" t="n">
        <x:v>8507.57</x:v>
      </x:c>
      <x:c r="I22" s="8" t="str">
        <x:v>Инженерная оценка КНР</x:v>
      </x:c>
      <x:c r="J22" s="8" t="str">
        <x:v>https://www.alibaba.com/</x:v>
      </x:c>
      <x:c r="K22" s="8" t="n">
        <x:v>22</x:v>
      </x:c>
    </x:row>
    <x:row r="23">
      <x:c r="A23" s="8" t="str">
        <x:v>Электронная компонентная база</x:v>
      </x:c>
      <x:c r="B23" s="8" t="str">
        <x:v>U13</x:v>
      </x:c>
      <x:c r="C23" s="8" t="str">
        <x:v>Коммутатор интерфейса двух SIM-карт</x:v>
      </x:c>
      <x:c r="D23" s="9" t="n">
        <x:v>1</x:v>
      </x:c>
      <x:c r="E23" s="9" t="n">
        <x:v>20</x:v>
      </x:c>
      <x:c r="F23" s="15" t="n">
        <x:v>0.68</x:v>
      </x:c>
      <x:c r="G23" s="15" t="n">
        <x:v>57.851476000000005</x:v>
      </x:c>
      <x:c r="H23" s="15" t="n">
        <x:v>1157.02952</x:v>
      </x:c>
      <x:c r="I23" s="8" t="str">
        <x:v>Текущий прайс/бенчмарк MPN</x:v>
      </x:c>
      <x:c r="J23" s="8" t="str">
        <x:v>https://www.lcsc.com/product-detail/Analog-Switches-Multiplexers_Texas-Instruments-TS3A27518EPWR_C443721.html</x:v>
      </x:c>
      <x:c r="K23" s="8" t="n">
        <x:v>23</x:v>
      </x:c>
    </x:row>
    <x:row r="24">
      <x:c r="A24" s="8" t="str">
        <x:v>Электронная компонентная база</x:v>
      </x:c>
      <x:c r="B24" s="8" t="str">
        <x:v>U14-U15</x:v>
      </x:c>
      <x:c r="C24" s="8" t="str">
        <x:v>Малoёмкостная ESD/TVS-защита линий SIM</x:v>
      </x:c>
      <x:c r="D24" s="9" t="n">
        <x:v>2</x:v>
      </x:c>
      <x:c r="E24" s="9" t="n">
        <x:v>40</x:v>
      </x:c>
      <x:c r="F24" s="15" t="n">
        <x:v>0.15</x:v>
      </x:c>
      <x:c r="G24" s="15" t="n">
        <x:v>12.761355</x:v>
      </x:c>
      <x:c r="H24" s="15" t="n">
        <x:v>510.4542</x:v>
      </x:c>
      <x:c r="I24" s="8" t="str">
        <x:v>Инженерная оценка КНР</x:v>
      </x:c>
      <x:c r="J24" s="8" t="str">
        <x:v>https://www.lcsc.com/</x:v>
      </x:c>
      <x:c r="K24" s="8" t="n">
        <x:v>24</x:v>
      </x:c>
    </x:row>
    <x:row r="25">
      <x:c r="A25" s="8" t="str">
        <x:v>Электронная компонентная база</x:v>
      </x:c>
      <x:c r="B25" s="8" t="str">
        <x:v>U2</x:v>
      </x:c>
      <x:c r="C25" s="8" t="str">
        <x:v>QSPI NOR Flash 64 МБ</x:v>
      </x:c>
      <x:c r="D25" s="9" t="n">
        <x:v>1</x:v>
      </x:c>
      <x:c r="E25" s="9" t="n">
        <x:v>20</x:v>
      </x:c>
      <x:c r="F25" s="15" t="n">
        <x:v>8.76</x:v>
      </x:c>
      <x:c r="G25" s="15" t="n">
        <x:v>745.2631319999999</x:v>
      </x:c>
      <x:c r="H25" s="15" t="n">
        <x:v>14905.262639999999</x:v>
      </x:c>
      <x:c r="I25" s="8" t="str">
        <x:v>Текущий прайс/бенчмарк MPN</x:v>
      </x:c>
      <x:c r="J25" s="8" t="str">
        <x:v>https://www.lcsc.com/product-image/C2962011.html</x:v>
      </x:c>
      <x:c r="K25" s="8" t="n">
        <x:v>25</x:v>
      </x:c>
    </x:row>
    <x:row r="26">
      <x:c r="A26" s="8" t="str">
        <x:v>Электронная компонентная база</x:v>
      </x:c>
      <x:c r="B26" s="8" t="str">
        <x:v>U3</x:v>
      </x:c>
      <x:c r="C26" s="8" t="str">
        <x:v>Малопотребляющий акселерометр</x:v>
      </x:c>
      <x:c r="D26" s="9" t="n">
        <x:v>1</x:v>
      </x:c>
      <x:c r="E26" s="9" t="n">
        <x:v>20</x:v>
      </x:c>
      <x:c r="F26" s="15" t="n">
        <x:v>0.91</x:v>
      </x:c>
      <x:c r="G26" s="15" t="n">
        <x:v>77.418887</x:v>
      </x:c>
      <x:c r="H26" s="15" t="n">
        <x:v>1548.37774</x:v>
      </x:c>
      <x:c r="I26" s="8" t="str">
        <x:v>Текущий прайс/бенчмарк MPN</x:v>
      </x:c>
      <x:c r="J26" s="8" t="str">
        <x:v>https://www.lcsc.com/product-detail/Motion-Sensors-Accelerometers_STMicroelectronics_C189624.html</x:v>
      </x:c>
      <x:c r="K26" s="8" t="n">
        <x:v>26</x:v>
      </x:c>
    </x:row>
    <x:row r="27">
      <x:c r="A27" s="8" t="str">
        <x:v>Электронная компонентная база</x:v>
      </x:c>
      <x:c r="B27" s="8" t="str">
        <x:v>U4</x:v>
      </x:c>
      <x:c r="C27" s="8" t="str">
        <x:v>Цифровой датчик температуры</x:v>
      </x:c>
      <x:c r="D27" s="9" t="n">
        <x:v>1</x:v>
      </x:c>
      <x:c r="E27" s="9" t="n">
        <x:v>20</x:v>
      </x:c>
      <x:c r="F27" s="15" t="n">
        <x:v>1.53</x:v>
      </x:c>
      <x:c r="G27" s="15" t="n">
        <x:v>130.165821</x:v>
      </x:c>
      <x:c r="H27" s="15" t="n">
        <x:v>2603.31642</x:v>
      </x:c>
      <x:c r="I27" s="8" t="str">
        <x:v>Текущий прайс/бенчмарк MPN</x:v>
      </x:c>
      <x:c r="J27" s="8" t="str">
        <x:v>https://www.lcsc.com/product-detail/temperature-and-humidity-sensor_stmicroelectronics-stts22htr_C2969838.html</x:v>
      </x:c>
      <x:c r="K27" s="8" t="n">
        <x:v>27</x:v>
      </x:c>
    </x:row>
    <x:row r="28">
      <x:c r="A28" s="8" t="str">
        <x:v>Электронная компонентная база</x:v>
      </x:c>
      <x:c r="B28" s="8" t="str">
        <x:v>U7</x:v>
      </x:c>
      <x:c r="C28" s="8" t="str">
        <x:v>Преобразователь логических уровней 1,8/3,3 В</x:v>
      </x:c>
      <x:c r="D28" s="9" t="n">
        <x:v>1</x:v>
      </x:c>
      <x:c r="E28" s="9" t="n">
        <x:v>20</x:v>
      </x:c>
      <x:c r="F28" s="15" t="n">
        <x:v>0.35</x:v>
      </x:c>
      <x:c r="G28" s="15" t="n">
        <x:v>29.776494999999997</x:v>
      </x:c>
      <x:c r="H28" s="15" t="n">
        <x:v>595.5299</x:v>
      </x:c>
      <x:c r="I28" s="8" t="str">
        <x:v>Инженерная оценка КНР</x:v>
      </x:c>
      <x:c r="J28" s="8" t="str">
        <x:v>https://www.lcsc.com/</x:v>
      </x:c>
      <x:c r="K28" s="8" t="n">
        <x:v>28</x:v>
      </x:c>
    </x:row>
    <x:row r="29">
      <x:c r="A29" s="8" t="str">
        <x:v>Электронная компонентная база</x:v>
      </x:c>
      <x:c r="B29" s="8" t="str">
        <x:v>U8</x:v>
      </x:c>
      <x:c r="C29" s="8" t="str">
        <x:v>Сотовый модем LTE Cat-M1 / NB2 / EGPRS</x:v>
      </x:c>
      <x:c r="D29" s="9" t="n">
        <x:v>1</x:v>
      </x:c>
      <x:c r="E29" s="9" t="n">
        <x:v>20</x:v>
      </x:c>
      <x:c r="F29" s="15" t="n">
        <x:v>9.33</x:v>
      </x:c>
      <x:c r="G29" s="15" t="n">
        <x:v>793.756281</x:v>
      </x:c>
      <x:c r="H29" s="15" t="n">
        <x:v>15875.125619999999</x:v>
      </x:c>
      <x:c r="I29" s="8" t="str">
        <x:v>Рыночный диапазон КНР / инженерная оценка</x:v>
      </x:c>
      <x:c r="J29" s="8" t="str">
        <x:v>https://www.alibaba.com/showroom/bg95-m3-module.html</x:v>
      </x:c>
      <x:c r="K29" s="8" t="n">
        <x:v>29</x:v>
      </x:c>
    </x:row>
    <x:row r="30">
      <x:c r="A30" s="8" t="str">
        <x:v>Электронная компонентная база</x:v>
      </x:c>
      <x:c r="B30" s="8" t="str">
        <x:v>U9</x:v>
      </x:c>
      <x:c r="C30" s="8" t="str">
        <x:v>GNSS-модуль с выходом TIMEPULSE/PPS</x:v>
      </x:c>
      <x:c r="D30" s="9" t="n">
        <x:v>1</x:v>
      </x:c>
      <x:c r="E30" s="9" t="n">
        <x:v>20</x:v>
      </x:c>
      <x:c r="F30" s="15" t="n">
        <x:v>10.6</x:v>
      </x:c>
      <x:c r="G30" s="15" t="n">
        <x:v>901.80242</x:v>
      </x:c>
      <x:c r="H30" s="15" t="n">
        <x:v>18036.0484</x:v>
      </x:c>
      <x:c r="I30" s="8" t="str">
        <x:v>Текущий прайс/бенчмарк MPN</x:v>
      </x:c>
      <x:c r="J30" s="8" t="str">
        <x:v>https://www.lcsc.com/product-image/C4153167.html</x:v>
      </x:c>
      <x:c r="K30" s="8" t="n">
        <x:v>30</x:v>
      </x:c>
    </x:row>
    <x:row r="31">
      <x:c r="A31" s="8" t="str">
        <x:v>Электронная компонентная база</x:v>
      </x:c>
      <x:c r="B31" s="8" t="str">
        <x:v>X1</x:v>
      </x:c>
      <x:c r="C31" s="8" t="str">
        <x:v>Низкодрейфовый генератор 32,768 кГц</x:v>
      </x:c>
      <x:c r="D31" s="9" t="n">
        <x:v>1</x:v>
      </x:c>
      <x:c r="E31" s="9" t="n">
        <x:v>20</x:v>
      </x:c>
      <x:c r="F31" s="15" t="n">
        <x:v>1.12</x:v>
      </x:c>
      <x:c r="G31" s="15" t="n">
        <x:v>95.284784</x:v>
      </x:c>
      <x:c r="H31" s="15" t="n">
        <x:v>1905.69568</x:v>
      </x:c>
      <x:c r="I31" s="8" t="str">
        <x:v>Текущий прайс/бенчмарк MPN</x:v>
      </x:c>
      <x:c r="J31" s="8" t="str">
        <x:v>https://www.lcsc.com/product-detail/Programmable-Oscillators_SiTime-SIT1552AI-JE-DCC-32-768D_C367054.html</x:v>
      </x:c>
      <x:c r="K31" s="8" t="n">
        <x:v>31</x:v>
      </x:c>
    </x:row>
    <x:row r="32">
      <x:c r="A32" s="8" t="str">
        <x:v>Производство плат</x:v>
      </x:c>
      <x:c r="B32" s="8" t="str">
        <x:v>ASM-MAIN</x:v>
      </x:c>
      <x:c r="C32" s="8" t="str">
        <x:v>Собранная основная плата контроллера PCB-MAIN</x:v>
      </x:c>
      <x:c r="D32" s="9" t="n">
        <x:v>1</x:v>
      </x:c>
      <x:c r="E32" s="9" t="n">
        <x:v>20</x:v>
      </x:c>
      <x:c r="F32" s="15" t="n">
        <x:v>12</x:v>
      </x:c>
      <x:c r="G32" s="15" t="n">
        <x:v>1020.9084</x:v>
      </x:c>
      <x:c r="H32" s="15" t="n">
        <x:v>20418.167999999998</x:v>
      </x:c>
      <x:c r="I32" s="8" t="str">
        <x:v>Инженерная оценка JLCPCB/China PCBA</x:v>
      </x:c>
      <x:c r="J32" s="8" t="str">
        <x:v>https://jlcpcb.com/help/article/pcb-assembly-price</x:v>
      </x:c>
      <x:c r="K32" s="8" t="n">
        <x:v>32</x:v>
      </x:c>
    </x:row>
    <x:row r="33">
      <x:c r="A33" s="8" t="str">
        <x:v>Производство плат</x:v>
      </x:c>
      <x:c r="B33" s="8" t="str">
        <x:v>ASM-MIC</x:v>
      </x:c>
      <x:c r="C33" s="8" t="str">
        <x:v>Собранная микрофонная плата PCB-MIC</x:v>
      </x:c>
      <x:c r="D33" s="9" t="n">
        <x:v>4</x:v>
      </x:c>
      <x:c r="E33" s="9" t="n">
        <x:v>80</x:v>
      </x:c>
      <x:c r="F33" s="15" t="n">
        <x:v>4</x:v>
      </x:c>
      <x:c r="G33" s="15" t="n">
        <x:v>340.3028</x:v>
      </x:c>
      <x:c r="H33" s="15" t="n">
        <x:v>27224.224</x:v>
      </x:c>
      <x:c r="I33" s="8" t="str">
        <x:v>Инженерная оценка JLCPCB/China PCBA</x:v>
      </x:c>
      <x:c r="J33" s="8" t="str">
        <x:v>https://jlcpcb.com/help/article/pcb-assembly-price</x:v>
      </x:c>
      <x:c r="K33" s="8" t="n">
        <x:v>33</x:v>
      </x:c>
    </x:row>
    <x:row r="34">
      <x:c r="A34" s="8" t="str">
        <x:v>Производство плат</x:v>
      </x:c>
      <x:c r="B34" s="8" t="str">
        <x:v>ASM-PWR</x:v>
      </x:c>
      <x:c r="C34" s="8" t="str">
        <x:v>Собранная плата питания и защиты PCB-PWR</x:v>
      </x:c>
      <x:c r="D34" s="9" t="n">
        <x:v>1</x:v>
      </x:c>
      <x:c r="E34" s="9" t="n">
        <x:v>20</x:v>
      </x:c>
      <x:c r="F34" s="15" t="n">
        <x:v>8</x:v>
      </x:c>
      <x:c r="G34" s="15" t="n">
        <x:v>680.6056</x:v>
      </x:c>
      <x:c r="H34" s="15" t="n">
        <x:v>13612.112</x:v>
      </x:c>
      <x:c r="I34" s="8" t="str">
        <x:v>Инженерная оценка JLCPCB/China PCBA</x:v>
      </x:c>
      <x:c r="J34" s="8" t="str">
        <x:v>https://jlcpcb.com/help/article/pcb-assembly-price</x:v>
      </x:c>
      <x:c r="K34" s="8" t="n">
        <x:v>34</x:v>
      </x:c>
    </x:row>
    <x:row r="35">
      <x:c r="A35" s="8" t="str">
        <x:v>Производство плат</x:v>
      </x:c>
      <x:c r="B35" s="8" t="str">
        <x:v>PCB-MAIN</x:v>
      </x:c>
      <x:c r="C35" s="8" t="str">
        <x:v>Печатная плата PCB-MAIN, 4 слоя</x:v>
      </x:c>
      <x:c r="D35" s="9" t="n">
        <x:v>1</x:v>
      </x:c>
      <x:c r="E35" s="9" t="n">
        <x:v>20</x:v>
      </x:c>
      <x:c r="F35" s="15" t="n">
        <x:v>5</x:v>
      </x:c>
      <x:c r="G35" s="15" t="n">
        <x:v>425.3785</x:v>
      </x:c>
      <x:c r="H35" s="15" t="n">
        <x:v>8507.57</x:v>
      </x:c>
      <x:c r="I35" s="8" t="str">
        <x:v>Инженерная оценка JLCPCB/China PCBA</x:v>
      </x:c>
      <x:c r="J35" s="8" t="str">
        <x:v>https://jlcpcb.com/help/article/pcb-assembly-price</x:v>
      </x:c>
      <x:c r="K35" s="8" t="n">
        <x:v>35</x:v>
      </x:c>
    </x:row>
    <x:row r="36">
      <x:c r="A36" s="8" t="str">
        <x:v>Производство плат</x:v>
      </x:c>
      <x:c r="B36" s="8" t="str">
        <x:v>PCB-MIC</x:v>
      </x:c>
      <x:c r="C36" s="8" t="str">
        <x:v>Печатная плата микрофонного лепестка PCB-MIC</x:v>
      </x:c>
      <x:c r="D36" s="9" t="n">
        <x:v>4</x:v>
      </x:c>
      <x:c r="E36" s="9" t="n">
        <x:v>80</x:v>
      </x:c>
      <x:c r="F36" s="15" t="n">
        <x:v>1.5</x:v>
      </x:c>
      <x:c r="G36" s="15" t="n">
        <x:v>127.61355</x:v>
      </x:c>
      <x:c r="H36" s="15" t="n">
        <x:v>10209.083999999999</x:v>
      </x:c>
      <x:c r="I36" s="8" t="str">
        <x:v>Инженерная оценка JLCPCB/China PCBA</x:v>
      </x:c>
      <x:c r="J36" s="8" t="str">
        <x:v>https://jlcpcb.com/help/article/pcb-assembly-price</x:v>
      </x:c>
      <x:c r="K36" s="8" t="n">
        <x:v>36</x:v>
      </x:c>
    </x:row>
    <x:row r="37">
      <x:c r="A37" s="8" t="str">
        <x:v>Производство плат</x:v>
      </x:c>
      <x:c r="B37" s="8" t="str">
        <x:v>PCB-PWR</x:v>
      </x:c>
      <x:c r="C37" s="8" t="str">
        <x:v>Печатная плата PCB-PWR, 2 слоя, повышенная медь</x:v>
      </x:c>
      <x:c r="D37" s="9" t="n">
        <x:v>1</x:v>
      </x:c>
      <x:c r="E37" s="9" t="n">
        <x:v>20</x:v>
      </x:c>
      <x:c r="F37" s="15" t="n">
        <x:v>3</x:v>
      </x:c>
      <x:c r="G37" s="15" t="n">
        <x:v>255.2271</x:v>
      </x:c>
      <x:c r="H37" s="15" t="n">
        <x:v>5104.5419999999995</x:v>
      </x:c>
      <x:c r="I37" s="8" t="str">
        <x:v>Инженерная оценка JLCPCB/China PCBA</x:v>
      </x:c>
      <x:c r="J37" s="8" t="str">
        <x:v>https://jlcpcb.com/help/article/pcb-assembly-price</x:v>
      </x:c>
      <x:c r="K37" s="8" t="n">
        <x:v>37</x:v>
      </x:c>
    </x:row>
    <x:row r="38">
      <x:c r="A38" s="8" t="str">
        <x:v>Кабели и разъёмы</x:v>
      </x:c>
      <x:c r="B38" s="8" t="str">
        <x:v>HARNESS</x:v>
      </x:c>
      <x:c r="C38" s="8" t="str">
        <x:v>Комплект маркированных кабельных жгутов станции</x:v>
      </x:c>
      <x:c r="D38" s="9" t="n">
        <x:v>1</x:v>
      </x:c>
      <x:c r="E38" s="9" t="n">
        <x:v>20</x:v>
      </x:c>
      <x:c r="F38" s="15" t="n">
        <x:v>16.61</x:v>
      </x:c>
      <x:c r="G38" s="15" t="n">
        <x:v>1413.1073769999998</x:v>
      </x:c>
      <x:c r="H38" s="15" t="n">
        <x:v>28262.147539999998</x:v>
      </x:c>
      <x:c r="I38" s="8" t="str">
        <x:v>Инженерная оценка КНР</x:v>
      </x:c>
      <x:c r="J38" s="8" t="str">
        <x:v>https://www.lcsc.com/product-detail/Housings-Wire-To-Board-Wire-To-Wire_MOLEX-5040510601_C505129.html</x:v>
      </x:c>
      <x:c r="K38" s="8" t="n">
        <x:v>38</x:v>
      </x:c>
    </x:row>
    <x:row r="39">
      <x:c r="A39" s="8" t="str">
        <x:v>Кабели и разъёмы</x:v>
      </x:c>
      <x:c r="B39" s="8" t="str">
        <x:v>J-MIC</x:v>
      </x:c>
      <x:c r="C39" s="8" t="str">
        <x:v>6-контактный разъём микрофонного жгута Pico-Lock</x:v>
      </x:c>
      <x:c r="D39" s="9" t="n">
        <x:v>4</x:v>
      </x:c>
      <x:c r="E39" s="9" t="n">
        <x:v>80</x:v>
      </x:c>
      <x:c r="F39" s="15" t="n">
        <x:v>0.26</x:v>
      </x:c>
      <x:c r="G39" s="15" t="n">
        <x:v>22.119682</x:v>
      </x:c>
      <x:c r="H39" s="15" t="n">
        <x:v>1769.57456</x:v>
      </x:c>
      <x:c r="I39" s="8" t="str">
        <x:v>Текущий прайс/бенчмарк MPN</x:v>
      </x:c>
      <x:c r="J39" s="8" t="str">
        <x:v>https://www.lcsc.com/product-detail/wire-to-board-connector_molex-5040500691_C563981.html</x:v>
      </x:c>
      <x:c r="K39" s="8" t="n">
        <x:v>39</x:v>
      </x:c>
    </x:row>
    <x:row r="40">
      <x:c r="A40" s="8" t="str">
        <x:v>Кабели и разъёмы</x:v>
      </x:c>
      <x:c r="B40" s="8" t="str">
        <x:v>J-PWR-MAIN</x:v>
      </x:c>
      <x:c r="C40" s="8" t="str">
        <x:v>12-контактный межплатный разъём MAIN-PWR, сторона MAIN</x:v>
      </x:c>
      <x:c r="D40" s="9" t="n">
        <x:v>1</x:v>
      </x:c>
      <x:c r="E40" s="9" t="n">
        <x:v>20</x:v>
      </x:c>
      <x:c r="F40" s="15" t="n">
        <x:v>2.5</x:v>
      </x:c>
      <x:c r="G40" s="15" t="n">
        <x:v>212.68925</x:v>
      </x:c>
      <x:c r="H40" s="15" t="n">
        <x:v>4253.785</x:v>
      </x:c>
      <x:c r="I40" s="8" t="str">
        <x:v>Инженерная оценка КНР</x:v>
      </x:c>
      <x:c r="J40" s="8" t="str">
        <x:v>https://www.lcsc.com/</x:v>
      </x:c>
      <x:c r="K40" s="8" t="n">
        <x:v>40</x:v>
      </x:c>
    </x:row>
    <x:row r="41">
      <x:c r="A41" s="8" t="str">
        <x:v>Кабели и разъёмы</x:v>
      </x:c>
      <x:c r="B41" s="8" t="str">
        <x:v>J-PWR-PWR</x:v>
      </x:c>
      <x:c r="C41" s="8" t="str">
        <x:v>12-контактный межплатный разъём MAIN-PWR, сторона PWR</x:v>
      </x:c>
      <x:c r="D41" s="9" t="n">
        <x:v>1</x:v>
      </x:c>
      <x:c r="E41" s="9" t="n">
        <x:v>20</x:v>
      </x:c>
      <x:c r="F41" s="15" t="n">
        <x:v>2.5</x:v>
      </x:c>
      <x:c r="G41" s="15" t="n">
        <x:v>212.68925</x:v>
      </x:c>
      <x:c r="H41" s="15" t="n">
        <x:v>4253.785</x:v>
      </x:c>
      <x:c r="I41" s="8" t="str">
        <x:v>Инженерная оценка КНР</x:v>
      </x:c>
      <x:c r="J41" s="8" t="str">
        <x:v>https://www.lcsc.com/</x:v>
      </x:c>
      <x:c r="K41" s="8" t="n">
        <x:v>41</x:v>
      </x:c>
    </x:row>
    <x:row r="42">
      <x:c r="A42" s="8" t="str">
        <x:v>Кабели и разъёмы</x:v>
      </x:c>
      <x:c r="B42" s="8" t="str">
        <x:v>J-RF-CELL</x:v>
      </x:c>
      <x:c r="C42" s="8" t="str">
        <x:v>RF-разъём сотовой антенны</x:v>
      </x:c>
      <x:c r="D42" s="9" t="n">
        <x:v>1</x:v>
      </x:c>
      <x:c r="E42" s="9" t="n">
        <x:v>20</x:v>
      </x:c>
      <x:c r="F42" s="15" t="n">
        <x:v>0.5</x:v>
      </x:c>
      <x:c r="G42" s="15" t="n">
        <x:v>42.53785</x:v>
      </x:c>
      <x:c r="H42" s="15" t="n">
        <x:v>850.757</x:v>
      </x:c>
      <x:c r="I42" s="8" t="str">
        <x:v>Инженерная оценка КНР</x:v>
      </x:c>
      <x:c r="J42" s="8" t="str">
        <x:v>https://www.alibaba.com/</x:v>
      </x:c>
      <x:c r="K42" s="8" t="n">
        <x:v>42</x:v>
      </x:c>
    </x:row>
    <x:row r="43">
      <x:c r="A43" s="8" t="str">
        <x:v>Кабели и разъёмы</x:v>
      </x:c>
      <x:c r="B43" s="8" t="str">
        <x:v>J-RF-GNSS</x:v>
      </x:c>
      <x:c r="C43" s="8" t="str">
        <x:v>RF-разъём GNSS-антенны</x:v>
      </x:c>
      <x:c r="D43" s="9" t="n">
        <x:v>1</x:v>
      </x:c>
      <x:c r="E43" s="9" t="n">
        <x:v>20</x:v>
      </x:c>
      <x:c r="F43" s="15" t="n">
        <x:v>0.5</x:v>
      </x:c>
      <x:c r="G43" s="15" t="n">
        <x:v>42.53785</x:v>
      </x:c>
      <x:c r="H43" s="15" t="n">
        <x:v>850.757</x:v>
      </x:c>
      <x:c r="I43" s="8" t="str">
        <x:v>Инженерная оценка КНР</x:v>
      </x:c>
      <x:c r="J43" s="8" t="str">
        <x:v>https://www.alibaba.com/</x:v>
      </x:c>
      <x:c r="K43" s="8" t="n">
        <x:v>43</x:v>
      </x:c>
    </x:row>
    <x:row r="44">
      <x:c r="A44" s="8" t="str">
        <x:v>Кабели и разъёмы</x:v>
      </x:c>
      <x:c r="B44" s="8" t="str">
        <x:v>J-RF-LORA</x:v>
      </x:c>
      <x:c r="C44" s="8" t="str">
        <x:v>RF-разъём LoRa-антенны</x:v>
      </x:c>
      <x:c r="D44" s="9" t="n">
        <x:v>1</x:v>
      </x:c>
      <x:c r="E44" s="9" t="n">
        <x:v>20</x:v>
      </x:c>
      <x:c r="F44" s="15" t="n">
        <x:v>0.5</x:v>
      </x:c>
      <x:c r="G44" s="15" t="n">
        <x:v>42.53785</x:v>
      </x:c>
      <x:c r="H44" s="15" t="n">
        <x:v>850.757</x:v>
      </x:c>
      <x:c r="I44" s="8" t="str">
        <x:v>Инженерная оценка КНР</x:v>
      </x:c>
      <x:c r="J44" s="8" t="str">
        <x:v>https://www.alibaba.com/</x:v>
      </x:c>
      <x:c r="K44" s="8" t="n">
        <x:v>44</x:v>
      </x:c>
    </x:row>
    <x:row r="45">
      <x:c r="A45" s="8" t="str">
        <x:v>Кабели и разъёмы</x:v>
      </x:c>
      <x:c r="B45" s="8" t="str">
        <x:v>J-SD1</x:v>
      </x:c>
      <x:c r="C45" s="8" t="str">
        <x:v>Разъём microSD с детектированием карты</x:v>
      </x:c>
      <x:c r="D45" s="9" t="n">
        <x:v>1</x:v>
      </x:c>
      <x:c r="E45" s="9" t="n">
        <x:v>20</x:v>
      </x:c>
      <x:c r="F45" s="15" t="n">
        <x:v>0.35</x:v>
      </x:c>
      <x:c r="G45" s="15" t="n">
        <x:v>29.776494999999997</x:v>
      </x:c>
      <x:c r="H45" s="15" t="n">
        <x:v>595.5299</x:v>
      </x:c>
      <x:c r="I45" s="8" t="str">
        <x:v>Инженерная оценка КНР</x:v>
      </x:c>
      <x:c r="J45" s="8" t="str">
        <x:v>https://www.lcsc.com/</x:v>
      </x:c>
      <x:c r="K45" s="8" t="n">
        <x:v>45</x:v>
      </x:c>
    </x:row>
    <x:row r="46">
      <x:c r="A46" s="8" t="str">
        <x:v>Кабели и разъёмы</x:v>
      </x:c>
      <x:c r="B46" s="8" t="str">
        <x:v>J-SIM1</x:v>
      </x:c>
      <x:c r="C46" s="8" t="str">
        <x:v>Разъём Nano-SIM, канал SIM1</x:v>
      </x:c>
      <x:c r="D46" s="9" t="n">
        <x:v>1</x:v>
      </x:c>
      <x:c r="E46" s="9" t="n">
        <x:v>20</x:v>
      </x:c>
      <x:c r="F46" s="15" t="n">
        <x:v>0.25</x:v>
      </x:c>
      <x:c r="G46" s="15" t="n">
        <x:v>21.268925</x:v>
      </x:c>
      <x:c r="H46" s="15" t="n">
        <x:v>425.3785</x:v>
      </x:c>
      <x:c r="I46" s="8" t="str">
        <x:v>Инженерная оценка КНР</x:v>
      </x:c>
      <x:c r="J46" s="8" t="str">
        <x:v>https://www.lcsc.com/</x:v>
      </x:c>
      <x:c r="K46" s="8" t="n">
        <x:v>46</x:v>
      </x:c>
    </x:row>
    <x:row r="47">
      <x:c r="A47" s="8" t="str">
        <x:v>Кабели и разъёмы</x:v>
      </x:c>
      <x:c r="B47" s="8" t="str">
        <x:v>J-SIM2</x:v>
      </x:c>
      <x:c r="C47" s="8" t="str">
        <x:v>Разъём Nano-SIM, канал SIM2</x:v>
      </x:c>
      <x:c r="D47" s="9" t="n">
        <x:v>1</x:v>
      </x:c>
      <x:c r="E47" s="9" t="n">
        <x:v>20</x:v>
      </x:c>
      <x:c r="F47" s="15" t="n">
        <x:v>0.25</x:v>
      </x:c>
      <x:c r="G47" s="15" t="n">
        <x:v>21.268925</x:v>
      </x:c>
      <x:c r="H47" s="15" t="n">
        <x:v>425.3785</x:v>
      </x:c>
      <x:c r="I47" s="8" t="str">
        <x:v>Инженерная оценка КНР</x:v>
      </x:c>
      <x:c r="J47" s="8" t="str">
        <x:v>https://www.lcsc.com/</x:v>
      </x:c>
      <x:c r="K47" s="8" t="n">
        <x:v>47</x:v>
      </x:c>
    </x:row>
    <x:row r="48">
      <x:c r="A48" s="8" t="str">
        <x:v>Системная комплектация</x:v>
      </x:c>
      <x:c r="B48" s="8" t="str">
        <x:v>ANT-CELL</x:v>
      </x:c>
      <x:c r="C48" s="8" t="str">
        <x:v>Наружная антенна сотовой связи с кабелем</x:v>
      </x:c>
      <x:c r="D48" s="9" t="n">
        <x:v>1</x:v>
      </x:c>
      <x:c r="E48" s="9" t="n">
        <x:v>20</x:v>
      </x:c>
      <x:c r="F48" s="15" t="n">
        <x:v>7</x:v>
      </x:c>
      <x:c r="G48" s="15" t="n">
        <x:v>595.5299</x:v>
      </x:c>
      <x:c r="H48" s="15" t="n">
        <x:v>11910.598</x:v>
      </x:c>
      <x:c r="I48" s="8" t="str">
        <x:v>Рыночный диапазон КНР / инженерная оценка</x:v>
      </x:c>
      <x:c r="J48" s="8" t="str">
        <x:v>https://www.alibaba.com/wholesale/external-antenna-outdoor.html</x:v>
      </x:c>
      <x:c r="K48" s="8" t="n">
        <x:v>48</x:v>
      </x:c>
    </x:row>
    <x:row r="49">
      <x:c r="A49" s="8" t="str">
        <x:v>Системная комплектация</x:v>
      </x:c>
      <x:c r="B49" s="8" t="str">
        <x:v>ANT-GNSS</x:v>
      </x:c>
      <x:c r="C49" s="8" t="str">
        <x:v>Активная наружная GNSS-антенна с кабелем</x:v>
      </x:c>
      <x:c r="D49" s="9" t="n">
        <x:v>1</x:v>
      </x:c>
      <x:c r="E49" s="9" t="n">
        <x:v>20</x:v>
      </x:c>
      <x:c r="F49" s="15" t="n">
        <x:v>3</x:v>
      </x:c>
      <x:c r="G49" s="15" t="n">
        <x:v>255.2271</x:v>
      </x:c>
      <x:c r="H49" s="15" t="n">
        <x:v>5104.5419999999995</x:v>
      </x:c>
      <x:c r="I49" s="8" t="str">
        <x:v>Рыночный диапазон КНР / инженерная оценка</x:v>
      </x:c>
      <x:c r="J49" s="8" t="str">
        <x:v>https://www.alibaba.com/countrysearch/CN/gps-antenna-active.html</x:v>
      </x:c>
      <x:c r="K49" s="8" t="n">
        <x:v>49</x:v>
      </x:c>
    </x:row>
    <x:row r="50">
      <x:c r="A50" s="8" t="str">
        <x:v>Системная комплектация</x:v>
      </x:c>
      <x:c r="B50" s="8" t="str">
        <x:v>ANT-LORA</x:v>
      </x:c>
      <x:c r="C50" s="8" t="str">
        <x:v>Наружная антенна LoRa 868 МГц с кабелем</x:v>
      </x:c>
      <x:c r="D50" s="9" t="n">
        <x:v>1</x:v>
      </x:c>
      <x:c r="E50" s="9" t="n">
        <x:v>20</x:v>
      </x:c>
      <x:c r="F50" s="15" t="n">
        <x:v>12</x:v>
      </x:c>
      <x:c r="G50" s="15" t="n">
        <x:v>1020.9084</x:v>
      </x:c>
      <x:c r="H50" s="15" t="n">
        <x:v>20418.167999999998</x:v>
      </x:c>
      <x:c r="I50" s="8" t="str">
        <x:v>Рыночный диапазон КНР / инженерная оценка</x:v>
      </x:c>
      <x:c r="J50" s="8" t="str">
        <x:v>https://www.alibaba.com/countrysearch/CN/antenna-cables.html</x:v>
      </x:c>
      <x:c r="K50" s="8" t="n">
        <x:v>50</x:v>
      </x:c>
    </x:row>
    <x:row r="51">
      <x:c r="A51" s="8" t="str">
        <x:v>Системная комплектация</x:v>
      </x:c>
      <x:c r="B51" s="8" t="str">
        <x:v>BAT1</x:v>
      </x:c>
      <x:c r="C51" s="8" t="str">
        <x:v>LiFePO4 аккумулятор 12,8 В, 40–60 А·ч, BMS</x:v>
      </x:c>
      <x:c r="D51" s="9" t="n">
        <x:v>1</x:v>
      </x:c>
      <x:c r="E51" s="9" t="n">
        <x:v>20</x:v>
      </x:c>
      <x:c r="F51" s="15" t="n">
        <x:v>65</x:v>
      </x:c>
      <x:c r="G51" s="15" t="n">
        <x:v>5529.9205</x:v>
      </x:c>
      <x:c r="H51" s="15" t="n">
        <x:v>110598.41</x:v>
      </x:c>
      <x:c r="I51" s="8" t="str">
        <x:v>Рыночный диапазон КНР / инженерная оценка</x:v>
      </x:c>
      <x:c r="J51" s="8" t="str">
        <x:v>https://spanish.alibaba.com/g/12v-5.5ah-solar-lifepo4-battery.html</x:v>
      </x:c>
      <x:c r="K51" s="8" t="n">
        <x:v>51</x:v>
      </x:c>
    </x:row>
    <x:row r="52">
      <x:c r="A52" s="8" t="str">
        <x:v>Системная комплектация</x:v>
      </x:c>
      <x:c r="B52" s="8" t="str">
        <x:v>HSG-3D</x:v>
      </x:c>
      <x:c r="C52" s="8" t="str">
        <x:v>Резервный комплект корпуса, 3D-печать</x:v>
      </x:c>
      <x:c r="D52" s="9" t="n">
        <x:v>0</x:v>
      </x:c>
      <x:c r="E52" s="9" t="n">
        <x:v>0</x:v>
      </x:c>
      <x:c r="F52" s="15" t="n">
        <x:v>0</x:v>
      </x:c>
      <x:c r="G52" s="15" t="n">
        <x:v>0</x:v>
      </x:c>
      <x:c r="H52" s="15" t="n">
        <x:v>0</x:v>
      </x:c>
      <x:c r="I52" s="8" t="str">
        <x:v>Инженерная оценка КНР</x:v>
      </x:c>
      <x:c r="J52" s="8" t="str">
        <x:v>https://www.alibaba.com/</x:v>
      </x:c>
      <x:c r="K52" s="8" t="n">
        <x:v>52</x:v>
      </x:c>
    </x:row>
    <x:row r="53">
      <x:c r="A53" s="8" t="str">
        <x:v>Системная комплектация</x:v>
      </x:c>
      <x:c r="B53" s="8" t="str">
        <x:v>HSG-IM</x:v>
      </x:c>
      <x:c r="C53" s="8" t="str">
        <x:v>Пакет исходных данных/DFM под литьё под давлением</x:v>
      </x:c>
      <x:c r="D53" s="9" t="n">
        <x:v>0</x:v>
      </x:c>
      <x:c r="E53" s="9" t="n">
        <x:v>0</x:v>
      </x:c>
      <x:c r="F53" s="15" t="n">
        <x:v>0</x:v>
      </x:c>
      <x:c r="G53" s="15" t="n">
        <x:v>0</x:v>
      </x:c>
      <x:c r="H53" s="15" t="n">
        <x:v>0</x:v>
      </x:c>
      <x:c r="I53" s="8" t="str">
        <x:v>Инженерная оценка КНР</x:v>
      </x:c>
      <x:c r="J53" s="8" t="str">
        <x:v>https://www.alibaba.com/</x:v>
      </x:c>
      <x:c r="K53" s="8" t="n">
        <x:v>53</x:v>
      </x:c>
    </x:row>
    <x:row r="54">
      <x:c r="A54" s="8" t="str">
        <x:v>Системная комплектация</x:v>
      </x:c>
      <x:c r="B54" s="8" t="str">
        <x:v>HSG-VC</x:v>
      </x:c>
      <x:c r="C54" s="8" t="str">
        <x:v>Комплект корпуса, вакуумное литьё полиуретана</x:v>
      </x:c>
      <x:c r="D54" s="9" t="n">
        <x:v>1</x:v>
      </x:c>
      <x:c r="E54" s="9" t="n">
        <x:v>20</x:v>
      </x:c>
      <x:c r="F54" s="15" t="n">
        <x:v>35</x:v>
      </x:c>
      <x:c r="G54" s="15" t="n">
        <x:v>2977.6495</x:v>
      </x:c>
      <x:c r="H54" s="15" t="n">
        <x:v>59552.99</x:v>
      </x:c>
      <x:c r="I54" s="8" t="str">
        <x:v>Рыночный диапазон КНР / инженерная оценка</x:v>
      </x:c>
      <x:c r="J54" s="8" t="str">
        <x:v>https://www.alibaba.com/countrysearch/CN/vacuum-casting.html</x:v>
      </x:c>
      <x:c r="K54" s="8" t="n">
        <x:v>54</x:v>
      </x:c>
    </x:row>
    <x:row r="55">
      <x:c r="A55" s="8" t="str">
        <x:v>Системная комплектация</x:v>
      </x:c>
      <x:c r="B55" s="8" t="str">
        <x:v>MPPT1</x:v>
      </x:c>
      <x:c r="C55" s="8" t="str">
        <x:v>Внешний MPPT-контроллер LiFePO4, 10 А</x:v>
      </x:c>
      <x:c r="D55" s="9" t="n">
        <x:v>1</x:v>
      </x:c>
      <x:c r="E55" s="9" t="n">
        <x:v>20</x:v>
      </x:c>
      <x:c r="F55" s="15" t="n">
        <x:v>20</x:v>
      </x:c>
      <x:c r="G55" s="15" t="n">
        <x:v>1701.514</x:v>
      </x:c>
      <x:c r="H55" s="15" t="n">
        <x:v>34030.28</x:v>
      </x:c>
      <x:c r="I55" s="8" t="str">
        <x:v>Рыночный диапазон КНР / инженерная оценка</x:v>
      </x:c>
      <x:c r="J55" s="8" t="str">
        <x:v>https://www.alibaba.com/wholesale/solar-regulator-mppt-10.html</x:v>
      </x:c>
      <x:c r="K55" s="8" t="n">
        <x:v>55</x:v>
      </x:c>
    </x:row>
    <x:row r="56">
      <x:c r="A56" s="8" t="str">
        <x:v>Системная комплектация</x:v>
      </x:c>
      <x:c r="B56" s="8" t="str">
        <x:v>PV1</x:v>
      </x:c>
      <x:c r="C56" s="8" t="str">
        <x:v>Солнечная панель наружного исполнения 60–80 Вт</x:v>
      </x:c>
      <x:c r="D56" s="9" t="n">
        <x:v>1</x:v>
      </x:c>
      <x:c r="E56" s="9" t="n">
        <x:v>20</x:v>
      </x:c>
      <x:c r="F56" s="15" t="n">
        <x:v>12.5</x:v>
      </x:c>
      <x:c r="G56" s="15" t="n">
        <x:v>1063.44625</x:v>
      </x:c>
      <x:c r="H56" s="15" t="n">
        <x:v>21268.925</x:v>
      </x:c>
      <x:c r="I56" s="8" t="str">
        <x:v>Рыночный диапазон КНР / инженерная оценка</x:v>
      </x:c>
      <x:c r="J56" s="8" t="str">
        <x:v>https://www.alibaba.com/wholesale/monocrystalline-panel-solar-80w.html</x:v>
      </x:c>
      <x:c r="K56" s="8" t="n">
        <x:v>56</x:v>
      </x:c>
    </x:row>
    <x:row r="58">
      <x:c r="G58" s="12" t="str">
        <x:v>Сумма строк</x:v>
      </x:c>
      <x:c r="H58" s="13" t="n">
        <x:f>SUM(H7:H56)</x:f>
        <x:v>561805.8925199999</x:v>
      </x:c>
    </x:row>
  </x:sheetData>
  <x:pageMargins left="0.7" right="0.7" top="0.75" bottom="0.75" header="0.3" footer="0.3"/>
  <x:tableParts count="1">
    <x:tablePart xmlns:r="http://schemas.openxmlformats.org/officeDocument/2006/relationships" r:id="Rc15e733667cf4a0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30" hidden="0" customWidth="1"/>
    <x:col min="5" max="5" width="20" hidden="0" customWidth="1"/>
    <x:col min="6" max="6" width="20" hidden="0" customWidth="1"/>
  </x:cols>
  <x:sheetData>
    <x:row r="1">
      <x:c r="A1" s="10" t="str">
        <x:v>Не устанавливать (DNP)</x:v>
      </x:c>
      <x:c r="B1" s="10"/>
      <x:c r="C1" s="10"/>
      <x:c r="D1" s="10"/>
      <x:c r="E1" s="10"/>
      <x:c r="F1" s="10"/>
    </x:row>
    <x:row r="2">
      <x:c r="A2" t="str">
        <x:v>Эти позиции имеют нулевое количество к закупке и монтажу.</x:v>
      </x:c>
    </x:row>
    <x:row r="4">
      <x:c r="A4" s="6" t="str">
        <x:v>ID</x:v>
      </x:c>
      <x:c r="B4" s="6" t="str">
        <x:v>Узел</x:v>
      </x:c>
      <x:c r="C4" s="6" t="str">
        <x:v>Обозначения</x:v>
      </x:c>
      <x:c r="D4" s="6" t="str">
        <x:v>MPN</x:v>
      </x:c>
      <x:c r="E4" s="6" t="str">
        <x:v>Состояние</x:v>
      </x:c>
      <x:c r="F4" s="6" t="str">
        <x:v>Количество</x:v>
      </x:c>
    </x:row>
    <x:row r="5">
      <x:c r="A5" t="str">
        <x:v>PR-039</x:v>
      </x:c>
      <x:c r="B5" t="str">
        <x:v>PCB-MAIN</x:v>
      </x:c>
      <x:c r="C5" t="str">
        <x:v>R98</x:v>
      </x:c>
      <x:c r="D5" t="str">
        <x:v>ERJ-2GE0R00X</x:v>
      </x:c>
      <x:c r="E5" t="str">
        <x:v>DNP</x:v>
      </x:c>
      <x:c r="F5" t="n">
        <x:v>0</x:v>
      </x:c>
    </x:row>
    <x:row r="6">
      <x:c r="A6" t="str">
        <x:v>PR-041</x:v>
      </x:c>
      <x:c r="B6" t="str">
        <x:v>PCB-PWR</x:v>
      </x:c>
      <x:c r="C6" t="str">
        <x:v>R5;R9</x:v>
      </x:c>
      <x:c r="D6" t="str">
        <x:v>ERJ-2GE0R00X</x:v>
      </x:c>
      <x:c r="E6" t="str">
        <x:v>DNP</x:v>
      </x:c>
      <x:c r="F6" t="n">
        <x:v>0</x:v>
      </x:c>
    </x:row>
    <x:row r="7">
      <x:c r="A7" t="str">
        <x:v>PR-048</x:v>
      </x:c>
      <x:c r="B7" t="str">
        <x:v>PCB-PWR</x:v>
      </x:c>
      <x:c r="C7" t="str">
        <x:v>R15</x:v>
      </x:c>
      <x:c r="D7" t="str">
        <x:v>ERJ-2RKF1002X</x:v>
      </x:c>
      <x:c r="E7" t="str">
        <x:v>DNP</x:v>
      </x:c>
      <x:c r="F7" t="n">
        <x:v>0</x:v>
      </x:c>
    </x:row>
    <x:row r="8">
      <x:c r="A8" t="str">
        <x:v>PR-050</x:v>
      </x:c>
      <x:c r="B8" t="str">
        <x:v>PCB-MAIN</x:v>
      </x:c>
      <x:c r="C8" t="str">
        <x:v>R4 | R6</x:v>
      </x:c>
      <x:c r="D8" t="str">
        <x:v>ERJ-2RKF1003X</x:v>
      </x:c>
      <x:c r="E8" t="str">
        <x:v>DNP</x:v>
      </x:c>
      <x:c r="F8" t="n">
        <x:v>0</x:v>
      </x:c>
    </x:row>
    <x:row r="9">
      <x:c r="A9" t="str">
        <x:v>PR-057</x:v>
      </x:c>
      <x:c r="B9" t="str">
        <x:v>PCB-PWR</x:v>
      </x:c>
      <x:c r="C9" t="str">
        <x:v>R13;R14</x:v>
      </x:c>
      <x:c r="D9" t="str">
        <x:v>ERJ-2RKF4701X</x:v>
      </x:c>
      <x:c r="E9" t="str">
        <x:v>DNP</x:v>
      </x:c>
      <x:c r="F9" t="n">
        <x:v>0</x:v>
      </x:c>
    </x:row>
    <x:row r="10">
      <x:c r="A10" t="str">
        <x:v>PR-064</x:v>
      </x:c>
      <x:c r="B10" t="str">
        <x:v>PCB-MAIN</x:v>
      </x:c>
      <x:c r="C10" t="str">
        <x:v>C69 | C70 | C79 | C80</x:v>
      </x:c>
      <x:c r="D10" t="str">
        <x:v>GRM1555C1H100JA01D</x:v>
      </x:c>
      <x:c r="E10" t="str">
        <x:v>DNP</x:v>
      </x:c>
      <x:c r="F10" t="n">
        <x:v>0</x:v>
      </x:c>
    </x:row>
    <x:row r="11">
      <x:c r="A11" t="str">
        <x:v>PR-068</x:v>
      </x:c>
      <x:c r="B11" t="str">
        <x:v>PCB-MAIN</x:v>
      </x:c>
      <x:c r="C11" t="str">
        <x:v>C54 | C55 | C56 | C57 | C58 | C59</x:v>
      </x:c>
      <x:c r="D11" t="str">
        <x:v>GRM1555C1H330JA01D</x:v>
      </x:c>
      <x:c r="E11" t="str">
        <x:v>DNP</x:v>
      </x:c>
      <x:c r="F11" t="n">
        <x:v>0</x:v>
      </x:c>
    </x:row>
    <x:row r="12">
      <x:c r="A12" t="str">
        <x:v>PR-075</x:v>
      </x:c>
      <x:c r="B12" t="str">
        <x:v>PCB-MAIN</x:v>
      </x:c>
      <x:c r="C12" t="str">
        <x:v>C16 | C17</x:v>
      </x:c>
      <x:c r="D12" t="str">
        <x:v>GRM155R71E104KE14D</x:v>
      </x:c>
      <x:c r="E12" t="str">
        <x:v>DNP</x:v>
      </x:c>
      <x:c r="F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9b3bcf7bf54457"/>
  </x:tableParts>
</x:worksheet>
</file>