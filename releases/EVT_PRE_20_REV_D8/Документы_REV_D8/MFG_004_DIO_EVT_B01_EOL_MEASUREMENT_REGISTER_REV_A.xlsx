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f30deafa3e41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7d54b8439f4b15"/>
    <x:sheet xmlns:r="http://schemas.openxmlformats.org/officeDocument/2006/relationships" name="Contacts" sheetId="2" r:id="Rd1ade1d5a11445c9"/>
    <x:sheet xmlns:r="http://schemas.openxmlformats.org/officeDocument/2006/relationships" name="Measurements" sheetId="3" r:id="Rd9406f84a60b4ffb"/>
    <x:sheet xmlns:r="http://schemas.openxmlformats.org/officeDocument/2006/relationships" name="MSA" sheetId="4" r:id="R2cacbae5d3e1496c"/>
    <x:sheet xmlns:r="http://schemas.openxmlformats.org/officeDocument/2006/relationships" name="Evidence" sheetId="5" r:id="R9546fb1f588448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sz val="12"/>
      <x:color rgb="FF000000"/>
      <x:name val="Times New Roman"/>
    </x:font>
    <x:font>
      <x:b/>
      <x:sz val="14"/>
      <x:color rgb="FF000000"/>
      <x:name val="Times New Roman"/>
    </x:font>
    <x:font>
      <x:b/>
      <x:sz val="12"/>
      <x:color rgb="FFFFFFFF"/>
      <x:name val="Times New Roman"/>
    </x:font>
    <x:font>
      <x:b/>
      <x:sz val="12"/>
      <x:color rgb="FF000000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n">
        <x:color rgb="FF1F4E78"/>
      </x:bottom>
      <x:diagonal/>
    </x:border>
    <x:border>
      <x:left style="thin">
        <x:color rgb="FFB4C7E7"/>
      </x:left>
      <x:right/>
      <x:top style="thin">
        <x:color rgb="FFB4C7E7"/>
      </x:top>
      <x:bottom/>
      <x:diagonal/>
    </x:border>
    <x:border>
      <x:left/>
      <x:right style="thin">
        <x:color rgb="FFB4C7E7"/>
      </x:right>
      <x:top style="thin">
        <x:color rgb="FFB4C7E7"/>
      </x:top>
      <x:bottom/>
      <x:diagonal/>
    </x:border>
    <x:border>
      <x:left style="thin">
        <x:color rgb="FFB4C7E7"/>
      </x:left>
      <x:right/>
      <x:top/>
      <x:bottom/>
      <x:diagonal/>
    </x:border>
    <x:border>
      <x:left/>
      <x:right style="thin">
        <x:color rgb="FFB4C7E7"/>
      </x:right>
      <x:top/>
      <x:bottom/>
      <x:diagonal/>
    </x:border>
    <x:border>
      <x:left style="thin">
        <x:color rgb="FFB4C7E7"/>
      </x:left>
      <x:right/>
      <x:top/>
      <x:bottom style="thin">
        <x:color rgb="FFB4C7E7"/>
      </x:bottom>
      <x:diagonal/>
    </x:border>
    <x:border>
      <x:left/>
      <x:right style="thin">
        <x:color rgb="FFB4C7E7"/>
      </x:right>
      <x:top/>
      <x:bottom style="thin">
        <x:color rgb="FFB4C7E7"/>
      </x:bottom>
      <x:diagonal/>
    </x:border>
    <x:border>
      <x:left/>
      <x:right/>
      <x:top style="thin">
        <x:color rgb="FFB4C7E7"/>
      </x:top>
      <x:bottom/>
      <x:diagonal/>
    </x:border>
    <x:border>
      <x:left/>
      <x:right/>
      <x:top/>
      <x:bottom style="thin">
        <x:color rgb="FFB4C7E7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3" fillId="2" borderId="8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041099967c48f5" /><Relationship Type="http://schemas.openxmlformats.org/officeDocument/2006/relationships/theme" Target="/xl/theme/theme1.xml" Id="R50d78da9d5694313" /><Relationship Type="http://schemas.openxmlformats.org/officeDocument/2006/relationships/sharedStrings" Target="/xl/sharedStrings.xml" Id="Rb1b3b3a29f084497" /><Relationship Type="http://schemas.openxmlformats.org/officeDocument/2006/relationships/worksheet" Target="/xl/worksheets/sheet1.xml" Id="R9b7d54b8439f4b15" /><Relationship Type="http://schemas.openxmlformats.org/officeDocument/2006/relationships/worksheet" Target="/xl/worksheets/sheet2.xml" Id="Rd1ade1d5a11445c9" /><Relationship Type="http://schemas.openxmlformats.org/officeDocument/2006/relationships/worksheet" Target="/xl/worksheets/sheet3.xml" Id="Rd9406f84a60b4ffb" /><Relationship Type="http://schemas.openxmlformats.org/officeDocument/2006/relationships/worksheet" Target="/xl/worksheets/sheet4.xml" Id="R2cacbae5d3e1496c" /><Relationship Type="http://schemas.openxmlformats.org/officeDocument/2006/relationships/worksheet" Target="/xl/worksheets/sheet5.xml" Id="R9546fb1f588448eb" /></Relationships>
</file>

<file path=xl/tables/table1.xml><?xml version="1.0" encoding="utf-8"?>
<x:table xmlns:x="http://schemas.openxmlformats.org/spreadsheetml/2006/main" id="1" name="MFG004Contacts" displayName="MFG004Contacts" ref="A4:N35" headerRowCount="1" totalsRowCount="0" totalsRowShown="0">
  <x:tableColumns count="14">
    <x:tableColumn id="1" name="Group"/>
    <x:tableColumn id="2" name="Contact"/>
    <x:tableColumn id="3" name="X board"/>
    <x:tableColumn id="4" name="Y board"/>
    <x:tableColumn id="5" name="X fixture"/>
    <x:tableColumn id="6" name="Y fixture"/>
    <x:tableColumn id="7" name="Pad"/>
    <x:tableColumn id="8" name="Pitch"/>
    <x:tableColumn id="9" name="Pin name"/>
    <x:tableColumn id="10" name="DUT direction"/>
    <x:tableColumn id="11" name="Net"/>
    <x:tableColumn id="12" name="Required network"/>
    <x:tableColumn id="13" name="Safety class"/>
    <x:tableColumn id="14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01EOLMeasurements" displayName="B01EOLMeasurements" ref="A4:AA46" headerRowCount="1" totalsRowCount="0" totalsRowShown="0">
  <x:tableColumns count="27">
    <x:tableColumn id="1" name="Order"/>
    <x:tableColumn id="2" name="Test ID"/>
    <x:tableColumn id="3" name="Phase"/>
    <x:tableColumn id="4" name="Fixture group"/>
    <x:tableColumn id="5" name="Contacts"/>
    <x:tableColumn id="6" name="Action RU"/>
    <x:tableColumn id="7" name="Action EN"/>
    <x:tableColumn id="8" name="Metric"/>
    <x:tableColumn id="9" name="Unit"/>
    <x:tableColumn id="10" name="Engineering target"/>
    <x:tableColumn id="11" name="Limit state"/>
    <x:tableColumn id="12" name="Approved lower"/>
    <x:tableColumn id="13" name="Approved upper"/>
    <x:tableColumn id="14" name="Approved discrete"/>
    <x:tableColumn id="15" name="Actual numeric"/>
    <x:tableColumn id="16" name="Actual text"/>
    <x:tableColumn id="17" name="Instrument ID"/>
    <x:tableColumn id="18" name="Calibration due"/>
    <x:tableColumn id="19" name="Evidence path"/>
    <x:tableColumn id="20" name="Evidence SHA-256"/>
    <x:tableColumn id="21" name="Operator"/>
    <x:tableColumn id="22" name="Reviewer"/>
    <x:tableColumn id="23" name="UTC"/>
    <x:tableColumn id="24" name="Status"/>
    <x:tableColumn id="25" name="NCR/deviation"/>
    <x:tableColumn id="26" name="Notes"/>
    <x:tableColumn id="27" name="Row g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FG004MSA" displayName="MFG004MSA" ref="A4:J12" headerRowCount="1" totalsRowCount="0" totalsRowShown="0">
  <x:tableColumns count="10">
    <x:tableColumn id="1" name="ID"/>
    <x:tableColumn id="2" name="Action"/>
    <x:tableColumn id="3" name="Acceptance"/>
    <x:tableColumn id="4" name="Actual result"/>
    <x:tableColumn id="5" name="Status"/>
    <x:tableColumn id="6" name="Evidence path"/>
    <x:tableColumn id="7" name="SHA-256"/>
    <x:tableColumn id="8" name="Operator"/>
    <x:tableColumn id="9" name="Reviewer"/>
    <x:tableColumn id="10" name="UTC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01EvidenceStructure" displayName="B01EvidenceStructure" ref="A4:F14" headerRowCount="1" totalsRowCount="0" totalsRowShown="0">
  <x:tableColumns count="6">
    <x:tableColumn id="1" name="Folder"/>
    <x:tableColumn id="2" name="Contents RU"/>
    <x:tableColumn id="3" name="Contents EN"/>
    <x:tableColumn id="4" name="Required"/>
    <x:tableColumn id="5" name="Path"/>
    <x:tableColumn id="6" name="SHA-256 manife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81a8c29bde46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5142f581d247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61787dc5514a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9c36c41a8d44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72" hidden="0" customWidth="1"/>
    <x:col min="3" max="3" width="4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>
      <x:c r="A2" s="3" t="str">
        <x:v>DIO-EVT-B01 и EOL оснастка MFG-004 / Measurement register</x:v>
      </x:c>
      <x:c r="B2" s="3"/>
      <x:c r="C2" s="3"/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>
      <x:c r="A3" s="4"/>
      <x:c r="B3" s="4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</x:row>
    <x:row r="5" ht="15" hidden="0" customHeight="1">
      <x:c r="A5" s="12" t="str">
        <x:v>Параметр / Field</x:v>
      </x:c>
      <x:c r="B5" s="13" t="str">
        <x:v>Значение / Value</x:v>
      </x:c>
      <x:c r="C5" s="2"/>
      <x:c r="D5" s="12" t="str">
        <x:v>Правило / Rule</x:v>
      </x:c>
      <x:c r="E5" s="19" t="str">
        <x:v>Описание / Description</x:v>
      </x:c>
      <x:c r="F5" s="19"/>
      <x:c r="G5" s="19"/>
      <x:c r="H5" s="13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</x:row>
    <x:row r="6" ht="15" hidden="0" customHeight="1">
      <x:c r="A6" s="14" t="str">
        <x:v>Программа / Program</x:v>
      </x:c>
      <x:c r="B6" s="15" t="str">
        <x:v>MFG_004_DIO_EVT_B01_EOL_PROGRAM_REV_A</x:v>
      </x:c>
      <x:c r="C6" s="2"/>
      <x:c r="D6" s="14" t="str">
        <x:v>NOT_RUN</x:v>
      </x:c>
      <x:c r="E6" s="9" t="str">
        <x:v>Строка не выполнялась.</x:v>
      </x:c>
      <x:c r="F6" s="9"/>
      <x:c r="G6" s="9"/>
      <x:c r="H6" s="15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</x:row>
    <x:row r="7" ht="15" hidden="0" customHeight="1">
      <x:c r="A7" s="14" t="str">
        <x:v>Статус исходного файла / Initial status</x:v>
      </x:c>
      <x:c r="B7" s="15" t="str">
        <x:v>READY_FOR_FIXTURE_BUILD_AND_B01_EXECUTION_RESULTS_NOT_RUN</x:v>
      </x:c>
      <x:c r="C7" s="2"/>
      <x:c r="D7" s="14" t="str">
        <x:v>MEASURED</x:v>
      </x:c>
      <x:c r="E7" s="9" t="str">
        <x:v>Значение получено, приемочный предел еще не утвержден.</x:v>
      </x:c>
      <x:c r="F7" s="9"/>
      <x:c r="G7" s="9"/>
      <x:c r="H7" s="15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</x:row>
    <x:row r="8" ht="15" hidden="0" customHeight="1">
      <x:c r="A8" s="14" t="str">
        <x:v>Оснастка / Fixture</x:v>
      </x:c>
      <x:c r="B8" s="15" t="str">
        <x:v>MFG-004</x:v>
      </x:c>
      <x:c r="C8" s="2"/>
      <x:c r="D8" s="14" t="str">
        <x:v>PASS</x:v>
      </x:c>
      <x:c r="E8" s="9" t="str">
        <x:v>Предел утвержден, результат соответствует, evidence и подписи полны.</x:v>
      </x:c>
      <x:c r="F8" s="9"/>
      <x:c r="G8" s="9"/>
      <x:c r="H8" s="15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</x:row>
    <x:row r="9" ht="15" hidden="0" customHeight="1">
      <x:c r="A9" s="14" t="str">
        <x:v>Контактов pogo / Pogo contacts</x:v>
      </x:c>
      <x:c r="B9" s="15" t="n">
        <x:v>31</x:v>
      </x:c>
      <x:c r="C9" s="2"/>
      <x:c r="D9" s="14" t="str">
        <x:v>FAIL</x:v>
      </x:c>
      <x:c r="E9" s="9" t="str">
        <x:v>Результат вне утвержденного предела или функция отказала.</x:v>
      </x:c>
      <x:c r="F9" s="9"/>
      <x:c r="G9" s="9"/>
      <x:c r="H9" s="15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</x:row>
    <x:row r="10" ht="15" hidden="0" customHeight="1">
      <x:c r="A10" s="14" t="str">
        <x:v>Изделие / Unit</x:v>
      </x:c>
      <x:c r="B10" s="15" t="str">
        <x:v>DIO-EVT-B01</x:v>
      </x:c>
      <x:c r="C10" s="2"/>
      <x:c r="D10" s="14" t="str">
        <x:v>HOLD</x:v>
      </x:c>
      <x:c r="E10" s="9" t="str">
        <x:v>Нет предела, калибровки, evidence или однозначного решения.</x:v>
      </x:c>
      <x:c r="F10" s="9"/>
      <x:c r="G10" s="9"/>
      <x:c r="H10" s="15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</x:row>
    <x:row r="11" ht="15" hidden="0" customHeight="1">
      <x:c r="A11" s="14" t="str">
        <x:v>Station ID</x:v>
      </x:c>
      <x:c r="B11" s="15" t="n">
        <x:v>901</x:v>
      </x:c>
      <x:c r="C11" s="2"/>
      <x:c r="D11" s="14" t="str">
        <x:v>Open limit</x:v>
      </x:c>
      <x:c r="E11" s="9" t="str">
        <x:v>OPEN_B01_FREEZE и PARTIAL не допускают общий PASS.</x:v>
      </x:c>
      <x:c r="F11" s="9"/>
      <x:c r="G11" s="9"/>
      <x:c r="H11" s="15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</x:row>
    <x:row r="12" ht="15" hidden="0" customHeight="1">
      <x:c r="A12" s="14" t="str">
        <x:v>Tenant</x:v>
      </x:c>
      <x:c r="B12" s="15" t="str">
        <x:v>bench</x:v>
      </x:c>
      <x:c r="C12" s="2"/>
      <x:c r="D12" s="14" t="str">
        <x:v>Reviewer</x:v>
      </x:c>
      <x:c r="E12" s="9" t="str">
        <x:v>Оператор и контролер должны быть разными лицами.</x:v>
      </x:c>
      <x:c r="F12" s="9"/>
      <x:c r="G12" s="9"/>
      <x:c r="H12" s="15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</x:row>
    <x:row r="13" ht="15" hidden="0" customHeight="1">
      <x:c r="A13" s="16" t="str">
        <x:v>Release ID</x:v>
      </x:c>
      <x:c r="B13" s="17" t="str">
        <x:v>EVT_PRE_20_RELEASE_CANDIDATE_2026101601</x:v>
      </x:c>
      <x:c r="C13" s="2"/>
      <x:c r="D13" s="14" t="str">
        <x:v>Secrets</x:v>
      </x:c>
      <x:c r="E13" s="9" t="str">
        <x:v>Закрытые ключи, pairing secret, IMSI и пароли не прикладывают.</x:v>
      </x:c>
      <x:c r="F13" s="9"/>
      <x:c r="G13" s="9"/>
      <x:c r="H13" s="15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</x:row>
    <x:row r="14" ht="15" hidden="0" customHeight="1">
      <x:c r="A14" s="2"/>
      <x:c r="B14" s="2"/>
      <x:c r="C14" s="2"/>
      <x:c r="D14" s="16" t="str">
        <x:v>Lock</x:v>
      </x:c>
      <x:c r="E14" s="20" t="str">
        <x:v>Общий PASS не включает блокировку прошивки автоматически.</x:v>
      </x:c>
      <x:c r="F14" s="20"/>
      <x:c r="G14" s="20"/>
      <x:c r="H14" s="17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</x:row>
    <x:row r="15" ht="15" hidden="0" customHeight="1">
      <x:c r="A15" s="12" t="str">
        <x:v>Ворота / Gate</x:v>
      </x:c>
      <x:c r="B15" s="13" t="str">
        <x:v>Состояние / State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</x:row>
    <x:row r="16" ht="15" hidden="0" customHeight="1">
      <x:c r="A16" s="14" t="str">
        <x:v>Строки программы / Program rows</x:v>
      </x:c>
      <x:c r="B16" s="15" t="n">
        <x:v>42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</x:row>
    <x:row r="17" ht="15" hidden="0" customHeight="1">
      <x:c r="A17" s="14" t="str">
        <x:v>PASS строк / PASS rows</x:v>
      </x:c>
      <x:c r="B17" s="15" t="n">
        <x:f>COUNTIF('Measurements'!$X$5:$X$46,"PASS")</x:f>
        <x:v>0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</x:row>
    <x:row r="18" ht="15" hidden="0" customHeight="1">
      <x:c r="A18" s="14" t="str">
        <x:v>FAIL строк / FAIL rows</x:v>
      </x:c>
      <x:c r="B18" s="15" t="n">
        <x:f>COUNTIF('Measurements'!$X$5:$X$46,"FAIL")</x:f>
        <x:v>0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</x:row>
    <x:row r="19" ht="15" hidden="0" customHeight="1">
      <x:c r="A19" s="14" t="str">
        <x:v>HOLD строк / HOLD rows</x:v>
      </x:c>
      <x:c r="B19" s="15" t="n">
        <x:f>COUNTIF('Measurements'!$X$5:$X$46,"HOLD")</x:f>
        <x:v>0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</x:row>
    <x:row r="20" ht="15" hidden="0" customHeight="1">
      <x:c r="A20" s="14" t="str">
        <x:v>Открытые критерии / OPEN criteria (не число станций / not station count)</x:v>
      </x:c>
      <x:c r="B20" s="15" t="n">
        <x:v>21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</x:row>
    <x:row r="21" ht="15" hidden="0" customHeight="1">
      <x:c r="A21" s="14" t="str">
        <x:v>Готовых строк / Ready rows</x:v>
      </x:c>
      <x:c r="B21" s="15" t="n">
        <x:f>COUNTIF('Measurements'!$AA$5:$AA$46,"READY")</x:f>
        <x:v>0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</x:row>
    <x:row r="22" ht="15" hidden="0" customHeight="1">
      <x:c r="A22" s="14" t="str">
        <x:v>MSA PASS</x:v>
      </x:c>
      <x:c r="B22" s="15" t="n">
        <x:f>COUNTIF('MSA'!$E$5:$E$12,"PASS")</x:f>
        <x:v>0</x:v>
      </x:c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</x:row>
    <x:row r="23" ht="15" hidden="0" customHeight="1">
      <x:c r="A23" s="14" t="str">
        <x:v>Полная регрессия / Full regression</x:v>
      </x:c>
      <x:c r="B23" s="18" t="str">
        <x:v>NOT_RUN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</x:row>
    <x:row r="24" ht="15" hidden="0" customHeight="1">
      <x:c r="A24" s="14" t="str">
        <x:v>Ответственный за выпуск / Release approver</x:v>
      </x:c>
      <x:c r="B24" s="18" t="str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</x:row>
    <x:row r="25" ht="15" hidden="0" customHeight="1">
      <x:c r="A25" s="14" t="str">
        <x:v>Контролер качества / Quality reviewer</x:v>
      </x:c>
      <x:c r="B25" s="18" t="str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</x:row>
    <x:row r="26" ht="15" hidden="0" customHeight="1">
      <x:c r="A26" s="16" t="str">
        <x:v>Общий результат / Overall</x:v>
      </x:c>
      <x:c r="B26" s="17" t="str">
        <x:f>IF(B18&gt;0,"FAIL",IF(AND(B21=B16,B22=8,B23="PASS",B24&lt;&gt;"",B25&lt;&gt;"",B24&lt;&gt;B25),"PASS",IF(COUNTIF('Measurements'!$X$5:$X$46,"NOT_RUN")=B16,"NOT_RUN","HOLD")))</x:f>
        <x:v>NOT_RUN</x:v>
      </x:c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</x:row>
  </x:sheetData>
  <x:mergeCells>
    <x:mergeCell ref="A2:H2"/>
    <x:mergeCell ref="E5:H5"/>
    <x:mergeCell ref="E6:H6"/>
    <x:mergeCell ref="E7:H7"/>
    <x:mergeCell ref="E8:H8"/>
    <x:mergeCell ref="E9:H9"/>
    <x:mergeCell ref="E10:H10"/>
    <x:mergeCell ref="E11:H11"/>
    <x:mergeCell ref="E12:H12"/>
    <x:mergeCell ref="E13:H13"/>
    <x:mergeCell ref="E14:H14"/>
  </x:mergeCells>
  <x:conditionalFormatting sqref="B26:B26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HOLD"/>
  </x:conditionalFormatting>
  <x:dataValidations count="1">
    <x:dataValidation type="list" sqref="B23">
      <x:formula1>"NOT_RUN,MEASURED,PASS,FAIL,HOLD"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8" hidden="0" customWidth="1"/>
    <x:col min="8" max="8" width="10" hidden="0" customWidth="1"/>
    <x:col min="9" max="9" width="22" hidden="0" customWidth="1"/>
    <x:col min="10" max="10" width="20" hidden="0" customWidth="1"/>
    <x:col min="11" max="11" width="24" hidden="0" customWidth="1"/>
    <x:col min="12" max="12" width="54" hidden="0" customWidth="1"/>
    <x:col min="13" max="13" width="38" hidden="0" customWidth="1"/>
    <x:col min="14" max="14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>
      <x:c r="A2" s="3" t="str">
        <x:v>Контакты EOL оснастки / EOL fixture contacts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 ht="15" hidden="0" customHeight="1">
      <x:c r="A4" s="22" t="str">
        <x:v>Group</x:v>
      </x:c>
      <x:c r="B4" s="22" t="str">
        <x:v>Contact</x:v>
      </x:c>
      <x:c r="C4" s="22" t="str">
        <x:v>X board</x:v>
      </x:c>
      <x:c r="D4" s="22" t="str">
        <x:v>Y board</x:v>
      </x:c>
      <x:c r="E4" s="22" t="str">
        <x:v>X fixture</x:v>
      </x:c>
      <x:c r="F4" s="22" t="str">
        <x:v>Y fixture</x:v>
      </x:c>
      <x:c r="G4" s="22" t="str">
        <x:v>Pad</x:v>
      </x:c>
      <x:c r="H4" s="22" t="str">
        <x:v>Pitch</x:v>
      </x:c>
      <x:c r="I4" s="22" t="str">
        <x:v>Pin name</x:v>
      </x:c>
      <x:c r="J4" s="22" t="str">
        <x:v>DUT direction</x:v>
      </x:c>
      <x:c r="K4" s="22" t="str">
        <x:v>Net</x:v>
      </x:c>
      <x:c r="L4" s="22" t="str">
        <x:v>Required network</x:v>
      </x:c>
      <x:c r="M4" s="22" t="str">
        <x:v>Safety class</x:v>
      </x:c>
      <x:c r="N4" s="22" t="str">
        <x:v>Status</x:v>
      </x:c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</x:row>
    <x:row r="5" ht="28.799999237060547" hidden="0" customHeight="1">
      <x:c r="A5" s="9" t="str">
        <x:v>TP_BLE_SWD</x:v>
      </x:c>
      <x:c r="B5" s="9" t="n">
        <x:v>1</x:v>
      </x:c>
      <x:c r="C5" s="24" t="n">
        <x:v>84</x:v>
      </x:c>
      <x:c r="D5" s="24" t="n">
        <x:v>23</x:v>
      </x:c>
      <x:c r="E5" s="24" t="n">
        <x:v>26</x:v>
      </x:c>
      <x:c r="F5" s="24" t="n">
        <x:v>23</x:v>
      </x:c>
      <x:c r="G5" s="9" t="str">
        <x:v>CIRCLE_D1.7</x:v>
      </x:c>
      <x:c r="H5" s="24" t="n">
        <x:v>2.54</x:v>
      </x:c>
      <x:c r="I5" s="9" t="str">
        <x:v>VTREF</x:v>
      </x:c>
      <x:c r="J5" s="9" t="str">
        <x:v>POWER_SENSE</x:v>
      </x:c>
      <x:c r="K5" s="9" t="str">
        <x:v>3V3_DIGITAL</x:v>
      </x:c>
      <x:c r="L5" s="9" t="str">
        <x:v>High-impedance debugger voltage-reference sense from the U11 rail; never source station power through this contact</x:v>
      </x:c>
      <x:c r="M5" s="9" t="str">
        <x:v>SENSE_ONLY_NEVER_SOURCE</x:v>
      </x:c>
      <x:c r="N5" s="9" t="str">
        <x:v>NOT_RUN</x:v>
      </x:c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</x:row>
    <x:row r="6" ht="28.799999237060547" hidden="0" customHeight="1">
      <x:c r="A6" s="9" t="str">
        <x:v>TP_BLE_SWD</x:v>
      </x:c>
      <x:c r="B6" s="9" t="n">
        <x:v>2</x:v>
      </x:c>
      <x:c r="C6" s="24" t="n">
        <x:v>86.54</x:v>
      </x:c>
      <x:c r="D6" s="24" t="n">
        <x:v>23</x:v>
      </x:c>
      <x:c r="E6" s="24" t="n">
        <x:v>23.46</x:v>
      </x:c>
      <x:c r="F6" s="24" t="n">
        <x:v>23</x:v>
      </x:c>
      <x:c r="G6" s="9" t="str">
        <x:v>CIRCLE_D1.7</x:v>
      </x:c>
      <x:c r="H6" s="24" t="n">
        <x:v>2.54</x:v>
      </x:c>
      <x:c r="I6" s="9" t="str">
        <x:v>SWDIO</x:v>
      </x:c>
      <x:c r="J6" s="9" t="str">
        <x:v>DEBUG_BIDIR</x:v>
      </x:c>
      <x:c r="K6" s="9" t="str">
        <x:v>NRF_SWDIO</x:v>
      </x:c>
      <x:c r="L6" s="9" t="str">
        <x:v>Direct short route to U11 pad 51; no shared contact or net with STM32 SWDIO</x:v>
      </x:c>
      <x:c r="M6" s="9" t="str">
        <x:v>HIGH_IMPEDANCE_UNTIL_DOMAIN_VALID</x:v>
      </x:c>
      <x:c r="N6" s="9" t="str">
        <x:v>NOT_RUN</x:v>
      </x:c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</x:row>
    <x:row r="7" ht="28.799999237060547" hidden="0" customHeight="1">
      <x:c r="A7" s="9" t="str">
        <x:v>TP_BLE_SWD</x:v>
      </x:c>
      <x:c r="B7" s="9" t="n">
        <x:v>3</x:v>
      </x:c>
      <x:c r="C7" s="24" t="n">
        <x:v>89.08</x:v>
      </x:c>
      <x:c r="D7" s="24" t="n">
        <x:v>23</x:v>
      </x:c>
      <x:c r="E7" s="24" t="n">
        <x:v>20.92</x:v>
      </x:c>
      <x:c r="F7" s="24" t="n">
        <x:v>23</x:v>
      </x:c>
      <x:c r="G7" s="9" t="str">
        <x:v>CIRCLE_D1.7</x:v>
      </x:c>
      <x:c r="H7" s="24" t="n">
        <x:v>2.54</x:v>
      </x:c>
      <x:c r="I7" s="9" t="str">
        <x:v>SWDCLK</x:v>
      </x:c>
      <x:c r="J7" s="9" t="str">
        <x:v>DEBUG_INPUT</x:v>
      </x:c>
      <x:c r="K7" s="9" t="str">
        <x:v>NRF_SWCLK</x:v>
      </x:c>
      <x:c r="L7" s="9" t="str">
        <x:v>Direct short route to U11 pad 53; no shared contact or net with STM32 SWCLK</x:v>
      </x:c>
      <x:c r="M7" s="9" t="str">
        <x:v>DRIVE_AFTER_VTREF_VALID</x:v>
      </x:c>
      <x:c r="N7" s="9" t="str">
        <x:v>NOT_RUN</x:v>
      </x:c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</x:row>
    <x:row r="8" ht="28.799999237060547" hidden="0" customHeight="1">
      <x:c r="A8" s="9" t="str">
        <x:v>TP_BLE_SWD</x:v>
      </x:c>
      <x:c r="B8" s="9" t="n">
        <x:v>4</x:v>
      </x:c>
      <x:c r="C8" s="24" t="n">
        <x:v>91.62</x:v>
      </x:c>
      <x:c r="D8" s="24" t="n">
        <x:v>23</x:v>
      </x:c>
      <x:c r="E8" s="24" t="n">
        <x:v>18.38</x:v>
      </x:c>
      <x:c r="F8" s="24" t="n">
        <x:v>23</x:v>
      </x:c>
      <x:c r="G8" s="9" t="str">
        <x:v>CIRCLE_D1.7</x:v>
      </x:c>
      <x:c r="H8" s="24" t="n">
        <x:v>2.54</x:v>
      </x:c>
      <x:c r="I8" s="9" t="str">
        <x:v>GND</x:v>
      </x:c>
      <x:c r="J8" s="9" t="str">
        <x:v>POWER</x:v>
      </x:c>
      <x:c r="K8" s="9" t="str">
        <x:v>GND</x:v>
      </x:c>
      <x:c r="L8" s="9" t="str">
        <x:v>Direct short ground reference adjacent to SWDIO and SWDCLK fixture contacts</x:v>
      </x:c>
      <x:c r="M8" s="9" t="str">
        <x:v>GROUND_FIRST</x:v>
      </x:c>
      <x:c r="N8" s="9" t="str">
        <x:v>NOT_RUN</x:v>
      </x:c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</x:row>
    <x:row r="9" ht="28.799999237060547" hidden="0" customHeight="1">
      <x:c r="A9" s="9" t="str">
        <x:v>TP_CELL_DBG</x:v>
      </x:c>
      <x:c r="B9" s="9" t="n">
        <x:v>1</x:v>
      </x:c>
      <x:c r="C9" s="24" t="n">
        <x:v>47</x:v>
      </x:c>
      <x:c r="D9" s="24" t="n">
        <x:v>30</x:v>
      </x:c>
      <x:c r="E9" s="24" t="n">
        <x:v>63</x:v>
      </x:c>
      <x:c r="F9" s="24" t="n">
        <x:v>30</x:v>
      </x:c>
      <x:c r="G9" s="9" t="str">
        <x:v>CIRCLE_D1.7</x:v>
      </x:c>
      <x:c r="H9" s="24" t="n">
        <x:v>2.54</x:v>
      </x:c>
      <x:c r="I9" s="9" t="str">
        <x:v>VREF_1V8</x:v>
      </x:c>
      <x:c r="J9" s="9" t="str">
        <x:v>SENSE</x:v>
      </x:c>
      <x:c r="K9" s="9" t="str">
        <x:v>U8_VDD_EXT_1V8</x:v>
      </x:c>
      <x:c r="L9" s="9" t="str">
        <x:v>High-impedance sense only from U8 pad 29; fixture must never source VDD_EXT</x:v>
      </x:c>
      <x:c r="M9" s="9" t="str">
        <x:v>SENSE_ONLY_NEVER_SOURCE</x:v>
      </x:c>
      <x:c r="N9" s="9" t="str">
        <x:v>NOT_RUN</x:v>
      </x:c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</x:row>
    <x:row r="10" ht="28.799999237060547" hidden="0" customHeight="1">
      <x:c r="A10" s="9" t="str">
        <x:v>TP_CELL_DBG</x:v>
      </x:c>
      <x:c r="B10" s="9" t="n">
        <x:v>2</x:v>
      </x:c>
      <x:c r="C10" s="24" t="n">
        <x:v>49.54</x:v>
      </x:c>
      <x:c r="D10" s="24" t="n">
        <x:v>30</x:v>
      </x:c>
      <x:c r="E10" s="24" t="n">
        <x:v>60.46</x:v>
      </x:c>
      <x:c r="F10" s="24" t="n">
        <x:v>30</x:v>
      </x:c>
      <x:c r="G10" s="9" t="str">
        <x:v>CIRCLE_D1.7</x:v>
      </x:c>
      <x:c r="H10" s="24" t="n">
        <x:v>2.54</x:v>
      </x:c>
      <x:c r="I10" s="9" t="str">
        <x:v>DUT_TX</x:v>
      </x:c>
      <x:c r="J10" s="9" t="str">
        <x:v>OUTPUT</x:v>
      </x:c>
      <x:c r="K10" s="9" t="str">
        <x:v>CELL_DBG_TXD_1V8</x:v>
      </x:c>
      <x:c r="L10" s="9" t="str">
        <x:v>Direct from U8 pad 23 to 1.8 V tolerant fixture input; exact protection remains MAIN-AUTH-010</x:v>
      </x:c>
      <x:c r="M10" s="9" t="str">
        <x:v>HIGH_IMPEDANCE_UNTIL_DOMAIN_VALID</x:v>
      </x:c>
      <x:c r="N10" s="9" t="str">
        <x:v>NOT_RUN</x:v>
      </x:c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</x:row>
    <x:row r="11" ht="28.799999237060547" hidden="0" customHeight="1">
      <x:c r="A11" s="9" t="str">
        <x:v>TP_CELL_DBG</x:v>
      </x:c>
      <x:c r="B11" s="9" t="n">
        <x:v>3</x:v>
      </x:c>
      <x:c r="C11" s="24" t="n">
        <x:v>52.08</x:v>
      </x:c>
      <x:c r="D11" s="24" t="n">
        <x:v>30</x:v>
      </x:c>
      <x:c r="E11" s="24" t="n">
        <x:v>57.92</x:v>
      </x:c>
      <x:c r="F11" s="24" t="n">
        <x:v>30</x:v>
      </x:c>
      <x:c r="G11" s="9" t="str">
        <x:v>CIRCLE_D1.7</x:v>
      </x:c>
      <x:c r="H11" s="24" t="n">
        <x:v>2.54</x:v>
      </x:c>
      <x:c r="I11" s="9" t="str">
        <x:v>DUT_RX</x:v>
      </x:c>
      <x:c r="J11" s="9" t="str">
        <x:v>INPUT</x:v>
      </x:c>
      <x:c r="K11" s="9" t="str">
        <x:v>CELL_DBG_RXD_1V8</x:v>
      </x:c>
      <x:c r="L11" s="9" t="str">
        <x:v>1.8 V fixture output to U8 pad 22; fixture high impedance until VREF_1V8 is valid</x:v>
      </x:c>
      <x:c r="M11" s="9" t="str">
        <x:v>DRIVE_AFTER_VTREF_VALID</x:v>
      </x:c>
      <x:c r="N11" s="9" t="str">
        <x:v>NOT_RUN</x:v>
      </x:c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</x:row>
    <x:row r="12" ht="43.20000076293945" hidden="0" customHeight="1">
      <x:c r="A12" s="9" t="str">
        <x:v>TP_CELL_DBG</x:v>
      </x:c>
      <x:c r="B12" s="9" t="n">
        <x:v>4</x:v>
      </x:c>
      <x:c r="C12" s="24" t="n">
        <x:v>54.62</x:v>
      </x:c>
      <x:c r="D12" s="24" t="n">
        <x:v>30</x:v>
      </x:c>
      <x:c r="E12" s="24" t="n">
        <x:v>55.38</x:v>
      </x:c>
      <x:c r="F12" s="24" t="n">
        <x:v>30</x:v>
      </x:c>
      <x:c r="G12" s="9" t="str">
        <x:v>CIRCLE_D1.7</x:v>
      </x:c>
      <x:c r="H12" s="24" t="n">
        <x:v>2.54</x:v>
      </x:c>
      <x:c r="I12" s="9" t="str">
        <x:v>USB_BOOT</x:v>
      </x:c>
      <x:c r="J12" s="9" t="str">
        <x:v>INPUT</x:v>
      </x:c>
      <x:c r="K12" s="9" t="str">
        <x:v>CELL_USB_BOOT_1V8</x:v>
      </x:c>
      <x:c r="L12" s="9" t="str">
        <x:v>Normally held LOW by board network; fixture may apply a current-limited 1.8 V HIGH only for the documented USB recovery power-on sequence and is high impedance otherwise</x:v>
      </x:c>
      <x:c r="M12" s="9" t="str">
        <x:v>CURRENT_LIMITED_1V8_RECOVERY_ONLY</x:v>
      </x:c>
      <x:c r="N12" s="9" t="str">
        <x:v>NOT_RUN</x:v>
      </x:c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</x:row>
    <x:row r="13" ht="15" hidden="0" customHeight="1">
      <x:c r="A13" s="9" t="str">
        <x:v>TP_CELL_DBG</x:v>
      </x:c>
      <x:c r="B13" s="9" t="n">
        <x:v>5</x:v>
      </x:c>
      <x:c r="C13" s="24" t="n">
        <x:v>57.16</x:v>
      </x:c>
      <x:c r="D13" s="24" t="n">
        <x:v>30</x:v>
      </x:c>
      <x:c r="E13" s="24" t="n">
        <x:v>52.84</x:v>
      </x:c>
      <x:c r="F13" s="24" t="n">
        <x:v>30</x:v>
      </x:c>
      <x:c r="G13" s="9" t="str">
        <x:v>CIRCLE_D1.7</x:v>
      </x:c>
      <x:c r="H13" s="24" t="n">
        <x:v>2.54</x:v>
      </x:c>
      <x:c r="I13" s="9" t="str">
        <x:v>GND</x:v>
      </x:c>
      <x:c r="J13" s="9" t="str">
        <x:v>POWER</x:v>
      </x:c>
      <x:c r="K13" s="9" t="str">
        <x:v>GND_MODEM</x:v>
      </x:c>
      <x:c r="L13" s="9" t="str">
        <x:v>Dedicated modem ground reference</x:v>
      </x:c>
      <x:c r="M13" s="9" t="str">
        <x:v>GROUND_FIRST</x:v>
      </x:c>
      <x:c r="N13" s="9" t="str">
        <x:v>NOT_RUN</x:v>
      </x:c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</x:row>
    <x:row r="14" ht="43.20000076293945" hidden="0" customHeight="1">
      <x:c r="A14" s="9" t="str">
        <x:v>TP_CELL_USB</x:v>
      </x:c>
      <x:c r="B14" s="9" t="n">
        <x:v>1</x:v>
      </x:c>
      <x:c r="C14" s="24" t="n">
        <x:v>33</x:v>
      </x:c>
      <x:c r="D14" s="24" t="n">
        <x:v>30</x:v>
      </x:c>
      <x:c r="E14" s="24" t="n">
        <x:v>77</x:v>
      </x:c>
      <x:c r="F14" s="24" t="n">
        <x:v>30</x:v>
      </x:c>
      <x:c r="G14" s="9" t="str">
        <x:v>CIRCLE_D1.7</x:v>
      </x:c>
      <x:c r="H14" s="24" t="n">
        <x:v>2.54</x:v>
      </x:c>
      <x:c r="I14" s="9" t="str">
        <x:v>HOST_VBUS</x:v>
      </x:c>
      <x:c r="J14" s="9" t="str">
        <x:v>POWER_IN</x:v>
      </x:c>
      <x:c r="K14" s="9" t="str">
        <x:v>CELL_USB_VBUS</x:v>
      </x:c>
      <x:c r="L14" s="9" t="str">
        <x:v>Fixture-controlled USB VBUS to U8 pad 8 only; never join J11 USB_VBUS_CONN or any station rail; exact protection remains MAIN-AUTH-010</x:v>
      </x:c>
      <x:c r="M14" s="9" t="str">
        <x:v>ONLY_CONTROLLED_CURRENT_LIMITED_SOURCE</x:v>
      </x:c>
      <x:c r="N14" s="9" t="str">
        <x:v>NOT_RUN</x:v>
      </x:c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</x:row>
    <x:row r="15" ht="28.799999237060547" hidden="0" customHeight="1">
      <x:c r="A15" s="9" t="str">
        <x:v>TP_CELL_USB</x:v>
      </x:c>
      <x:c r="B15" s="9" t="n">
        <x:v>2</x:v>
      </x:c>
      <x:c r="C15" s="24" t="n">
        <x:v>35.54</x:v>
      </x:c>
      <x:c r="D15" s="24" t="n">
        <x:v>30</x:v>
      </x:c>
      <x:c r="E15" s="24" t="n">
        <x:v>74.46</x:v>
      </x:c>
      <x:c r="F15" s="24" t="n">
        <x:v>30</x:v>
      </x:c>
      <x:c r="G15" s="9" t="str">
        <x:v>CIRCLE_D1.7</x:v>
      </x:c>
      <x:c r="H15" s="24" t="n">
        <x:v>2.54</x:v>
      </x:c>
      <x:c r="I15" s="9" t="str">
        <x:v>USB_DP</x:v>
      </x:c>
      <x:c r="J15" s="9" t="str">
        <x:v>BIDIR</x:v>
      </x:c>
      <x:c r="K15" s="9" t="str">
        <x:v>CELL_USB_DP</x:v>
      </x:c>
      <x:c r="L15" s="9" t="str">
        <x:v>90 Ohm differential fixture pair to U8 pad 9; never join J11 USB_DP</x:v>
      </x:c>
      <x:c r="M15" s="9" t="str">
        <x:v>HIGH_IMPEDANCE_UNTIL_DOMAIN_VALID</x:v>
      </x:c>
      <x:c r="N15" s="9" t="str">
        <x:v>NOT_RUN</x:v>
      </x:c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</x:row>
    <x:row r="16" ht="28.799999237060547" hidden="0" customHeight="1">
      <x:c r="A16" s="9" t="str">
        <x:v>TP_CELL_USB</x:v>
      </x:c>
      <x:c r="B16" s="9" t="n">
        <x:v>3</x:v>
      </x:c>
      <x:c r="C16" s="24" t="n">
        <x:v>38.08</x:v>
      </x:c>
      <x:c r="D16" s="24" t="n">
        <x:v>30</x:v>
      </x:c>
      <x:c r="E16" s="24" t="n">
        <x:v>71.92</x:v>
      </x:c>
      <x:c r="F16" s="24" t="n">
        <x:v>30</x:v>
      </x:c>
      <x:c r="G16" s="9" t="str">
        <x:v>CIRCLE_D1.7</x:v>
      </x:c>
      <x:c r="H16" s="24" t="n">
        <x:v>2.54</x:v>
      </x:c>
      <x:c r="I16" s="9" t="str">
        <x:v>USB_DM</x:v>
      </x:c>
      <x:c r="J16" s="9" t="str">
        <x:v>BIDIR</x:v>
      </x:c>
      <x:c r="K16" s="9" t="str">
        <x:v>CELL_USB_DM</x:v>
      </x:c>
      <x:c r="L16" s="9" t="str">
        <x:v>90 Ohm differential fixture pair to U8 pad 10; never join J11 USB_DM</x:v>
      </x:c>
      <x:c r="M16" s="9" t="str">
        <x:v>HIGH_IMPEDANCE_UNTIL_DOMAIN_VALID</x:v>
      </x:c>
      <x:c r="N16" s="9" t="str">
        <x:v>NOT_RUN</x:v>
      </x:c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</x:row>
    <x:row r="17" ht="15" hidden="0" customHeight="1">
      <x:c r="A17" s="9" t="str">
        <x:v>TP_CELL_USB</x:v>
      </x:c>
      <x:c r="B17" s="9" t="n">
        <x:v>4</x:v>
      </x:c>
      <x:c r="C17" s="24" t="n">
        <x:v>40.62</x:v>
      </x:c>
      <x:c r="D17" s="24" t="n">
        <x:v>30</x:v>
      </x:c>
      <x:c r="E17" s="24" t="n">
        <x:v>69.38</x:v>
      </x:c>
      <x:c r="F17" s="24" t="n">
        <x:v>30</x:v>
      </x:c>
      <x:c r="G17" s="9" t="str">
        <x:v>CIRCLE_D1.7</x:v>
      </x:c>
      <x:c r="H17" s="24" t="n">
        <x:v>2.54</x:v>
      </x:c>
      <x:c r="I17" s="9" t="str">
        <x:v>GND</x:v>
      </x:c>
      <x:c r="J17" s="9" t="str">
        <x:v>POWER</x:v>
      </x:c>
      <x:c r="K17" s="9" t="str">
        <x:v>GND_MODEM</x:v>
      </x:c>
      <x:c r="L17" s="9" t="str">
        <x:v>Dedicated modem ground reference</x:v>
      </x:c>
      <x:c r="M17" s="9" t="str">
        <x:v>GROUND_FIRST</x:v>
      </x:c>
      <x:c r="N17" s="9" t="str">
        <x:v>NOT_RUN</x:v>
      </x:c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</x:row>
    <x:row r="18" ht="15" hidden="0" customHeight="1">
      <x:c r="A18" s="9" t="str">
        <x:v>TP_EOL</x:v>
      </x:c>
      <x:c r="B18" s="9" t="n">
        <x:v>1</x:v>
      </x:c>
      <x:c r="C18" s="24" t="n">
        <x:v>33</x:v>
      </x:c>
      <x:c r="D18" s="24" t="n">
        <x:v>23</x:v>
      </x:c>
      <x:c r="E18" s="24" t="n">
        <x:v>77</x:v>
      </x:c>
      <x:c r="F18" s="24" t="n">
        <x:v>23</x:v>
      </x:c>
      <x:c r="G18" s="9" t="str">
        <x:v>CIRCLE_D1.7</x:v>
      </x:c>
      <x:c r="H18" s="24" t="n">
        <x:v>2.54</x:v>
      </x:c>
      <x:c r="I18" s="9" t="str">
        <x:v>GND</x:v>
      </x:c>
      <x:c r="J18" s="9" t="str">
        <x:v>POWER</x:v>
      </x:c>
      <x:c r="K18" s="9" t="str">
        <x:v>GND</x:v>
      </x:c>
      <x:c r="L18" s="9" t="str">
        <x:v>Common digital fixture return</x:v>
      </x:c>
      <x:c r="M18" s="9" t="str">
        <x:v>GROUND_FIRST</x:v>
      </x:c>
      <x:c r="N18" s="9" t="str">
        <x:v>NOT_RUN</x:v>
      </x:c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</x:row>
    <x:row r="19" ht="28.799999237060547" hidden="0" customHeight="1">
      <x:c r="A19" s="9" t="str">
        <x:v>TP_EOL</x:v>
      </x:c>
      <x:c r="B19" s="9" t="n">
        <x:v>2</x:v>
      </x:c>
      <x:c r="C19" s="24" t="n">
        <x:v>35.54</x:v>
      </x:c>
      <x:c r="D19" s="24" t="n">
        <x:v>23</x:v>
      </x:c>
      <x:c r="E19" s="24" t="n">
        <x:v>74.46</x:v>
      </x:c>
      <x:c r="F19" s="24" t="n">
        <x:v>23</x:v>
      </x:c>
      <x:c r="G19" s="9" t="str">
        <x:v>CIRCLE_D1.7</x:v>
      </x:c>
      <x:c r="H19" s="24" t="n">
        <x:v>2.54</x:v>
      </x:c>
      <x:c r="I19" s="9" t="str">
        <x:v>VTREF_3V3</x:v>
      </x:c>
      <x:c r="J19" s="9" t="str">
        <x:v>SENSE</x:v>
      </x:c>
      <x:c r="K19" s="9" t="str">
        <x:v>3V3_DIGITAL</x:v>
      </x:c>
      <x:c r="L19" s="9" t="str">
        <x:v>High-impedance voltage sense only; fixture must never source this rail</x:v>
      </x:c>
      <x:c r="M19" s="9" t="str">
        <x:v>SENSE_ONLY_NEVER_SOURCE</x:v>
      </x:c>
      <x:c r="N19" s="9" t="str">
        <x:v>NOT_RUN</x:v>
      </x:c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</x:row>
    <x:row r="20" ht="28.799999237060547" hidden="0" customHeight="1">
      <x:c r="A20" s="9" t="str">
        <x:v>TP_EOL</x:v>
      </x:c>
      <x:c r="B20" s="9" t="n">
        <x:v>3</x:v>
      </x:c>
      <x:c r="C20" s="24" t="n">
        <x:v>38.08</x:v>
      </x:c>
      <x:c r="D20" s="24" t="n">
        <x:v>23</x:v>
      </x:c>
      <x:c r="E20" s="24" t="n">
        <x:v>71.92</x:v>
      </x:c>
      <x:c r="F20" s="24" t="n">
        <x:v>23</x:v>
      </x:c>
      <x:c r="G20" s="9" t="str">
        <x:v>CIRCLE_D1.7</x:v>
      </x:c>
      <x:c r="H20" s="24" t="n">
        <x:v>2.54</x:v>
      </x:c>
      <x:c r="I20" s="9" t="str">
        <x:v>VSENSE_3V8</x:v>
      </x:c>
      <x:c r="J20" s="9" t="str">
        <x:v>SENSE</x:v>
      </x:c>
      <x:c r="K20" s="9" t="str">
        <x:v>3V8_MODEM</x:v>
      </x:c>
      <x:c r="L20" s="9" t="str">
        <x:v>High-impedance voltage sense only; fixture must never source this rail</x:v>
      </x:c>
      <x:c r="M20" s="9" t="str">
        <x:v>SENSE_ONLY_NEVER_SOURCE</x:v>
      </x:c>
      <x:c r="N20" s="9" t="str">
        <x:v>NOT_RUN</x:v>
      </x:c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</x:row>
    <x:row r="21" ht="28.799999237060547" hidden="0" customHeight="1">
      <x:c r="A21" s="9" t="str">
        <x:v>TP_EOL</x:v>
      </x:c>
      <x:c r="B21" s="9" t="n">
        <x:v>4</x:v>
      </x:c>
      <x:c r="C21" s="24" t="n">
        <x:v>40.62</x:v>
      </x:c>
      <x:c r="D21" s="24" t="n">
        <x:v>23</x:v>
      </x:c>
      <x:c r="E21" s="24" t="n">
        <x:v>69.38</x:v>
      </x:c>
      <x:c r="F21" s="24" t="n">
        <x:v>23</x:v>
      </x:c>
      <x:c r="G21" s="9" t="str">
        <x:v>CIRCLE_D1.7</x:v>
      </x:c>
      <x:c r="H21" s="24" t="n">
        <x:v>2.54</x:v>
      </x:c>
      <x:c r="I21" s="9" t="str">
        <x:v>VSENSE_1V8</x:v>
      </x:c>
      <x:c r="J21" s="9" t="str">
        <x:v>SENSE</x:v>
      </x:c>
      <x:c r="K21" s="9" t="str">
        <x:v>1V8_MIC</x:v>
      </x:c>
      <x:c r="L21" s="9" t="str">
        <x:v>High-impedance voltage sense only; fixture must never source this rail</x:v>
      </x:c>
      <x:c r="M21" s="9" t="str">
        <x:v>SENSE_ONLY_NEVER_SOURCE</x:v>
      </x:c>
      <x:c r="N21" s="9" t="str">
        <x:v>NOT_RUN</x:v>
      </x:c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</x:row>
    <x:row r="22" ht="28.799999237060547" hidden="0" customHeight="1">
      <x:c r="A22" s="9" t="str">
        <x:v>TP_EOL</x:v>
      </x:c>
      <x:c r="B22" s="9" t="n">
        <x:v>5</x:v>
      </x:c>
      <x:c r="C22" s="24" t="n">
        <x:v>43.16</x:v>
      </x:c>
      <x:c r="D22" s="24" t="n">
        <x:v>23</x:v>
      </x:c>
      <x:c r="E22" s="24" t="n">
        <x:v>66.84</x:v>
      </x:c>
      <x:c r="F22" s="24" t="n">
        <x:v>23</x:v>
      </x:c>
      <x:c r="G22" s="9" t="str">
        <x:v>CIRCLE_D1.7</x:v>
      </x:c>
      <x:c r="H22" s="24" t="n">
        <x:v>2.54</x:v>
      </x:c>
      <x:c r="I22" s="9" t="str">
        <x:v>DUT_TX</x:v>
      </x:c>
      <x:c r="J22" s="9" t="str">
        <x:v>OUTPUT</x:v>
      </x:c>
      <x:c r="K22" s="9" t="str">
        <x:v>TEST_UART_TX</x:v>
      </x:c>
      <x:c r="L22" s="9" t="str">
        <x:v>Direct from U1 PC1 pin 16 LPUART1_TX to fixture input; exact series protection remains MAIN-AUTH-010</x:v>
      </x:c>
      <x:c r="M22" s="9" t="str">
        <x:v>HIGH_IMPEDANCE_UNTIL_DOMAIN_VALID</x:v>
      </x:c>
      <x:c r="N22" s="9" t="str">
        <x:v>NOT_RUN</x:v>
      </x:c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</x:row>
    <x:row r="23" ht="28.799999237060547" hidden="0" customHeight="1">
      <x:c r="A23" s="9" t="str">
        <x:v>TP_EOL</x:v>
      </x:c>
      <x:c r="B23" s="9" t="n">
        <x:v>6</x:v>
      </x:c>
      <x:c r="C23" s="24" t="n">
        <x:v>45.7</x:v>
      </x:c>
      <x:c r="D23" s="24" t="n">
        <x:v>23</x:v>
      </x:c>
      <x:c r="E23" s="24" t="n">
        <x:v>64.3</x:v>
      </x:c>
      <x:c r="F23" s="24" t="n">
        <x:v>23</x:v>
      </x:c>
      <x:c r="G23" s="9" t="str">
        <x:v>CIRCLE_D1.7</x:v>
      </x:c>
      <x:c r="H23" s="24" t="n">
        <x:v>2.54</x:v>
      </x:c>
      <x:c r="I23" s="9" t="str">
        <x:v>DUT_RX</x:v>
      </x:c>
      <x:c r="J23" s="9" t="str">
        <x:v>INPUT</x:v>
      </x:c>
      <x:c r="K23" s="9" t="str">
        <x:v>TEST_UART_RX</x:v>
      </x:c>
      <x:c r="L23" s="9" t="str">
        <x:v>Fixture output to U1 PC0 pin 15 LPUART1_RX; fixture is high impedance until VTREF is valid</x:v>
      </x:c>
      <x:c r="M23" s="9" t="str">
        <x:v>DRIVE_AFTER_VTREF_VALID</x:v>
      </x:c>
      <x:c r="N23" s="9" t="str">
        <x:v>NOT_RUN</x:v>
      </x:c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</x:row>
    <x:row r="24" ht="28.799999237060547" hidden="0" customHeight="1">
      <x:c r="A24" s="9" t="str">
        <x:v>TP_EOL</x:v>
      </x:c>
      <x:c r="B24" s="9" t="n">
        <x:v>7</x:v>
      </x:c>
      <x:c r="C24" s="24" t="n">
        <x:v>48.24</x:v>
      </x:c>
      <x:c r="D24" s="24" t="n">
        <x:v>23</x:v>
      </x:c>
      <x:c r="E24" s="24" t="n">
        <x:v>61.76</x:v>
      </x:c>
      <x:c r="F24" s="24" t="n">
        <x:v>23</x:v>
      </x:c>
      <x:c r="G24" s="9" t="str">
        <x:v>CIRCLE_D1.7</x:v>
      </x:c>
      <x:c r="H24" s="24" t="n">
        <x:v>2.54</x:v>
      </x:c>
      <x:c r="I24" s="9" t="str">
        <x:v>PWR_GOOD</x:v>
      </x:c>
      <x:c r="J24" s="9" t="str">
        <x:v>SENSE</x:v>
      </x:c>
      <x:c r="K24" s="9" t="str">
        <x:v>PWR_GOOD</x:v>
      </x:c>
      <x:c r="L24" s="9" t="str">
        <x:v>High-impedance observation only; do not drive the inter-board state line</x:v>
      </x:c>
      <x:c r="M24" s="9" t="str">
        <x:v>SENSE_ONLY_NEVER_SOURCE</x:v>
      </x:c>
      <x:c r="N24" s="9" t="str">
        <x:v>NOT_RUN</x:v>
      </x:c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</x:row>
    <x:row r="25" ht="28.799999237060547" hidden="0" customHeight="1">
      <x:c r="A25" s="9" t="str">
        <x:v>TP_EOL</x:v>
      </x:c>
      <x:c r="B25" s="9" t="n">
        <x:v>8</x:v>
      </x:c>
      <x:c r="C25" s="24" t="n">
        <x:v>50.78</x:v>
      </x:c>
      <x:c r="D25" s="24" t="n">
        <x:v>23</x:v>
      </x:c>
      <x:c r="E25" s="24" t="n">
        <x:v>59.22</x:v>
      </x:c>
      <x:c r="F25" s="24" t="n">
        <x:v>23</x:v>
      </x:c>
      <x:c r="G25" s="9" t="str">
        <x:v>CIRCLE_D1.7</x:v>
      </x:c>
      <x:c r="H25" s="24" t="n">
        <x:v>2.54</x:v>
      </x:c>
      <x:c r="I25" s="9" t="str">
        <x:v>FAULT</x:v>
      </x:c>
      <x:c r="J25" s="9" t="str">
        <x:v>SENSE</x:v>
      </x:c>
      <x:c r="K25" s="9" t="str">
        <x:v>FAULT</x:v>
      </x:c>
      <x:c r="L25" s="9" t="str">
        <x:v>High-impedance observation only; do not drive the inter-board fault line</x:v>
      </x:c>
      <x:c r="M25" s="9" t="str">
        <x:v>SENSE_ONLY_NEVER_SOURCE</x:v>
      </x:c>
      <x:c r="N25" s="9" t="str">
        <x:v>NOT_RUN</x:v>
      </x:c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</x:row>
    <x:row r="26" ht="28.799999237060547" hidden="0" customHeight="1">
      <x:c r="A26" s="9" t="str">
        <x:v>TP_EOL</x:v>
      </x:c>
      <x:c r="B26" s="9" t="n">
        <x:v>9</x:v>
      </x:c>
      <x:c r="C26" s="24" t="n">
        <x:v>53.32</x:v>
      </x:c>
      <x:c r="D26" s="24" t="n">
        <x:v>23</x:v>
      </x:c>
      <x:c r="E26" s="24" t="n">
        <x:v>56.68</x:v>
      </x:c>
      <x:c r="F26" s="24" t="n">
        <x:v>23</x:v>
      </x:c>
      <x:c r="G26" s="9" t="str">
        <x:v>CIRCLE_D1.7</x:v>
      </x:c>
      <x:c r="H26" s="24" t="n">
        <x:v>2.54</x:v>
      </x:c>
      <x:c r="I26" s="9" t="str">
        <x:v>BOOT0</x:v>
      </x:c>
      <x:c r="J26" s="9" t="str">
        <x:v>INPUT</x:v>
      </x:c>
      <x:c r="K26" s="9" t="str">
        <x:v>BOOT0</x:v>
      </x:c>
      <x:c r="L26" s="9" t="str">
        <x:v>Controlled recovery drive to U1 PH3-BOOT0 pin 94 only while reset is asserted; high impedance for normal boot</x:v>
      </x:c>
      <x:c r="M26" s="9" t="str">
        <x:v>DRIVE_ONLY_WHILE_NRST_ASSERTED</x:v>
      </x:c>
      <x:c r="N26" s="9" t="str">
        <x:v>NOT_RUN</x:v>
      </x:c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</x:row>
    <x:row r="27" ht="15" hidden="0" customHeight="1">
      <x:c r="A27" s="9" t="str">
        <x:v>TP_EOL</x:v>
      </x:c>
      <x:c r="B27" s="9" t="n">
        <x:v>10</x:v>
      </x:c>
      <x:c r="C27" s="24" t="n">
        <x:v>55.86</x:v>
      </x:c>
      <x:c r="D27" s="24" t="n">
        <x:v>23</x:v>
      </x:c>
      <x:c r="E27" s="24" t="n">
        <x:v>54.14</x:v>
      </x:c>
      <x:c r="F27" s="24" t="n">
        <x:v>23</x:v>
      </x:c>
      <x:c r="G27" s="9" t="str">
        <x:v>CIRCLE_D1.7</x:v>
      </x:c>
      <x:c r="H27" s="24" t="n">
        <x:v>2.54</x:v>
      </x:c>
      <x:c r="I27" s="9" t="str">
        <x:v>REV0</x:v>
      </x:c>
      <x:c r="J27" s="9" t="str">
        <x:v>SENSE</x:v>
      </x:c>
      <x:c r="K27" s="9" t="str">
        <x:v>REV_STRAP0</x:v>
      </x:c>
      <x:c r="L27" s="9" t="str">
        <x:v>High-impedance read of U1 PB8 pin 95 hardware-revision strap</x:v>
      </x:c>
      <x:c r="M27" s="9" t="str">
        <x:v>SENSE_ONLY_NEVER_SOURCE</x:v>
      </x:c>
      <x:c r="N27" s="9" t="str">
        <x:v>NOT_RUN</x:v>
      </x:c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</x:row>
    <x:row r="28" ht="15" hidden="0" customHeight="1">
      <x:c r="A28" s="9" t="str">
        <x:v>TP_EOL</x:v>
      </x:c>
      <x:c r="B28" s="9" t="n">
        <x:v>11</x:v>
      </x:c>
      <x:c r="C28" s="24" t="n">
        <x:v>58.4</x:v>
      </x:c>
      <x:c r="D28" s="24" t="n">
        <x:v>23</x:v>
      </x:c>
      <x:c r="E28" s="24" t="n">
        <x:v>51.6</x:v>
      </x:c>
      <x:c r="F28" s="24" t="n">
        <x:v>23</x:v>
      </x:c>
      <x:c r="G28" s="9" t="str">
        <x:v>CIRCLE_D1.7</x:v>
      </x:c>
      <x:c r="H28" s="24" t="n">
        <x:v>2.54</x:v>
      </x:c>
      <x:c r="I28" s="9" t="str">
        <x:v>REV1</x:v>
      </x:c>
      <x:c r="J28" s="9" t="str">
        <x:v>SENSE</x:v>
      </x:c>
      <x:c r="K28" s="9" t="str">
        <x:v>REV_STRAP1</x:v>
      </x:c>
      <x:c r="L28" s="9" t="str">
        <x:v>High-impedance read of U1 PB9 pin 96 hardware-revision strap</x:v>
      </x:c>
      <x:c r="M28" s="9" t="str">
        <x:v>SENSE_ONLY_NEVER_SOURCE</x:v>
      </x:c>
      <x:c r="N28" s="9" t="str">
        <x:v>NOT_RUN</x:v>
      </x:c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</x:row>
    <x:row r="29" ht="28.799999237060547" hidden="0" customHeight="1">
      <x:c r="A29" s="9" t="str">
        <x:v>TP_EOL</x:v>
      </x:c>
      <x:c r="B29" s="9" t="n">
        <x:v>12</x:v>
      </x:c>
      <x:c r="C29" s="24" t="n">
        <x:v>60.94</x:v>
      </x:c>
      <x:c r="D29" s="24" t="n">
        <x:v>23</x:v>
      </x:c>
      <x:c r="E29" s="24" t="n">
        <x:v>49.06</x:v>
      </x:c>
      <x:c r="F29" s="24" t="n">
        <x:v>23</x:v>
      </x:c>
      <x:c r="G29" s="9" t="str">
        <x:v>CIRCLE_D1.7</x:v>
      </x:c>
      <x:c r="H29" s="24" t="n">
        <x:v>2.54</x:v>
      </x:c>
      <x:c r="I29" s="9" t="str">
        <x:v>I2C_SCL</x:v>
      </x:c>
      <x:c r="J29" s="9" t="str">
        <x:v>BIDIR_OD</x:v>
      </x:c>
      <x:c r="K29" s="9" t="str">
        <x:v>I2C2_SCL</x:v>
      </x:c>
      <x:c r="L29" s="9" t="str">
        <x:v>Guarded open-drain service access to U1 PB13 pin 52 and INA226 bus; fixture adds no pull-up unless separately enabled</x:v>
      </x:c>
      <x:c r="M29" s="9" t="str">
        <x:v>OPEN_DRAIN_NO_EXTRA_PULLUP</x:v>
      </x:c>
      <x:c r="N29" s="9" t="str">
        <x:v>NOT_RUN</x:v>
      </x:c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</x:row>
    <x:row r="30" ht="28.799999237060547" hidden="0" customHeight="1">
      <x:c r="A30" s="9" t="str">
        <x:v>TP_EOL</x:v>
      </x:c>
      <x:c r="B30" s="9" t="n">
        <x:v>13</x:v>
      </x:c>
      <x:c r="C30" s="24" t="n">
        <x:v>63.48</x:v>
      </x:c>
      <x:c r="D30" s="24" t="n">
        <x:v>23</x:v>
      </x:c>
      <x:c r="E30" s="24" t="n">
        <x:v>46.52</x:v>
      </x:c>
      <x:c r="F30" s="24" t="n">
        <x:v>23</x:v>
      </x:c>
      <x:c r="G30" s="9" t="str">
        <x:v>CIRCLE_D1.7</x:v>
      </x:c>
      <x:c r="H30" s="24" t="n">
        <x:v>2.54</x:v>
      </x:c>
      <x:c r="I30" s="9" t="str">
        <x:v>I2C_SDA</x:v>
      </x:c>
      <x:c r="J30" s="9" t="str">
        <x:v>BIDIR_OD</x:v>
      </x:c>
      <x:c r="K30" s="9" t="str">
        <x:v>I2C2_SDA</x:v>
      </x:c>
      <x:c r="L30" s="9" t="str">
        <x:v>Guarded open-drain service access to U1 PB14 pin 53 and INA226 bus; fixture adds no pull-up unless separately enabled</x:v>
      </x:c>
      <x:c r="M30" s="9" t="str">
        <x:v>OPEN_DRAIN_NO_EXTRA_PULLUP</x:v>
      </x:c>
      <x:c r="N30" s="9" t="str">
        <x:v>NOT_RUN</x:v>
      </x:c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</x:row>
    <x:row r="31" ht="28.799999237060547" hidden="0" customHeight="1">
      <x:c r="A31" s="9" t="str">
        <x:v>TP_MCU_SWD</x:v>
      </x:c>
      <x:c r="B31" s="9" t="n">
        <x:v>1</x:v>
      </x:c>
      <x:c r="C31" s="24" t="n">
        <x:v>69</x:v>
      </x:c>
      <x:c r="D31" s="24" t="n">
        <x:v>23</x:v>
      </x:c>
      <x:c r="E31" s="24" t="n">
        <x:v>41</x:v>
      </x:c>
      <x:c r="F31" s="24" t="n">
        <x:v>23</x:v>
      </x:c>
      <x:c r="G31" s="9" t="str">
        <x:v>CIRCLE_D1.7</x:v>
      </x:c>
      <x:c r="H31" s="24" t="n">
        <x:v>2.54</x:v>
      </x:c>
      <x:c r="I31" s="9" t="str">
        <x:v>VTREF</x:v>
      </x:c>
      <x:c r="J31" s="9" t="str">
        <x:v>SENSE</x:v>
      </x:c>
      <x:c r="K31" s="9" t="str">
        <x:v>3V3_DIGITAL</x:v>
      </x:c>
      <x:c r="L31" s="9" t="str">
        <x:v>Fixture senses DUT target voltage and must never source station power</x:v>
      </x:c>
      <x:c r="M31" s="9" t="str">
        <x:v>SENSE_ONLY_NEVER_SOURCE</x:v>
      </x:c>
      <x:c r="N31" s="9" t="str">
        <x:v>NOT_RUN</x:v>
      </x:c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</x:row>
    <x:row r="32" ht="28.799999237060547" hidden="0" customHeight="1">
      <x:c r="A32" s="9" t="str">
        <x:v>TP_MCU_SWD</x:v>
      </x:c>
      <x:c r="B32" s="9" t="n">
        <x:v>2</x:v>
      </x:c>
      <x:c r="C32" s="24" t="n">
        <x:v>71.54</x:v>
      </x:c>
      <x:c r="D32" s="24" t="n">
        <x:v>23</x:v>
      </x:c>
      <x:c r="E32" s="24" t="n">
        <x:v>38.46</x:v>
      </x:c>
      <x:c r="F32" s="24" t="n">
        <x:v>23</x:v>
      </x:c>
      <x:c r="G32" s="9" t="str">
        <x:v>CIRCLE_D1.7</x:v>
      </x:c>
      <x:c r="H32" s="24" t="n">
        <x:v>2.54</x:v>
      </x:c>
      <x:c r="I32" s="9" t="str">
        <x:v>SWDIO</x:v>
      </x:c>
      <x:c r="J32" s="9" t="str">
        <x:v>BIDIR</x:v>
      </x:c>
      <x:c r="K32" s="9" t="str">
        <x:v>SWDIO</x:v>
      </x:c>
      <x:c r="L32" s="9" t="str">
        <x:v>Direct controlled recovery contact to U1 PA13 pin 72; exact protection remains MAIN-AUTH-010</x:v>
      </x:c>
      <x:c r="M32" s="9" t="str">
        <x:v>HIGH_IMPEDANCE_UNTIL_DOMAIN_VALID</x:v>
      </x:c>
      <x:c r="N32" s="9" t="str">
        <x:v>NOT_RUN</x:v>
      </x:c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</x:row>
    <x:row r="33" ht="28.799999237060547" hidden="0" customHeight="1">
      <x:c r="A33" s="9" t="str">
        <x:v>TP_MCU_SWD</x:v>
      </x:c>
      <x:c r="B33" s="9" t="n">
        <x:v>3</x:v>
      </x:c>
      <x:c r="C33" s="24" t="n">
        <x:v>74.08</x:v>
      </x:c>
      <x:c r="D33" s="24" t="n">
        <x:v>23</x:v>
      </x:c>
      <x:c r="E33" s="24" t="n">
        <x:v>35.92</x:v>
      </x:c>
      <x:c r="F33" s="24" t="n">
        <x:v>23</x:v>
      </x:c>
      <x:c r="G33" s="9" t="str">
        <x:v>CIRCLE_D1.7</x:v>
      </x:c>
      <x:c r="H33" s="24" t="n">
        <x:v>2.54</x:v>
      </x:c>
      <x:c r="I33" s="9" t="str">
        <x:v>SWCLK</x:v>
      </x:c>
      <x:c r="J33" s="9" t="str">
        <x:v>INPUT</x:v>
      </x:c>
      <x:c r="K33" s="9" t="str">
        <x:v>SWCLK</x:v>
      </x:c>
      <x:c r="L33" s="9" t="str">
        <x:v>Direct controlled recovery contact to U1 PA14 pin 76; exact protection remains MAIN-AUTH-010</x:v>
      </x:c>
      <x:c r="M33" s="9" t="str">
        <x:v>DRIVE_AFTER_VTREF_VALID</x:v>
      </x:c>
      <x:c r="N33" s="9" t="str">
        <x:v>NOT_RUN</x:v>
      </x:c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</x:row>
    <x:row r="34" ht="28.799999237060547" hidden="0" customHeight="1">
      <x:c r="A34" s="9" t="str">
        <x:v>TP_MCU_SWD</x:v>
      </x:c>
      <x:c r="B34" s="9" t="n">
        <x:v>4</x:v>
      </x:c>
      <x:c r="C34" s="24" t="n">
        <x:v>76.62</x:v>
      </x:c>
      <x:c r="D34" s="24" t="n">
        <x:v>23</x:v>
      </x:c>
      <x:c r="E34" s="24" t="n">
        <x:v>33.38</x:v>
      </x:c>
      <x:c r="F34" s="24" t="n">
        <x:v>23</x:v>
      </x:c>
      <x:c r="G34" s="9" t="str">
        <x:v>CIRCLE_D1.7</x:v>
      </x:c>
      <x:c r="H34" s="24" t="n">
        <x:v>2.54</x:v>
      </x:c>
      <x:c r="I34" s="9" t="str">
        <x:v>NRST</x:v>
      </x:c>
      <x:c r="J34" s="9" t="str">
        <x:v>BIDIR</x:v>
      </x:c>
      <x:c r="K34" s="9" t="str">
        <x:v>NRST</x:v>
      </x:c>
      <x:c r="L34" s="9" t="str">
        <x:v>Direct controlled recovery contact to U1 package pin 14; normal reset network remains MAIN-AUTH-010</x:v>
      </x:c>
      <x:c r="M34" s="9" t="str">
        <x:v>HIGH_IMPEDANCE_UNTIL_DOMAIN_VALID</x:v>
      </x:c>
      <x:c r="N34" s="9" t="str">
        <x:v>NOT_RUN</x:v>
      </x:c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</x:row>
    <x:row r="35" ht="15" hidden="0" customHeight="1">
      <x:c r="A35" s="9" t="str">
        <x:v>TP_MCU_SWD</x:v>
      </x:c>
      <x:c r="B35" s="9" t="n">
        <x:v>5</x:v>
      </x:c>
      <x:c r="C35" s="24" t="n">
        <x:v>79.16</x:v>
      </x:c>
      <x:c r="D35" s="24" t="n">
        <x:v>23</x:v>
      </x:c>
      <x:c r="E35" s="24" t="n">
        <x:v>30.84</x:v>
      </x:c>
      <x:c r="F35" s="24" t="n">
        <x:v>23</x:v>
      </x:c>
      <x:c r="G35" s="9" t="str">
        <x:v>CIRCLE_D1.7</x:v>
      </x:c>
      <x:c r="H35" s="24" t="n">
        <x:v>2.54</x:v>
      </x:c>
      <x:c r="I35" s="9" t="str">
        <x:v>GND</x:v>
      </x:c>
      <x:c r="J35" s="9" t="str">
        <x:v>POWER</x:v>
      </x:c>
      <x:c r="K35" s="9" t="str">
        <x:v>GND</x:v>
      </x:c>
      <x:c r="L35" s="9" t="str">
        <x:v>Ground contact mates before active fixture signals</x:v>
      </x:c>
      <x:c r="M35" s="9" t="str">
        <x:v>GROUND_FIRST</x:v>
      </x:c>
      <x:c r="N35" s="9" t="str">
        <x:v>NOT_RUN</x:v>
      </x:c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</x:row>
  </x:sheetData>
  <x:mergeCells>
    <x:mergeCell ref="A2:N2"/>
  </x:mergeCells>
  <x:pageMargins left="0.7" right="0.7" top="0.75" bottom="0.75" header="0.3" footer="0.3"/>
  <x:tableParts count="1">
    <x:tablePart xmlns:r="http://schemas.openxmlformats.org/officeDocument/2006/relationships" r:id="R7481a8c29bde46c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9" hidden="0" customWidth="1"/>
    <x:col min="2" max="2" width="19" hidden="0" customWidth="1"/>
    <x:col min="3" max="3" width="20" hidden="0" customWidth="1"/>
    <x:col min="4" max="4" width="18" hidden="0" customWidth="1"/>
    <x:col min="5" max="5" width="15" hidden="0" customWidth="1"/>
    <x:col min="6" max="6" width="56" hidden="0" customWidth="1"/>
    <x:col min="7" max="7" width="56" hidden="0" customWidth="1"/>
    <x:col min="8" max="8" width="26" hidden="0" customWidth="1"/>
    <x:col min="9" max="9" width="12" hidden="0" customWidth="1"/>
    <x:col min="10" max="10" width="46" hidden="0" customWidth="1"/>
    <x:col min="11" max="11" width="28" hidden="0" customWidth="1"/>
    <x:col min="12" max="12" width="16" hidden="0" customWidth="1"/>
    <x:col min="13" max="13" width="16" hidden="0" customWidth="1"/>
    <x:col min="14" max="14" width="24" hidden="0" customWidth="1"/>
    <x:col min="15" max="15" width="18" hidden="0" customWidth="1"/>
    <x:col min="16" max="16" width="30" hidden="0" customWidth="1"/>
    <x:col min="17" max="17" width="24" hidden="0" customWidth="1"/>
    <x:col min="18" max="18" width="18" hidden="0" customWidth="1"/>
    <x:col min="19" max="19" width="36" hidden="0" customWidth="1"/>
    <x:col min="20" max="20" width="24" hidden="0" customWidth="1"/>
    <x:col min="21" max="21" width="20" hidden="0" customWidth="1"/>
    <x:col min="22" max="22" width="20" hidden="0" customWidth="1"/>
    <x:col min="23" max="23" width="22" hidden="0" customWidth="1"/>
    <x:col min="24" max="24" width="15" hidden="0" customWidth="1"/>
    <x:col min="25" max="25" width="22" hidden="0" customWidth="1"/>
    <x:col min="26" max="26" width="30" hidden="0" customWidth="1"/>
    <x:col min="27" max="27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>
      <x:c r="A2" s="3" t="str">
        <x:v>Реестр измерений DIO-EVT-B01 / DIO-EVT-B01 measurement register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 ht="15" hidden="0" customHeight="1">
      <x:c r="A4" s="22" t="str">
        <x:v>Order</x:v>
      </x:c>
      <x:c r="B4" s="22" t="str">
        <x:v>Test ID</x:v>
      </x:c>
      <x:c r="C4" s="22" t="str">
        <x:v>Phase</x:v>
      </x:c>
      <x:c r="D4" s="22" t="str">
        <x:v>Fixture group</x:v>
      </x:c>
      <x:c r="E4" s="22" t="str">
        <x:v>Contacts</x:v>
      </x:c>
      <x:c r="F4" s="22" t="str">
        <x:v>Action RU</x:v>
      </x:c>
      <x:c r="G4" s="22" t="str">
        <x:v>Action EN</x:v>
      </x:c>
      <x:c r="H4" s="22" t="str">
        <x:v>Metric</x:v>
      </x:c>
      <x:c r="I4" s="22" t="str">
        <x:v>Unit</x:v>
      </x:c>
      <x:c r="J4" s="22" t="str">
        <x:v>Engineering target</x:v>
      </x:c>
      <x:c r="K4" s="22" t="str">
        <x:v>Limit state</x:v>
      </x:c>
      <x:c r="L4" s="22" t="str">
        <x:v>Approved lower</x:v>
      </x:c>
      <x:c r="M4" s="22" t="str">
        <x:v>Approved upper</x:v>
      </x:c>
      <x:c r="N4" s="22" t="str">
        <x:v>Approved discrete</x:v>
      </x:c>
      <x:c r="O4" s="22" t="str">
        <x:v>Actual numeric</x:v>
      </x:c>
      <x:c r="P4" s="22" t="str">
        <x:v>Actual text</x:v>
      </x:c>
      <x:c r="Q4" s="22" t="str">
        <x:v>Instrument ID</x:v>
      </x:c>
      <x:c r="R4" s="22" t="str">
        <x:v>Calibration due</x:v>
      </x:c>
      <x:c r="S4" s="22" t="str">
        <x:v>Evidence path</x:v>
      </x:c>
      <x:c r="T4" s="22" t="str">
        <x:v>Evidence SHA-256</x:v>
      </x:c>
      <x:c r="U4" s="22" t="str">
        <x:v>Operator</x:v>
      </x:c>
      <x:c r="V4" s="22" t="str">
        <x:v>Reviewer</x:v>
      </x:c>
      <x:c r="W4" s="22" t="str">
        <x:v>UTC</x:v>
      </x:c>
      <x:c r="X4" s="22" t="str">
        <x:v>Status</x:v>
      </x:c>
      <x:c r="Y4" s="22" t="str">
        <x:v>NCR/deviation</x:v>
      </x:c>
      <x:c r="Z4" s="22" t="str">
        <x:v>Notes</x:v>
      </x:c>
      <x:c r="AA4" s="22" t="str">
        <x:v>Row gate</x:v>
      </x:c>
    </x:row>
    <x:row r="5" ht="28.799999237060547" hidden="0" customHeight="1">
      <x:c r="A5" s="9" t="n">
        <x:v>10</x:v>
      </x:c>
      <x:c r="B5" s="9" t="str">
        <x:v>FIX-ID-01</x:v>
      </x:c>
      <x:c r="C5" s="9" t="str">
        <x:v>Оснастка</x:v>
      </x:c>
      <x:c r="D5" s="9" t="str"/>
      <x:c r="E5" s="9" t="str"/>
      <x:c r="F5" s="9" t="str">
        <x:v>Сверить ID MFG-004, ревизию, серийный номер, схему каналов и дату калибровки.</x:v>
      </x:c>
      <x:c r="G5" s="9" t="str">
        <x:v>Verify MFG-004 ID, revision, serial number, channel map and calibration date.</x:v>
      </x:c>
      <x:c r="H5" s="9" t="str">
        <x:v>identity_match</x:v>
      </x:c>
      <x:c r="I5" s="9" t="str"/>
      <x:c r="J5" s="9" t="str"/>
      <x:c r="K5" s="11" t="str">
        <x:v>APPROVED_DOCUMENTARY</x:v>
      </x:c>
      <x:c r="L5" s="11"/>
      <x:c r="M5" s="11"/>
      <x:c r="N5" s="11" t="str">
        <x:v>MATCH</x:v>
      </x:c>
      <x:c r="O5" s="11"/>
      <x:c r="P5" s="11" t="str"/>
      <x:c r="Q5" s="11" t="str"/>
      <x:c r="R5" s="11" t="str"/>
      <x:c r="S5" s="11" t="str"/>
      <x:c r="T5" s="11" t="str"/>
      <x:c r="U5" s="11" t="str"/>
      <x:c r="V5" s="11" t="str"/>
      <x:c r="W5" s="11" t="str"/>
      <x:c r="X5" s="11" t="str">
        <x:v>NOT_RUN</x:v>
      </x:c>
      <x:c r="Y5" s="11" t="str"/>
      <x:c r="Z5" s="11" t="str"/>
      <x:c r="AA5" s="9" t="str">
        <x:f>IF(X5&lt;&gt;"PASS","NOT_PASS",IF(OR(ISNUMBER(SEARCH("OPEN",K5)),ISNUMBER(SEARCH("PARTIAL",K5))),"LIMIT_OPEN",IF(AND(OR(L5&lt;&gt;"",M5&lt;&gt;"",N5&lt;&gt;""),OR(O5&lt;&gt;"",P5&lt;&gt;""),Q5&lt;&gt;"",R5&lt;&gt;"",S5&lt;&gt;"",LEN(T5)=64,U5&lt;&gt;"",V5&lt;&gt;"",U5&lt;&gt;V5,W5&lt;&gt;""),"READY","INCOMPLETE")))</x:f>
        <x:v>NOT_PASS</x:v>
      </x:c>
    </x:row>
    <x:row r="6" ht="28.799999237060547" hidden="0" customHeight="1">
      <x:c r="A6" s="9" t="n">
        <x:v>20</x:v>
      </x:c>
      <x:c r="B6" s="9" t="str">
        <x:v>FIX-CONT-01</x:v>
      </x:c>
      <x:c r="C6" s="9" t="str">
        <x:v>Оснастка</x:v>
      </x:c>
      <x:c r="D6" s="9" t="str"/>
      <x:c r="E6" s="9" t="str"/>
      <x:c r="F6" s="9" t="str">
        <x:v>Без DUT измерить сопротивление каждого pogo до соответствующего контакта интерфейсного разъема.</x:v>
      </x:c>
      <x:c r="G6" s="9" t="str">
        <x:v>Without a DUT, measure resistance from every pogo pin to its interface connector contact.</x:v>
      </x:c>
      <x:c r="H6" s="9" t="str">
        <x:v>fixture_path_resistance</x:v>
      </x:c>
      <x:c r="I6" s="9" t="str">
        <x:v>ohm</x:v>
      </x:c>
      <x:c r="J6" s="9" t="str">
        <x:v>&lt;= 1 ohm including fixture leads</x:v>
      </x:c>
      <x:c r="K6" s="11" t="str">
        <x:v>APPROVED_DOCUMENTARY</x:v>
      </x:c>
      <x:c r="L6" s="11"/>
      <x:c r="M6" s="11" t="n">
        <x:v>1</x:v>
      </x:c>
      <x:c r="N6" s="11" t="str"/>
      <x:c r="O6" s="11"/>
      <x:c r="P6" s="11" t="str"/>
      <x:c r="Q6" s="11" t="str"/>
      <x:c r="R6" s="11" t="str"/>
      <x:c r="S6" s="11" t="str"/>
      <x:c r="T6" s="11" t="str"/>
      <x:c r="U6" s="11" t="str"/>
      <x:c r="V6" s="11" t="str"/>
      <x:c r="W6" s="11" t="str"/>
      <x:c r="X6" s="11" t="str">
        <x:v>NOT_RUN</x:v>
      </x:c>
      <x:c r="Y6" s="11" t="str"/>
      <x:c r="Z6" s="11" t="str"/>
      <x:c r="AA6" s="9" t="str">
        <x:f>IF(X6&lt;&gt;"PASS","NOT_PASS",IF(OR(ISNUMBER(SEARCH("OPEN",K6)),ISNUMBER(SEARCH("PARTIAL",K6))),"LIMIT_OPEN",IF(AND(OR(L6&lt;&gt;"",M6&lt;&gt;"",N6&lt;&gt;""),OR(O6&lt;&gt;"",P6&lt;&gt;""),Q6&lt;&gt;"",R6&lt;&gt;"",S6&lt;&gt;"",LEN(T6)=64,U6&lt;&gt;"",V6&lt;&gt;"",U6&lt;&gt;V6,W6&lt;&gt;""),"READY","INCOMPLETE")))</x:f>
        <x:v>NOT_PASS</x:v>
      </x:c>
    </x:row>
    <x:row r="7" ht="28.799999237060547" hidden="0" customHeight="1">
      <x:c r="A7" s="9" t="n">
        <x:v>30</x:v>
      </x:c>
      <x:c r="B7" s="9" t="str">
        <x:v>FIX-ISO-01</x:v>
      </x:c>
      <x:c r="C7" s="9" t="str">
        <x:v>Оснастка</x:v>
      </x:c>
      <x:c r="D7" s="9" t="str"/>
      <x:c r="E7" s="9" t="str"/>
      <x:c r="F7" s="9" t="str">
        <x:v>Без DUT проверить отсутствие замыкания каждого сигнального канала на соседние каналы и землю.</x:v>
      </x:c>
      <x:c r="G7" s="9" t="str">
        <x:v>Without a DUT, verify isolation from every signal channel to adjacent channels and ground.</x:v>
      </x:c>
      <x:c r="H7" s="9" t="str">
        <x:v>fixture_isolation</x:v>
      </x:c>
      <x:c r="I7" s="9" t="str">
        <x:v>ohm</x:v>
      </x:c>
      <x:c r="J7" s="9" t="str">
        <x:v>&gt;= 10 Mohm for fixture wiring only</x:v>
      </x:c>
      <x:c r="K7" s="11" t="str">
        <x:v>APPROVED_DOCUMENTARY</x:v>
      </x:c>
      <x:c r="L7" s="11" t="n">
        <x:v>10000000</x:v>
      </x:c>
      <x:c r="M7" s="11"/>
      <x:c r="N7" s="11" t="str"/>
      <x:c r="O7" s="11"/>
      <x:c r="P7" s="11" t="str"/>
      <x:c r="Q7" s="11" t="str"/>
      <x:c r="R7" s="11" t="str"/>
      <x:c r="S7" s="11" t="str"/>
      <x:c r="T7" s="11" t="str"/>
      <x:c r="U7" s="11" t="str"/>
      <x:c r="V7" s="11" t="str"/>
      <x:c r="W7" s="11" t="str"/>
      <x:c r="X7" s="11" t="str">
        <x:v>NOT_RUN</x:v>
      </x:c>
      <x:c r="Y7" s="11" t="str"/>
      <x:c r="Z7" s="11" t="str"/>
      <x:c r="AA7" s="9" t="str">
        <x:f>IF(X7&lt;&gt;"PASS","NOT_PASS",IF(OR(ISNUMBER(SEARCH("OPEN",K7)),ISNUMBER(SEARCH("PARTIAL",K7))),"LIMIT_OPEN",IF(AND(OR(L7&lt;&gt;"",M7&lt;&gt;"",N7&lt;&gt;""),OR(O7&lt;&gt;"",P7&lt;&gt;""),Q7&lt;&gt;"",R7&lt;&gt;"",S7&lt;&gt;"",LEN(T7)=64,U7&lt;&gt;"",V7&lt;&gt;"",U7&lt;&gt;V7,W7&lt;&gt;""),"READY","INCOMPLETE")))</x:f>
        <x:v>NOT_PASS</x:v>
      </x:c>
    </x:row>
    <x:row r="8" ht="28.799999237060547" hidden="0" customHeight="1">
      <x:c r="A8" s="9" t="n">
        <x:v>40</x:v>
      </x:c>
      <x:c r="B8" s="9" t="str">
        <x:v>FIX-MECH-01</x:v>
      </x:c>
      <x:c r="C8" s="9" t="str">
        <x:v>Оснастка</x:v>
      </x:c>
      <x:c r="D8" s="9" t="str"/>
      <x:c r="E8" s="9" t="str"/>
      <x:c r="F8" s="9" t="str">
        <x:v>Проверить базирование по H1-H4, ориентационный ключ, совпадение 31 pogo с площадками и ход контактов.</x:v>
      </x:c>
      <x:c r="G8" s="9" t="str">
        <x:v>Verify H1-H4 datum, orientation key, alignment of all 31 pogo pins and contact travel.</x:v>
      </x:c>
      <x:c r="H8" s="9" t="str">
        <x:v>alignment</x:v>
      </x:c>
      <x:c r="I8" s="9" t="str"/>
      <x:c r="J8" s="9" t="str"/>
      <x:c r="K8" s="11" t="str">
        <x:v>APPROVED_DOCUMENTARY</x:v>
      </x:c>
      <x:c r="L8" s="11"/>
      <x:c r="M8" s="11"/>
      <x:c r="N8" s="11" t="str">
        <x:v>ALL_CONTACTS_ALIGNED</x:v>
      </x:c>
      <x:c r="O8" s="11"/>
      <x:c r="P8" s="11" t="str"/>
      <x:c r="Q8" s="11" t="str"/>
      <x:c r="R8" s="11" t="str"/>
      <x:c r="S8" s="11" t="str"/>
      <x:c r="T8" s="11" t="str"/>
      <x:c r="U8" s="11" t="str"/>
      <x:c r="V8" s="11" t="str"/>
      <x:c r="W8" s="11" t="str"/>
      <x:c r="X8" s="11" t="str">
        <x:v>NOT_RUN</x:v>
      </x:c>
      <x:c r="Y8" s="11" t="str"/>
      <x:c r="Z8" s="11" t="str"/>
      <x:c r="AA8" s="9" t="str">
        <x:f>IF(X8&lt;&gt;"PASS","NOT_PASS",IF(OR(ISNUMBER(SEARCH("OPEN",K8)),ISNUMBER(SEARCH("PARTIAL",K8))),"LIMIT_OPEN",IF(AND(OR(L8&lt;&gt;"",M8&lt;&gt;"",N8&lt;&gt;""),OR(O8&lt;&gt;"",P8&lt;&gt;""),Q8&lt;&gt;"",R8&lt;&gt;"",S8&lt;&gt;"",LEN(T8)=64,U8&lt;&gt;"",V8&lt;&gt;"",U8&lt;&gt;V8,W8&lt;&gt;""),"READY","INCOMPLETE")))</x:f>
        <x:v>NOT_PASS</x:v>
      </x:c>
    </x:row>
    <x:row r="9" ht="43.20000076293945" hidden="0" customHeight="1">
      <x:c r="A9" s="9" t="n">
        <x:v>50</x:v>
      </x:c>
      <x:c r="B9" s="9" t="str">
        <x:v>FIX-SAFE-01</x:v>
      </x:c>
      <x:c r="C9" s="9" t="str">
        <x:v>Оснастка</x:v>
      </x:c>
      <x:c r="D9" s="9" t="str"/>
      <x:c r="E9" s="9" t="str"/>
      <x:c r="F9" s="9" t="str">
        <x:v>Проверить, что все выходы оснастки высокоомны до valid VTREF, а аварийное отключение снимает питание DUT и CELL_USB_VBUS.</x:v>
      </x:c>
      <x:c r="G9" s="9" t="str">
        <x:v>Verify all fixture outputs remain high impedance until valid VTREF and the emergency stop removes DUT and CELL_USB_VBUS power.</x:v>
      </x:c>
      <x:c r="H9" s="9" t="str">
        <x:v>safe_state</x:v>
      </x:c>
      <x:c r="I9" s="9" t="str"/>
      <x:c r="J9" s="9" t="str"/>
      <x:c r="K9" s="11" t="str">
        <x:v>APPROVED_DOCUMENTARY</x:v>
      </x:c>
      <x:c r="L9" s="11"/>
      <x:c r="M9" s="11"/>
      <x:c r="N9" s="11" t="str">
        <x:v>PASS</x:v>
      </x:c>
      <x:c r="O9" s="11"/>
      <x:c r="P9" s="11" t="str"/>
      <x:c r="Q9" s="11" t="str"/>
      <x:c r="R9" s="11" t="str"/>
      <x:c r="S9" s="11" t="str"/>
      <x:c r="T9" s="11" t="str"/>
      <x:c r="U9" s="11" t="str"/>
      <x:c r="V9" s="11" t="str"/>
      <x:c r="W9" s="11" t="str"/>
      <x:c r="X9" s="11" t="str">
        <x:v>NOT_RUN</x:v>
      </x:c>
      <x:c r="Y9" s="11" t="str"/>
      <x:c r="Z9" s="11" t="str"/>
      <x:c r="AA9" s="9" t="str">
        <x:f>IF(X9&lt;&gt;"PASS","NOT_PASS",IF(OR(ISNUMBER(SEARCH("OPEN",K9)),ISNUMBER(SEARCH("PARTIAL",K9))),"LIMIT_OPEN",IF(AND(OR(L9&lt;&gt;"",M9&lt;&gt;"",N9&lt;&gt;""),OR(O9&lt;&gt;"",P9&lt;&gt;""),Q9&lt;&gt;"",R9&lt;&gt;"",S9&lt;&gt;"",LEN(T9)=64,U9&lt;&gt;"",V9&lt;&gt;"",U9&lt;&gt;V9,W9&lt;&gt;""),"READY","INCOMPLETE")))</x:f>
        <x:v>NOT_PASS</x:v>
      </x:c>
    </x:row>
    <x:row r="10" ht="28.799999237060547" hidden="0" customHeight="1">
      <x:c r="A10" s="9" t="n">
        <x:v>100</x:v>
      </x:c>
      <x:c r="B10" s="9" t="str">
        <x:v>PRE-ID-01</x:v>
      </x:c>
      <x:c r="C10" s="9" t="str">
        <x:v>DUT до питания</x:v>
      </x:c>
      <x:c r="D10" s="9" t="str"/>
      <x:c r="E10" s="9" t="str"/>
      <x:c r="F10" s="9" t="str">
        <x:v>Сверить DIO-EVT-B01, station ID 901, tenant bench, PCB serials, ревизии и release manifest.</x:v>
      </x:c>
      <x:c r="G10" s="9" t="str">
        <x:v>Verify DIO-EVT-B01, station ID 901, bench tenant, PCB serials, revisions and release manifest.</x:v>
      </x:c>
      <x:c r="H10" s="9" t="str">
        <x:v>configuration_match</x:v>
      </x:c>
      <x:c r="I10" s="9" t="str"/>
      <x:c r="J10" s="9" t="str"/>
      <x:c r="K10" s="11" t="str">
        <x:v>APPROVED_DOCUMENTARY</x:v>
      </x:c>
      <x:c r="L10" s="11"/>
      <x:c r="M10" s="11"/>
      <x:c r="N10" s="11" t="str">
        <x:v>MATCH</x:v>
      </x:c>
      <x:c r="O10" s="11"/>
      <x:c r="P10" s="11" t="str"/>
      <x:c r="Q10" s="11" t="str"/>
      <x:c r="R10" s="11" t="str"/>
      <x:c r="S10" s="11" t="str"/>
      <x:c r="T10" s="11" t="str"/>
      <x:c r="U10" s="11" t="str"/>
      <x:c r="V10" s="11" t="str"/>
      <x:c r="W10" s="11" t="str"/>
      <x:c r="X10" s="11" t="str">
        <x:v>NOT_RUN</x:v>
      </x:c>
      <x:c r="Y10" s="11" t="str"/>
      <x:c r="Z10" s="11" t="str"/>
      <x:c r="AA10" s="9" t="str">
        <x:f>IF(X10&lt;&gt;"PASS","NOT_PASS",IF(OR(ISNUMBER(SEARCH("OPEN",K10)),ISNUMBER(SEARCH("PARTIAL",K10))),"LIMIT_OPEN",IF(AND(OR(L10&lt;&gt;"",M10&lt;&gt;"",N10&lt;&gt;""),OR(O10&lt;&gt;"",P10&lt;&gt;""),Q10&lt;&gt;"",R10&lt;&gt;"",S10&lt;&gt;"",LEN(T10)=64,U10&lt;&gt;"",V10&lt;&gt;"",U10&lt;&gt;V10,W10&lt;&gt;""),"READY","INCOMPLETE")))</x:f>
        <x:v>NOT_PASS</x:v>
      </x:c>
    </x:row>
    <x:row r="11" ht="28.799999237060547" hidden="0" customHeight="1">
      <x:c r="A11" s="9" t="n">
        <x:v>110</x:v>
      </x:c>
      <x:c r="B11" s="9" t="str">
        <x:v>PRE-R-3V3</x:v>
      </x:c>
      <x:c r="C11" s="9" t="str">
        <x:v>DUT до питания</x:v>
      </x:c>
      <x:c r="D11" s="9" t="str">
        <x:v>TP_EOL</x:v>
      </x:c>
      <x:c r="E11" s="9" t="str">
        <x:v>2-1</x:v>
      </x:c>
      <x:c r="F11" s="9" t="str">
        <x:v>Измерить сопротивление TP_EOL.2 относительно TP_EOL.1 на обесточенной плате.</x:v>
      </x:c>
      <x:c r="G11" s="9" t="str">
        <x:v>Measure resistance from TP_EOL.2 to TP_EOL.1 on the unpowered board.</x:v>
      </x:c>
      <x:c r="H11" s="9" t="str">
        <x:v>3V3_to_GND_resistance</x:v>
      </x:c>
      <x:c r="I11" s="9" t="str">
        <x:v>ohm</x:v>
      </x:c>
      <x:c r="J11" s="9" t="str">
        <x:v>Characterize and approve from B01 plus golden unit</x:v>
      </x:c>
      <x:c r="K11" s="11" t="str">
        <x:v>OPEN_B01_FREEZE</x:v>
      </x:c>
      <x:c r="L11" s="11"/>
      <x:c r="M11" s="11"/>
      <x:c r="N11" s="11" t="str"/>
      <x:c r="O11" s="11"/>
      <x:c r="P11" s="11" t="str"/>
      <x:c r="Q11" s="11" t="str"/>
      <x:c r="R11" s="11" t="str"/>
      <x:c r="S11" s="11" t="str"/>
      <x:c r="T11" s="11" t="str"/>
      <x:c r="U11" s="11" t="str"/>
      <x:c r="V11" s="11" t="str"/>
      <x:c r="W11" s="11" t="str"/>
      <x:c r="X11" s="11" t="str">
        <x:v>NOT_RUN</x:v>
      </x:c>
      <x:c r="Y11" s="11" t="str"/>
      <x:c r="Z11" s="11" t="str"/>
      <x:c r="AA11" s="9" t="str">
        <x:f>IF(X11&lt;&gt;"PASS","NOT_PASS",IF(OR(ISNUMBER(SEARCH("OPEN",K11)),ISNUMBER(SEARCH("PARTIAL",K11))),"LIMIT_OPEN",IF(AND(OR(L11&lt;&gt;"",M11&lt;&gt;"",N11&lt;&gt;""),OR(O11&lt;&gt;"",P11&lt;&gt;""),Q11&lt;&gt;"",R11&lt;&gt;"",S11&lt;&gt;"",LEN(T11)=64,U11&lt;&gt;"",V11&lt;&gt;"",U11&lt;&gt;V11,W11&lt;&gt;""),"READY","INCOMPLETE")))</x:f>
        <x:v>NOT_PASS</x:v>
      </x:c>
    </x:row>
    <x:row r="12" ht="28.799999237060547" hidden="0" customHeight="1">
      <x:c r="A12" s="9" t="n">
        <x:v>120</x:v>
      </x:c>
      <x:c r="B12" s="9" t="str">
        <x:v>PRE-R-3V8</x:v>
      </x:c>
      <x:c r="C12" s="9" t="str">
        <x:v>DUT до питания</x:v>
      </x:c>
      <x:c r="D12" s="9" t="str">
        <x:v>TP_EOL</x:v>
      </x:c>
      <x:c r="E12" s="9" t="str">
        <x:v>3-1</x:v>
      </x:c>
      <x:c r="F12" s="9" t="str">
        <x:v>Измерить сопротивление TP_EOL.3 относительно TP_EOL.1 на обесточенной плате.</x:v>
      </x:c>
      <x:c r="G12" s="9" t="str">
        <x:v>Measure resistance from TP_EOL.3 to TP_EOL.1 on the unpowered board.</x:v>
      </x:c>
      <x:c r="H12" s="9" t="str">
        <x:v>3V8_to_GND_resistance</x:v>
      </x:c>
      <x:c r="I12" s="9" t="str">
        <x:v>ohm</x:v>
      </x:c>
      <x:c r="J12" s="9" t="str">
        <x:v>Characterize and approve from B01 plus golden unit</x:v>
      </x:c>
      <x:c r="K12" s="11" t="str">
        <x:v>OPEN_B01_FREEZE</x:v>
      </x:c>
      <x:c r="L12" s="11"/>
      <x:c r="M12" s="11"/>
      <x:c r="N12" s="11" t="str"/>
      <x:c r="O12" s="11"/>
      <x:c r="P12" s="11" t="str"/>
      <x:c r="Q12" s="11" t="str"/>
      <x:c r="R12" s="11" t="str"/>
      <x:c r="S12" s="11" t="str"/>
      <x:c r="T12" s="11" t="str"/>
      <x:c r="U12" s="11" t="str"/>
      <x:c r="V12" s="11" t="str"/>
      <x:c r="W12" s="11" t="str"/>
      <x:c r="X12" s="11" t="str">
        <x:v>NOT_RUN</x:v>
      </x:c>
      <x:c r="Y12" s="11" t="str"/>
      <x:c r="Z12" s="11" t="str"/>
      <x:c r="AA12" s="9" t="str">
        <x:f>IF(X12&lt;&gt;"PASS","NOT_PASS",IF(OR(ISNUMBER(SEARCH("OPEN",K12)),ISNUMBER(SEARCH("PARTIAL",K12))),"LIMIT_OPEN",IF(AND(OR(L12&lt;&gt;"",M12&lt;&gt;"",N12&lt;&gt;""),OR(O12&lt;&gt;"",P12&lt;&gt;""),Q12&lt;&gt;"",R12&lt;&gt;"",S12&lt;&gt;"",LEN(T12)=64,U12&lt;&gt;"",V12&lt;&gt;"",U12&lt;&gt;V12,W12&lt;&gt;""),"READY","INCOMPLETE")))</x:f>
        <x:v>NOT_PASS</x:v>
      </x:c>
    </x:row>
    <x:row r="13" ht="28.799999237060547" hidden="0" customHeight="1">
      <x:c r="A13" s="9" t="n">
        <x:v>130</x:v>
      </x:c>
      <x:c r="B13" s="9" t="str">
        <x:v>PRE-R-1V8</x:v>
      </x:c>
      <x:c r="C13" s="9" t="str">
        <x:v>DUT до питания</x:v>
      </x:c>
      <x:c r="D13" s="9" t="str">
        <x:v>TP_EOL</x:v>
      </x:c>
      <x:c r="E13" s="9" t="str">
        <x:v>4-1</x:v>
      </x:c>
      <x:c r="F13" s="9" t="str">
        <x:v>Измерить сопротивление TP_EOL.4 относительно TP_EOL.1 на обесточенной плате.</x:v>
      </x:c>
      <x:c r="G13" s="9" t="str">
        <x:v>Measure resistance from TP_EOL.4 to TP_EOL.1 on the unpowered board.</x:v>
      </x:c>
      <x:c r="H13" s="9" t="str">
        <x:v>1V8_to_GND_resistance</x:v>
      </x:c>
      <x:c r="I13" s="9" t="str">
        <x:v>ohm</x:v>
      </x:c>
      <x:c r="J13" s="9" t="str">
        <x:v>Characterize and approve from B01 plus golden unit</x:v>
      </x:c>
      <x:c r="K13" s="11" t="str">
        <x:v>OPEN_B01_FREEZE</x:v>
      </x:c>
      <x:c r="L13" s="11"/>
      <x:c r="M13" s="11"/>
      <x:c r="N13" s="11" t="str"/>
      <x:c r="O13" s="11"/>
      <x:c r="P13" s="11" t="str"/>
      <x:c r="Q13" s="11" t="str"/>
      <x:c r="R13" s="11" t="str"/>
      <x:c r="S13" s="11" t="str"/>
      <x:c r="T13" s="11" t="str"/>
      <x:c r="U13" s="11" t="str"/>
      <x:c r="V13" s="11" t="str"/>
      <x:c r="W13" s="11" t="str"/>
      <x:c r="X13" s="11" t="str">
        <x:v>NOT_RUN</x:v>
      </x:c>
      <x:c r="Y13" s="11" t="str"/>
      <x:c r="Z13" s="11" t="str"/>
      <x:c r="AA13" s="9" t="str">
        <x:f>IF(X13&lt;&gt;"PASS","NOT_PASS",IF(OR(ISNUMBER(SEARCH("OPEN",K13)),ISNUMBER(SEARCH("PARTIAL",K13))),"LIMIT_OPEN",IF(AND(OR(L13&lt;&gt;"",M13&lt;&gt;"",N13&lt;&gt;""),OR(O13&lt;&gt;"",P13&lt;&gt;""),Q13&lt;&gt;"",R13&lt;&gt;"",S13&lt;&gt;"",LEN(T13)=64,U13&lt;&gt;"",V13&lt;&gt;"",U13&lt;&gt;V13,W13&lt;&gt;""),"READY","INCOMPLETE")))</x:f>
        <x:v>NOT_PASS</x:v>
      </x:c>
    </x:row>
    <x:row r="14" ht="43.20000076293945" hidden="0" customHeight="1">
      <x:c r="A14" s="9" t="n">
        <x:v>200</x:v>
      </x:c>
      <x:c r="B14" s="9" t="str">
        <x:v>PWR-IN-01</x:v>
      </x:c>
      <x:c r="C14" s="9" t="str">
        <x:v>Первое питание</x:v>
      </x:c>
      <x:c r="D14" s="9" t="str"/>
      <x:c r="E14" s="9" t="str"/>
      <x:c r="F14" s="9" t="str">
        <x:v>Подать питание через штатный J_PWR_IN от лабораторного источника с утвержденным ограничением тока. Зафиксировать пусковой и установившийся ток.</x:v>
      </x:c>
      <x:c r="G14" s="9" t="str">
        <x:v>Power through the normal J_PWR_IN input using a current-limited bench supply. Record inrush and steady current.</x:v>
      </x:c>
      <x:c r="H14" s="9" t="str">
        <x:v>input_current</x:v>
      </x:c>
      <x:c r="I14" s="9" t="str">
        <x:v>A</x:v>
      </x:c>
      <x:c r="J14" s="9" t="str">
        <x:v>10.0 to 14.6 V provisional input envelope; current limit from approved power traveller</x:v>
      </x:c>
      <x:c r="K14" s="11" t="str">
        <x:v>OPEN_B01_FREEZE</x:v>
      </x:c>
      <x:c r="L14" s="11"/>
      <x:c r="M14" s="11"/>
      <x:c r="N14" s="11" t="str"/>
      <x:c r="O14" s="11"/>
      <x:c r="P14" s="11" t="str"/>
      <x:c r="Q14" s="11" t="str"/>
      <x:c r="R14" s="11" t="str"/>
      <x:c r="S14" s="11" t="str"/>
      <x:c r="T14" s="11" t="str"/>
      <x:c r="U14" s="11" t="str"/>
      <x:c r="V14" s="11" t="str"/>
      <x:c r="W14" s="11" t="str"/>
      <x:c r="X14" s="11" t="str">
        <x:v>NOT_RUN</x:v>
      </x:c>
      <x:c r="Y14" s="11" t="str"/>
      <x:c r="Z14" s="11" t="str"/>
      <x:c r="AA14" s="9" t="str">
        <x:f>IF(X14&lt;&gt;"PASS","NOT_PASS",IF(OR(ISNUMBER(SEARCH("OPEN",K14)),ISNUMBER(SEARCH("PARTIAL",K14))),"LIMIT_OPEN",IF(AND(OR(L14&lt;&gt;"",M14&lt;&gt;"",N14&lt;&gt;""),OR(O14&lt;&gt;"",P14&lt;&gt;""),Q14&lt;&gt;"",R14&lt;&gt;"",S14&lt;&gt;"",LEN(T14)=64,U14&lt;&gt;"",V14&lt;&gt;"",U14&lt;&gt;V14,W14&lt;&gt;""),"READY","INCOMPLETE")))</x:f>
        <x:v>NOT_PASS</x:v>
      </x:c>
    </x:row>
    <x:row r="15" ht="28.799999237060547" hidden="0" customHeight="1">
      <x:c r="A15" s="9" t="n">
        <x:v>210</x:v>
      </x:c>
      <x:c r="B15" s="9" t="str">
        <x:v>PWR-3V3-01</x:v>
      </x:c>
      <x:c r="C15" s="9" t="str">
        <x:v>Первое питание</x:v>
      </x:c>
      <x:c r="D15" s="9" t="str">
        <x:v>TP_EOL</x:v>
      </x:c>
      <x:c r="E15" s="9" t="str">
        <x:v>2-1</x:v>
      </x:c>
      <x:c r="F15" s="9" t="str">
        <x:v>Измерить 3V3_DIGITAL на TP_EOL.2 относительно TP_EOL.1 во время старта и после стабилизации.</x:v>
      </x:c>
      <x:c r="G15" s="9" t="str">
        <x:v>Measure 3V3_DIGITAL at TP_EOL.2 relative to TP_EOL.1 during startup and steady state.</x:v>
      </x:c>
      <x:c r="H15" s="9" t="str">
        <x:v>3V3_DIGITAL</x:v>
      </x:c>
      <x:c r="I15" s="9" t="str">
        <x:v>V</x:v>
      </x:c>
      <x:c r="J15" s="9" t="str">
        <x:v>3.3 V nominal</x:v>
      </x:c>
      <x:c r="K15" s="11" t="str">
        <x:v>OPEN_B01_FREEZE</x:v>
      </x:c>
      <x:c r="L15" s="11"/>
      <x:c r="M15" s="11"/>
      <x:c r="N15" s="11" t="str"/>
      <x:c r="O15" s="11"/>
      <x:c r="P15" s="11" t="str"/>
      <x:c r="Q15" s="11" t="str"/>
      <x:c r="R15" s="11" t="str"/>
      <x:c r="S15" s="11" t="str"/>
      <x:c r="T15" s="11" t="str"/>
      <x:c r="U15" s="11" t="str"/>
      <x:c r="V15" s="11" t="str"/>
      <x:c r="W15" s="11" t="str"/>
      <x:c r="X15" s="11" t="str">
        <x:v>NOT_RUN</x:v>
      </x:c>
      <x:c r="Y15" s="11" t="str"/>
      <x:c r="Z15" s="11" t="str"/>
      <x:c r="AA15" s="9" t="str">
        <x:f>IF(X15&lt;&gt;"PASS","NOT_PASS",IF(OR(ISNUMBER(SEARCH("OPEN",K15)),ISNUMBER(SEARCH("PARTIAL",K15))),"LIMIT_OPEN",IF(AND(OR(L15&lt;&gt;"",M15&lt;&gt;"",N15&lt;&gt;""),OR(O15&lt;&gt;"",P15&lt;&gt;""),Q15&lt;&gt;"",R15&lt;&gt;"",S15&lt;&gt;"",LEN(T15)=64,U15&lt;&gt;"",V15&lt;&gt;"",U15&lt;&gt;V15,W15&lt;&gt;""),"READY","INCOMPLETE")))</x:f>
        <x:v>NOT_PASS</x:v>
      </x:c>
    </x:row>
    <x:row r="16" ht="28.799999237060547" hidden="0" customHeight="1">
      <x:c r="A16" s="9" t="n">
        <x:v>220</x:v>
      </x:c>
      <x:c r="B16" s="9" t="str">
        <x:v>PWR-3V8-01</x:v>
      </x:c>
      <x:c r="C16" s="9" t="str">
        <x:v>Первое питание</x:v>
      </x:c>
      <x:c r="D16" s="9" t="str">
        <x:v>TP_EOL</x:v>
      </x:c>
      <x:c r="E16" s="9" t="str">
        <x:v>3-1</x:v>
      </x:c>
      <x:c r="F16" s="9" t="str">
        <x:v>Измерить 3V8_MODEM на TP_EOL.3 относительно TP_EOL.1 в состояниях modem off, startup и traffic burst.</x:v>
      </x:c>
      <x:c r="G16" s="9" t="str">
        <x:v>Measure 3V8_MODEM at TP_EOL.3 relative to TP_EOL.1 with modem off, during startup and during a traffic burst.</x:v>
      </x:c>
      <x:c r="H16" s="9" t="str">
        <x:v>3V8_MODEM</x:v>
      </x:c>
      <x:c r="I16" s="9" t="str">
        <x:v>V</x:v>
      </x:c>
      <x:c r="J16" s="9" t="str">
        <x:v>3.8 V nominal; every U8 VBAT pad must remain &gt;= 3.3 V in EVT-PWR-01</x:v>
      </x:c>
      <x:c r="K16" s="11" t="str">
        <x:v>PARTIAL_APPROVED_MIN_ONLY</x:v>
      </x:c>
      <x:c r="L16" s="11" t="n">
        <x:v>3.3</x:v>
      </x:c>
      <x:c r="M16" s="11"/>
      <x:c r="N16" s="11" t="str"/>
      <x:c r="O16" s="11"/>
      <x:c r="P16" s="11" t="str"/>
      <x:c r="Q16" s="11" t="str"/>
      <x:c r="R16" s="11" t="str"/>
      <x:c r="S16" s="11" t="str"/>
      <x:c r="T16" s="11" t="str"/>
      <x:c r="U16" s="11" t="str"/>
      <x:c r="V16" s="11" t="str"/>
      <x:c r="W16" s="11" t="str"/>
      <x:c r="X16" s="11" t="str">
        <x:v>NOT_RUN</x:v>
      </x:c>
      <x:c r="Y16" s="11" t="str"/>
      <x:c r="Z16" s="11" t="str"/>
      <x:c r="AA16" s="9" t="str">
        <x:f>IF(X16&lt;&gt;"PASS","NOT_PASS",IF(OR(ISNUMBER(SEARCH("OPEN",K16)),ISNUMBER(SEARCH("PARTIAL",K16))),"LIMIT_OPEN",IF(AND(OR(L16&lt;&gt;"",M16&lt;&gt;"",N16&lt;&gt;""),OR(O16&lt;&gt;"",P16&lt;&gt;""),Q16&lt;&gt;"",R16&lt;&gt;"",S16&lt;&gt;"",LEN(T16)=64,U16&lt;&gt;"",V16&lt;&gt;"",U16&lt;&gt;V16,W16&lt;&gt;""),"READY","INCOMPLETE")))</x:f>
        <x:v>NOT_PASS</x:v>
      </x:c>
    </x:row>
    <x:row r="17" ht="28.799999237060547" hidden="0" customHeight="1">
      <x:c r="A17" s="9" t="n">
        <x:v>230</x:v>
      </x:c>
      <x:c r="B17" s="9" t="str">
        <x:v>PWR-1V8-01</x:v>
      </x:c>
      <x:c r="C17" s="9" t="str">
        <x:v>Первое питание</x:v>
      </x:c>
      <x:c r="D17" s="9" t="str">
        <x:v>TP_EOL</x:v>
      </x:c>
      <x:c r="E17" s="9" t="str">
        <x:v>4-1</x:v>
      </x:c>
      <x:c r="F17" s="9" t="str">
        <x:v>Измерить 1V8_MIC на TP_EOL.4 относительно TP_EOL.1 в AAD idle, PDM start и active capture.</x:v>
      </x:c>
      <x:c r="G17" s="9" t="str">
        <x:v>Measure 1V8_MIC at TP_EOL.4 relative to TP_EOL.1 in AAD idle, PDM startup and active capture.</x:v>
      </x:c>
      <x:c r="H17" s="9" t="str">
        <x:v>1V8_MIC</x:v>
      </x:c>
      <x:c r="I17" s="9" t="str">
        <x:v>V</x:v>
      </x:c>
      <x:c r="J17" s="9" t="str">
        <x:v>1.8 V nominal</x:v>
      </x:c>
      <x:c r="K17" s="11" t="str">
        <x:v>OPEN_B01_FREEZE</x:v>
      </x:c>
      <x:c r="L17" s="11"/>
      <x:c r="M17" s="11"/>
      <x:c r="N17" s="11" t="str"/>
      <x:c r="O17" s="11"/>
      <x:c r="P17" s="11" t="str"/>
      <x:c r="Q17" s="11" t="str"/>
      <x:c r="R17" s="11" t="str"/>
      <x:c r="S17" s="11" t="str"/>
      <x:c r="T17" s="11" t="str"/>
      <x:c r="U17" s="11" t="str"/>
      <x:c r="V17" s="11" t="str"/>
      <x:c r="W17" s="11" t="str"/>
      <x:c r="X17" s="11" t="str">
        <x:v>NOT_RUN</x:v>
      </x:c>
      <x:c r="Y17" s="11" t="str"/>
      <x:c r="Z17" s="11" t="str"/>
      <x:c r="AA17" s="9" t="str">
        <x:f>IF(X17&lt;&gt;"PASS","NOT_PASS",IF(OR(ISNUMBER(SEARCH("OPEN",K17)),ISNUMBER(SEARCH("PARTIAL",K17))),"LIMIT_OPEN",IF(AND(OR(L17&lt;&gt;"",M17&lt;&gt;"",N17&lt;&gt;""),OR(O17&lt;&gt;"",P17&lt;&gt;""),Q17&lt;&gt;"",R17&lt;&gt;"",S17&lt;&gt;"",LEN(T17)=64,U17&lt;&gt;"",V17&lt;&gt;"",U17&lt;&gt;V17,W17&lt;&gt;""),"READY","INCOMPLETE")))</x:f>
        <x:v>NOT_PASS</x:v>
      </x:c>
    </x:row>
    <x:row r="18" ht="28.799999237060547" hidden="0" customHeight="1">
      <x:c r="A18" s="9" t="n">
        <x:v>240</x:v>
      </x:c>
      <x:c r="B18" s="9" t="str">
        <x:v>PWR-GOOD-01</x:v>
      </x:c>
      <x:c r="C18" s="9" t="str">
        <x:v>Первое питание</x:v>
      </x:c>
      <x:c r="D18" s="9" t="str">
        <x:v>TP_EOL</x:v>
      </x:c>
      <x:c r="E18" s="9" t="str">
        <x:v>7-1</x:v>
      </x:c>
      <x:c r="F18" s="9" t="str">
        <x:v>Наблюдать TP_EOL.7 относительно TP_EOL.1. Не подавать сигнал извне.</x:v>
      </x:c>
      <x:c r="G18" s="9" t="str">
        <x:v>Observe TP_EOL.7 relative to TP_EOL.1. Do not drive this contact.</x:v>
      </x:c>
      <x:c r="H18" s="9" t="str">
        <x:v>PWR_GOOD_sequence</x:v>
      </x:c>
      <x:c r="I18" s="9" t="str">
        <x:v>V and ms</x:v>
      </x:c>
      <x:c r="J18" s="9" t="str">
        <x:v>inactive until rails are valid, then stable active state per PCB-PWR contract</x:v>
      </x:c>
      <x:c r="K18" s="11" t="str">
        <x:v>OPEN_B01_FREEZE</x:v>
      </x:c>
      <x:c r="L18" s="11"/>
      <x:c r="M18" s="11"/>
      <x:c r="N18" s="11" t="str"/>
      <x:c r="O18" s="11"/>
      <x:c r="P18" s="11" t="str"/>
      <x:c r="Q18" s="11" t="str"/>
      <x:c r="R18" s="11" t="str"/>
      <x:c r="S18" s="11" t="str"/>
      <x:c r="T18" s="11" t="str"/>
      <x:c r="U18" s="11" t="str"/>
      <x:c r="V18" s="11" t="str"/>
      <x:c r="W18" s="11" t="str"/>
      <x:c r="X18" s="11" t="str">
        <x:v>NOT_RUN</x:v>
      </x:c>
      <x:c r="Y18" s="11" t="str"/>
      <x:c r="Z18" s="11" t="str"/>
      <x:c r="AA18" s="9" t="str">
        <x:f>IF(X18&lt;&gt;"PASS","NOT_PASS",IF(OR(ISNUMBER(SEARCH("OPEN",K18)),ISNUMBER(SEARCH("PARTIAL",K18))),"LIMIT_OPEN",IF(AND(OR(L18&lt;&gt;"",M18&lt;&gt;"",N18&lt;&gt;""),OR(O18&lt;&gt;"",P18&lt;&gt;""),Q18&lt;&gt;"",R18&lt;&gt;"",S18&lt;&gt;"",LEN(T18)=64,U18&lt;&gt;"",V18&lt;&gt;"",U18&lt;&gt;V18,W18&lt;&gt;""),"READY","INCOMPLETE")))</x:f>
        <x:v>NOT_PASS</x:v>
      </x:c>
    </x:row>
    <x:row r="19" ht="28.799999237060547" hidden="0" customHeight="1">
      <x:c r="A19" s="9" t="n">
        <x:v>250</x:v>
      </x:c>
      <x:c r="B19" s="9" t="str">
        <x:v>PWR-FAULT-01</x:v>
      </x:c>
      <x:c r="C19" s="9" t="str">
        <x:v>Первое питание</x:v>
      </x:c>
      <x:c r="D19" s="9" t="str">
        <x:v>TP_EOL</x:v>
      </x:c>
      <x:c r="E19" s="9" t="str">
        <x:v>8-1</x:v>
      </x:c>
      <x:c r="F19" s="9" t="str">
        <x:v>Наблюдать TP_EOL.8 относительно TP_EOL.1 при нормальном запуске и разрешенной имитации отказа.</x:v>
      </x:c>
      <x:c r="G19" s="9" t="str">
        <x:v>Observe TP_EOL.8 relative to TP_EOL.1 during normal startup and an approved fault injection.</x:v>
      </x:c>
      <x:c r="H19" s="9" t="str">
        <x:v>FAULT_sequence</x:v>
      </x:c>
      <x:c r="I19" s="9" t="str">
        <x:v>V and ms</x:v>
      </x:c>
      <x:c r="J19" s="9" t="str">
        <x:v>inactive in normal operation and active for the approved known fault</x:v>
      </x:c>
      <x:c r="K19" s="11" t="str">
        <x:v>OPEN_B01_FREEZE</x:v>
      </x:c>
      <x:c r="L19" s="11"/>
      <x:c r="M19" s="11"/>
      <x:c r="N19" s="11" t="str"/>
      <x:c r="O19" s="11"/>
      <x:c r="P19" s="11" t="str"/>
      <x:c r="Q19" s="11" t="str"/>
      <x:c r="R19" s="11" t="str"/>
      <x:c r="S19" s="11" t="str"/>
      <x:c r="T19" s="11" t="str"/>
      <x:c r="U19" s="11" t="str"/>
      <x:c r="V19" s="11" t="str"/>
      <x:c r="W19" s="11" t="str"/>
      <x:c r="X19" s="11" t="str">
        <x:v>NOT_RUN</x:v>
      </x:c>
      <x:c r="Y19" s="11" t="str"/>
      <x:c r="Z19" s="11" t="str"/>
      <x:c r="AA19" s="9" t="str">
        <x:f>IF(X19&lt;&gt;"PASS","NOT_PASS",IF(OR(ISNUMBER(SEARCH("OPEN",K19)),ISNUMBER(SEARCH("PARTIAL",K19))),"LIMIT_OPEN",IF(AND(OR(L19&lt;&gt;"",M19&lt;&gt;"",N19&lt;&gt;""),OR(O19&lt;&gt;"",P19&lt;&gt;""),Q19&lt;&gt;"",R19&lt;&gt;"",S19&lt;&gt;"",LEN(T19)=64,U19&lt;&gt;"",V19&lt;&gt;"",U19&lt;&gt;V19,W19&lt;&gt;""),"READY","INCOMPLETE")))</x:f>
        <x:v>NOT_PASS</x:v>
      </x:c>
    </x:row>
    <x:row r="20" ht="28.799999237060547" hidden="0" customHeight="1">
      <x:c r="A20" s="9" t="n">
        <x:v>300</x:v>
      </x:c>
      <x:c r="B20" s="9" t="str">
        <x:v>REV-STRAP-01</x:v>
      </x:c>
      <x:c r="C20" s="9" t="str">
        <x:v>Идентификация платы</x:v>
      </x:c>
      <x:c r="D20" s="9" t="str">
        <x:v>TP_EOL</x:v>
      </x:c>
      <x:c r="E20" s="9" t="str">
        <x:v>10-1 and 11-1</x:v>
      </x:c>
      <x:c r="F20" s="9" t="str">
        <x:v>Считать TP_EOL.10 и TP_EOL.11 относительно TP_EOL.1 и сопоставить REV0/REV1 с traveller.</x:v>
      </x:c>
      <x:c r="G20" s="9" t="str">
        <x:v>Read TP_EOL.10 and TP_EOL.11 relative to TP_EOL.1 and match REV0/REV1 to the traveller.</x:v>
      </x:c>
      <x:c r="H20" s="9" t="str">
        <x:v>revision_strap</x:v>
      </x:c>
      <x:c r="I20" s="9" t="str">
        <x:v>logic</x:v>
      </x:c>
      <x:c r="J20" s="9" t="str">
        <x:v>Exact strap code from released PCB revision</x:v>
      </x:c>
      <x:c r="K20" s="11" t="str">
        <x:v>APPROVED_DOCUMENTARY</x:v>
      </x:c>
      <x:c r="L20" s="11"/>
      <x:c r="M20" s="11"/>
      <x:c r="N20" s="11" t="str">
        <x:v>MATCH_TRAVELLER</x:v>
      </x:c>
      <x:c r="O20" s="11"/>
      <x:c r="P20" s="11" t="str"/>
      <x:c r="Q20" s="11" t="str"/>
      <x:c r="R20" s="11" t="str"/>
      <x:c r="S20" s="11" t="str"/>
      <x:c r="T20" s="11" t="str"/>
      <x:c r="U20" s="11" t="str"/>
      <x:c r="V20" s="11" t="str"/>
      <x:c r="W20" s="11" t="str"/>
      <x:c r="X20" s="11" t="str">
        <x:v>NOT_RUN</x:v>
      </x:c>
      <x:c r="Y20" s="11" t="str"/>
      <x:c r="Z20" s="11" t="str"/>
      <x:c r="AA20" s="9" t="str">
        <x:f>IF(X20&lt;&gt;"PASS","NOT_PASS",IF(OR(ISNUMBER(SEARCH("OPEN",K20)),ISNUMBER(SEARCH("PARTIAL",K20))),"LIMIT_OPEN",IF(AND(OR(L20&lt;&gt;"",M20&lt;&gt;"",N20&lt;&gt;""),OR(O20&lt;&gt;"",P20&lt;&gt;""),Q20&lt;&gt;"",R20&lt;&gt;"",S20&lt;&gt;"",LEN(T20)=64,U20&lt;&gt;"",V20&lt;&gt;"",U20&lt;&gt;V20,W20&lt;&gt;""),"READY","INCOMPLETE")))</x:f>
        <x:v>NOT_PASS</x:v>
      </x:c>
    </x:row>
    <x:row r="21" ht="28.799999237060547" hidden="0" customHeight="1">
      <x:c r="A21" s="9" t="n">
        <x:v>310</x:v>
      </x:c>
      <x:c r="B21" s="9" t="str">
        <x:v>UART-IDLE-01</x:v>
      </x:c>
      <x:c r="C21" s="9" t="str">
        <x:v>TEST UART</x:v>
      </x:c>
      <x:c r="D21" s="9" t="str">
        <x:v>TP_EOL</x:v>
      </x:c>
      <x:c r="E21" s="9" t="str">
        <x:v>5-1</x:v>
      </x:c>
      <x:c r="F21" s="9" t="str">
        <x:v>Измерить idle уровень выхода DUT_TX на TP_EOL.5 относительно TP_EOL.1 до подключения приемника оснастки.</x:v>
      </x:c>
      <x:c r="G21" s="9" t="str">
        <x:v>Measure DUT_TX idle level at TP_EOL.5 relative to TP_EOL.1 before connecting the fixture receiver.</x:v>
      </x:c>
      <x:c r="H21" s="9" t="str">
        <x:v>uart_idle_level</x:v>
      </x:c>
      <x:c r="I21" s="9" t="str">
        <x:v>V</x:v>
      </x:c>
      <x:c r="J21" s="9" t="str">
        <x:v>3.3 V logic domain</x:v>
      </x:c>
      <x:c r="K21" s="11" t="str">
        <x:v>OPEN_B01_FREEZE</x:v>
      </x:c>
      <x:c r="L21" s="11"/>
      <x:c r="M21" s="11"/>
      <x:c r="N21" s="11" t="str"/>
      <x:c r="O21" s="11"/>
      <x:c r="P21" s="11" t="str"/>
      <x:c r="Q21" s="11" t="str"/>
      <x:c r="R21" s="11" t="str"/>
      <x:c r="S21" s="11" t="str"/>
      <x:c r="T21" s="11" t="str"/>
      <x:c r="U21" s="11" t="str"/>
      <x:c r="V21" s="11" t="str"/>
      <x:c r="W21" s="11" t="str"/>
      <x:c r="X21" s="11" t="str">
        <x:v>NOT_RUN</x:v>
      </x:c>
      <x:c r="Y21" s="11" t="str"/>
      <x:c r="Z21" s="11" t="str"/>
      <x:c r="AA21" s="9" t="str">
        <x:f>IF(X21&lt;&gt;"PASS","NOT_PASS",IF(OR(ISNUMBER(SEARCH("OPEN",K21)),ISNUMBER(SEARCH("PARTIAL",K21))),"LIMIT_OPEN",IF(AND(OR(L21&lt;&gt;"",M21&lt;&gt;"",N21&lt;&gt;""),OR(O21&lt;&gt;"",P21&lt;&gt;""),Q21&lt;&gt;"",R21&lt;&gt;"",S21&lt;&gt;"",LEN(T21)=64,U21&lt;&gt;"",V21&lt;&gt;"",U21&lt;&gt;V21,W21&lt;&gt;""),"READY","INCOMPLETE")))</x:f>
        <x:v>NOT_PASS</x:v>
      </x:c>
    </x:row>
    <x:row r="22" ht="43.20000076293945" hidden="0" customHeight="1">
      <x:c r="A22" s="9" t="n">
        <x:v>320</x:v>
      </x:c>
      <x:c r="B22" s="9" t="str">
        <x:v>UART-LINK-01</x:v>
      </x:c>
      <x:c r="C22" s="9" t="str">
        <x:v>TEST UART</x:v>
      </x:c>
      <x:c r="D22" s="9" t="str">
        <x:v>TP_EOL</x:v>
      </x:c>
      <x:c r="E22" s="9" t="str">
        <x:v>5,6,1</x:v>
      </x:c>
      <x:c r="F22" s="9" t="str">
        <x:v>После valid VTREF подключить прием оснастки к TP_EOL.5 и 3.3 V tolerant выход оснастки к TP_EOL.6. Выполнить help, identity и self-test.</x:v>
      </x:c>
      <x:c r="G22" s="9" t="str">
        <x:v>After valid VTREF, connect the fixture receiver to TP_EOL.5 and a 3.3 V tolerant fixture output to TP_EOL.6. Run help, identity and self-test.</x:v>
      </x:c>
      <x:c r="H22" s="9" t="str">
        <x:v>uart_exchange</x:v>
      </x:c>
      <x:c r="I22" s="9" t="str">
        <x:v>result</x:v>
      </x:c>
      <x:c r="J22" s="9" t="str">
        <x:v>No framing error; exact identity; required self-tests return PASS</x:v>
      </x:c>
      <x:c r="K22" s="11" t="str">
        <x:v>APPROVED_DOCUMENTARY</x:v>
      </x:c>
      <x:c r="L22" s="11"/>
      <x:c r="M22" s="11"/>
      <x:c r="N22" s="11" t="str">
        <x:v>PASS</x:v>
      </x:c>
      <x:c r="O22" s="11"/>
      <x:c r="P22" s="11" t="str"/>
      <x:c r="Q22" s="11" t="str"/>
      <x:c r="R22" s="11" t="str"/>
      <x:c r="S22" s="11" t="str"/>
      <x:c r="T22" s="11" t="str"/>
      <x:c r="U22" s="11" t="str"/>
      <x:c r="V22" s="11" t="str"/>
      <x:c r="W22" s="11" t="str"/>
      <x:c r="X22" s="11" t="str">
        <x:v>NOT_RUN</x:v>
      </x:c>
      <x:c r="Y22" s="11" t="str"/>
      <x:c r="Z22" s="11" t="str"/>
      <x:c r="AA22" s="9" t="str">
        <x:f>IF(X22&lt;&gt;"PASS","NOT_PASS",IF(OR(ISNUMBER(SEARCH("OPEN",K22)),ISNUMBER(SEARCH("PARTIAL",K22))),"LIMIT_OPEN",IF(AND(OR(L22&lt;&gt;"",M22&lt;&gt;"",N22&lt;&gt;""),OR(O22&lt;&gt;"",P22&lt;&gt;""),Q22&lt;&gt;"",R22&lt;&gt;"",S22&lt;&gt;"",LEN(T22)=64,U22&lt;&gt;"",V22&lt;&gt;"",U22&lt;&gt;V22,W22&lt;&gt;""),"READY","INCOMPLETE")))</x:f>
        <x:v>NOT_PASS</x:v>
      </x:c>
    </x:row>
    <x:row r="23" ht="43.20000076293945" hidden="0" customHeight="1">
      <x:c r="A23" s="9" t="n">
        <x:v>330</x:v>
      </x:c>
      <x:c r="B23" s="9" t="str">
        <x:v>I2C-INA-01</x:v>
      </x:c>
      <x:c r="C23" s="9" t="str">
        <x:v>I2C2</x:v>
      </x:c>
      <x:c r="D23" s="9" t="str">
        <x:v>TP_EOL</x:v>
      </x:c>
      <x:c r="E23" s="9" t="str">
        <x:v>12,13,1</x:v>
      </x:c>
      <x:c r="F23" s="9" t="str">
        <x:v>Через TP_EOL.12 и TP_EOL.13 выполнить guarded open-drain scan и чтение INA226 по адресу 0x40.</x:v>
      </x:c>
      <x:c r="G23" s="9" t="str">
        <x:v>Use TP_EOL.12 and TP_EOL.13 for a guarded open-drain scan and INA226 readback at address 0x40.</x:v>
      </x:c>
      <x:c r="H23" s="9" t="str">
        <x:v>ina226_readback</x:v>
      </x:c>
      <x:c r="I23" s="9" t="str">
        <x:v>result</x:v>
      </x:c>
      <x:c r="J23" s="9" t="str">
        <x:v>INA226 0x40 responds and readings agree with reference instrument within the approved calibration limit</x:v>
      </x:c>
      <x:c r="K23" s="11" t="str">
        <x:v>OPEN_B01_FREEZE</x:v>
      </x:c>
      <x:c r="L23" s="11"/>
      <x:c r="M23" s="11"/>
      <x:c r="N23" s="11" t="str"/>
      <x:c r="O23" s="11"/>
      <x:c r="P23" s="11" t="str"/>
      <x:c r="Q23" s="11" t="str"/>
      <x:c r="R23" s="11" t="str"/>
      <x:c r="S23" s="11" t="str"/>
      <x:c r="T23" s="11" t="str"/>
      <x:c r="U23" s="11" t="str"/>
      <x:c r="V23" s="11" t="str"/>
      <x:c r="W23" s="11" t="str"/>
      <x:c r="X23" s="11" t="str">
        <x:v>NOT_RUN</x:v>
      </x:c>
      <x:c r="Y23" s="11" t="str"/>
      <x:c r="Z23" s="11" t="str"/>
      <x:c r="AA23" s="9" t="str">
        <x:f>IF(X23&lt;&gt;"PASS","NOT_PASS",IF(OR(ISNUMBER(SEARCH("OPEN",K23)),ISNUMBER(SEARCH("PARTIAL",K23))),"LIMIT_OPEN",IF(AND(OR(L23&lt;&gt;"",M23&lt;&gt;"",N23&lt;&gt;""),OR(O23&lt;&gt;"",P23&lt;&gt;""),Q23&lt;&gt;"",R23&lt;&gt;"",S23&lt;&gt;"",LEN(T23)=64,U23&lt;&gt;"",V23&lt;&gt;"",U23&lt;&gt;V23,W23&lt;&gt;""),"READY","INCOMPLETE")))</x:f>
        <x:v>NOT_PASS</x:v>
      </x:c>
    </x:row>
    <x:row r="24" ht="57.599998474121094" hidden="0" customHeight="1">
      <x:c r="A24" s="9" t="n">
        <x:v>340</x:v>
      </x:c>
      <x:c r="B24" s="9" t="str">
        <x:v>BOOT0-SAFE-01</x:v>
      </x:c>
      <x:c r="C24" s="9" t="str">
        <x:v>STM32 recovery</x:v>
      </x:c>
      <x:c r="D24" s="9" t="str">
        <x:v>TP_EOL and TP_MCU_SWD</x:v>
      </x:c>
      <x:c r="E24" s="9" t="str">
        <x:v>9 and 4</x:v>
      </x:c>
      <x:c r="F24" s="9" t="str">
        <x:v>Подтвердить high-Z TP_EOL.9 при свободном NRST. Для recovery сначала прижать NRST на TP_MCU_SWD.4, затем задать BOOT0 через TP_EOL.9, отпустить NRST и после старта вернуть BOOT0 в high-Z.</x:v>
      </x:c>
      <x:c r="G24" s="9" t="str">
        <x:v>Confirm TP_EOL.9 is high impedance while NRST is released. For recovery assert NRST at TP_MCU_SWD.4, drive BOOT0 through TP_EOL.9, release NRST and return BOOT0 to high impedance after startup.</x:v>
      </x:c>
      <x:c r="H24" s="9" t="str">
        <x:v>boot0_recovery</x:v>
      </x:c>
      <x:c r="I24" s="9" t="str">
        <x:v>result</x:v>
      </x:c>
      <x:c r="J24" s="9" t="str">
        <x:v>System memory enumerates and normal boot recovers after BOOT0 release</x:v>
      </x:c>
      <x:c r="K24" s="11" t="str">
        <x:v>APPROVED_DOCUMENTARY</x:v>
      </x:c>
      <x:c r="L24" s="11"/>
      <x:c r="M24" s="11"/>
      <x:c r="N24" s="11" t="str">
        <x:v>PASS</x:v>
      </x:c>
      <x:c r="O24" s="11"/>
      <x:c r="P24" s="11" t="str"/>
      <x:c r="Q24" s="11" t="str"/>
      <x:c r="R24" s="11" t="str"/>
      <x:c r="S24" s="11" t="str"/>
      <x:c r="T24" s="11" t="str"/>
      <x:c r="U24" s="11" t="str"/>
      <x:c r="V24" s="11" t="str"/>
      <x:c r="W24" s="11" t="str"/>
      <x:c r="X24" s="11" t="str">
        <x:v>NOT_RUN</x:v>
      </x:c>
      <x:c r="Y24" s="11" t="str"/>
      <x:c r="Z24" s="11" t="str"/>
      <x:c r="AA24" s="9" t="str">
        <x:f>IF(X24&lt;&gt;"PASS","NOT_PASS",IF(OR(ISNUMBER(SEARCH("OPEN",K24)),ISNUMBER(SEARCH("PARTIAL",K24))),"LIMIT_OPEN",IF(AND(OR(L24&lt;&gt;"",M24&lt;&gt;"",N24&lt;&gt;""),OR(O24&lt;&gt;"",P24&lt;&gt;""),Q24&lt;&gt;"",R24&lt;&gt;"",S24&lt;&gt;"",LEN(T24)=64,U24&lt;&gt;"",V24&lt;&gt;"",U24&lt;&gt;V24,W24&lt;&gt;""),"READY","INCOMPLETE")))</x:f>
        <x:v>NOT_PASS</x:v>
      </x:c>
    </x:row>
    <x:row r="25" ht="28.799999237060547" hidden="0" customHeight="1">
      <x:c r="A25" s="9" t="n">
        <x:v>400</x:v>
      </x:c>
      <x:c r="B25" s="9" t="str">
        <x:v>STM-VTREF-01</x:v>
      </x:c>
      <x:c r="C25" s="9" t="str">
        <x:v>STM32 SWD</x:v>
      </x:c>
      <x:c r="D25" s="9" t="str">
        <x:v>TP_MCU_SWD</x:v>
      </x:c>
      <x:c r="E25" s="9" t="str">
        <x:v>1-5</x:v>
      </x:c>
      <x:c r="F25" s="9" t="str">
        <x:v>Измерить TP_MCU_SWD.1 относительно TP_MCU_SWD.5. ST-LINK не должен питать DUT.</x:v>
      </x:c>
      <x:c r="G25" s="9" t="str">
        <x:v>Measure TP_MCU_SWD.1 relative to TP_MCU_SWD.5. ST-LINK must not power the DUT.</x:v>
      </x:c>
      <x:c r="H25" s="9" t="str">
        <x:v>stm32_vtref</x:v>
      </x:c>
      <x:c r="I25" s="9" t="str">
        <x:v>V</x:v>
      </x:c>
      <x:c r="J25" s="9" t="str">
        <x:v>3.3 V logic domain</x:v>
      </x:c>
      <x:c r="K25" s="11" t="str">
        <x:v>OPEN_B01_FREEZE</x:v>
      </x:c>
      <x:c r="L25" s="11"/>
      <x:c r="M25" s="11"/>
      <x:c r="N25" s="11" t="str"/>
      <x:c r="O25" s="11"/>
      <x:c r="P25" s="11" t="str"/>
      <x:c r="Q25" s="11" t="str"/>
      <x:c r="R25" s="11" t="str"/>
      <x:c r="S25" s="11" t="str"/>
      <x:c r="T25" s="11" t="str"/>
      <x:c r="U25" s="11" t="str"/>
      <x:c r="V25" s="11" t="str"/>
      <x:c r="W25" s="11" t="str"/>
      <x:c r="X25" s="11" t="str">
        <x:v>NOT_RUN</x:v>
      </x:c>
      <x:c r="Y25" s="11" t="str"/>
      <x:c r="Z25" s="11" t="str"/>
      <x:c r="AA25" s="9" t="str">
        <x:f>IF(X25&lt;&gt;"PASS","NOT_PASS",IF(OR(ISNUMBER(SEARCH("OPEN",K25)),ISNUMBER(SEARCH("PARTIAL",K25))),"LIMIT_OPEN",IF(AND(OR(L25&lt;&gt;"",M25&lt;&gt;"",N25&lt;&gt;""),OR(O25&lt;&gt;"",P25&lt;&gt;""),Q25&lt;&gt;"",R25&lt;&gt;"",S25&lt;&gt;"",LEN(T25)=64,U25&lt;&gt;"",V25&lt;&gt;"",U25&lt;&gt;V25,W25&lt;&gt;""),"READY","INCOMPLETE")))</x:f>
        <x:v>NOT_PASS</x:v>
      </x:c>
    </x:row>
    <x:row r="26" ht="43.20000076293945" hidden="0" customHeight="1">
      <x:c r="A26" s="9" t="n">
        <x:v>410</x:v>
      </x:c>
      <x:c r="B26" s="9" t="str">
        <x:v>STM-SWD-01</x:v>
      </x:c>
      <x:c r="C26" s="9" t="str">
        <x:v>STM32 SWD</x:v>
      </x:c>
      <x:c r="D26" s="9" t="str">
        <x:v>TP_MCU_SWD</x:v>
      </x:c>
      <x:c r="E26" s="9" t="str">
        <x:v>1-5</x:v>
      </x:c>
      <x:c r="F26" s="9" t="str">
        <x:v>Подключить 5 GND, 1 VTREF, 4 NRST, 2 SWDIO, 3 SWCLK. Считать device ID и option bytes, затем program, verify и cold boot.</x:v>
      </x:c>
      <x:c r="G26" s="9" t="str">
        <x:v>Connect 5 GND, 1 VTREF, 4 NRST, 2 SWDIO and 3 SWCLK. Read device ID and option bytes, then program, verify and cold boot.</x:v>
      </x:c>
      <x:c r="H26" s="9" t="str">
        <x:v>stm32_program_verify</x:v>
      </x:c>
      <x:c r="I26" s="9" t="str">
        <x:v>result</x:v>
      </x:c>
      <x:c r="J26" s="9" t="str">
        <x:v>STM32U585VIT6Q, exact bench option-byte profile, exact image SHA-256 and verify PASS</x:v>
      </x:c>
      <x:c r="K26" s="11" t="str">
        <x:v>APPROVED_DOCUMENTARY</x:v>
      </x:c>
      <x:c r="L26" s="11"/>
      <x:c r="M26" s="11"/>
      <x:c r="N26" s="11" t="str">
        <x:v>PASS</x:v>
      </x:c>
      <x:c r="O26" s="11"/>
      <x:c r="P26" s="11" t="str"/>
      <x:c r="Q26" s="11" t="str"/>
      <x:c r="R26" s="11" t="str"/>
      <x:c r="S26" s="11" t="str"/>
      <x:c r="T26" s="11" t="str"/>
      <x:c r="U26" s="11" t="str"/>
      <x:c r="V26" s="11" t="str"/>
      <x:c r="W26" s="11" t="str"/>
      <x:c r="X26" s="11" t="str">
        <x:v>NOT_RUN</x:v>
      </x:c>
      <x:c r="Y26" s="11" t="str"/>
      <x:c r="Z26" s="11" t="str"/>
      <x:c r="AA26" s="9" t="str">
        <x:f>IF(X26&lt;&gt;"PASS","NOT_PASS",IF(OR(ISNUMBER(SEARCH("OPEN",K26)),ISNUMBER(SEARCH("PARTIAL",K26))),"LIMIT_OPEN",IF(AND(OR(L26&lt;&gt;"",M26&lt;&gt;"",N26&lt;&gt;""),OR(O26&lt;&gt;"",P26&lt;&gt;""),Q26&lt;&gt;"",R26&lt;&gt;"",S26&lt;&gt;"",LEN(T26)=64,U26&lt;&gt;"",V26&lt;&gt;"",U26&lt;&gt;V26,W26&lt;&gt;""),"READY","INCOMPLETE")))</x:f>
        <x:v>NOT_PASS</x:v>
      </x:c>
    </x:row>
    <x:row r="27" ht="28.799999237060547" hidden="0" customHeight="1">
      <x:c r="A27" s="9" t="n">
        <x:v>420</x:v>
      </x:c>
      <x:c r="B27" s="9" t="str">
        <x:v>NRF-VTREF-01</x:v>
      </x:c>
      <x:c r="C27" s="9" t="str">
        <x:v>nRF52840 SWD</x:v>
      </x:c>
      <x:c r="D27" s="9" t="str">
        <x:v>TP_BLE_SWD</x:v>
      </x:c>
      <x:c r="E27" s="9" t="str">
        <x:v>1-4</x:v>
      </x:c>
      <x:c r="F27" s="9" t="str">
        <x:v>Измерить TP_BLE_SWD.1 относительно TP_BLE_SWD.4. Отладчик не должен питать DUT.</x:v>
      </x:c>
      <x:c r="G27" s="9" t="str">
        <x:v>Measure TP_BLE_SWD.1 relative to TP_BLE_SWD.4. The debugger must not power the DUT.</x:v>
      </x:c>
      <x:c r="H27" s="9" t="str">
        <x:v>nrf_vtref</x:v>
      </x:c>
      <x:c r="I27" s="9" t="str">
        <x:v>V</x:v>
      </x:c>
      <x:c r="J27" s="9" t="str">
        <x:v>3.3 V logic domain</x:v>
      </x:c>
      <x:c r="K27" s="11" t="str">
        <x:v>OPEN_B01_FREEZE</x:v>
      </x:c>
      <x:c r="L27" s="11"/>
      <x:c r="M27" s="11"/>
      <x:c r="N27" s="11" t="str"/>
      <x:c r="O27" s="11"/>
      <x:c r="P27" s="11" t="str"/>
      <x:c r="Q27" s="11" t="str"/>
      <x:c r="R27" s="11" t="str"/>
      <x:c r="S27" s="11" t="str"/>
      <x:c r="T27" s="11" t="str"/>
      <x:c r="U27" s="11" t="str"/>
      <x:c r="V27" s="11" t="str"/>
      <x:c r="W27" s="11" t="str"/>
      <x:c r="X27" s="11" t="str">
        <x:v>NOT_RUN</x:v>
      </x:c>
      <x:c r="Y27" s="11" t="str"/>
      <x:c r="Z27" s="11" t="str"/>
      <x:c r="AA27" s="9" t="str">
        <x:f>IF(X27&lt;&gt;"PASS","NOT_PASS",IF(OR(ISNUMBER(SEARCH("OPEN",K27)),ISNUMBER(SEARCH("PARTIAL",K27))),"LIMIT_OPEN",IF(AND(OR(L27&lt;&gt;"",M27&lt;&gt;"",N27&lt;&gt;""),OR(O27&lt;&gt;"",P27&lt;&gt;""),Q27&lt;&gt;"",R27&lt;&gt;"",S27&lt;&gt;"",LEN(T27)=64,U27&lt;&gt;"",V27&lt;&gt;"",U27&lt;&gt;V27,W27&lt;&gt;""),"READY","INCOMPLETE")))</x:f>
        <x:v>NOT_PASS</x:v>
      </x:c>
    </x:row>
    <x:row r="28" ht="43.20000076293945" hidden="0" customHeight="1">
      <x:c r="A28" s="9" t="n">
        <x:v>430</x:v>
      </x:c>
      <x:c r="B28" s="9" t="str">
        <x:v>NRF-SWD-01</x:v>
      </x:c>
      <x:c r="C28" s="9" t="str">
        <x:v>nRF52840 SWD</x:v>
      </x:c>
      <x:c r="D28" s="9" t="str">
        <x:v>TP_BLE_SWD</x:v>
      </x:c>
      <x:c r="E28" s="9" t="str">
        <x:v>1-4</x:v>
      </x:c>
      <x:c r="F28" s="9" t="str">
        <x:v>Подключить 4 GND, 1 VTREF, 2 NRF_SWDIO, 3 NRF_SWCLK. Выполнить erase, program merged.hex, verify, reset и MCUboot signed image check.</x:v>
      </x:c>
      <x:c r="G28" s="9" t="str">
        <x:v>Connect 4 GND, 1 VTREF, 2 NRF_SWDIO and 3 NRF_SWCLK. Erase, program merged.hex, verify, reset and check the MCUboot signed image.</x:v>
      </x:c>
      <x:c r="H28" s="9" t="str">
        <x:v>nrf_program_verify</x:v>
      </x:c>
      <x:c r="I28" s="9" t="str">
        <x:v>result</x:v>
      </x:c>
      <x:c r="J28" s="9" t="str">
        <x:v>Exact nRF target and signed/merged image hashes; verify and BLE startup PASS</x:v>
      </x:c>
      <x:c r="K28" s="11" t="str">
        <x:v>APPROVED_DOCUMENTARY</x:v>
      </x:c>
      <x:c r="L28" s="11"/>
      <x:c r="M28" s="11"/>
      <x:c r="N28" s="11" t="str">
        <x:v>PASS</x:v>
      </x:c>
      <x:c r="O28" s="11"/>
      <x:c r="P28" s="11" t="str"/>
      <x:c r="Q28" s="11" t="str"/>
      <x:c r="R28" s="11" t="str"/>
      <x:c r="S28" s="11" t="str"/>
      <x:c r="T28" s="11" t="str"/>
      <x:c r="U28" s="11" t="str"/>
      <x:c r="V28" s="11" t="str"/>
      <x:c r="W28" s="11" t="str"/>
      <x:c r="X28" s="11" t="str">
        <x:v>NOT_RUN</x:v>
      </x:c>
      <x:c r="Y28" s="11" t="str"/>
      <x:c r="Z28" s="11" t="str"/>
      <x:c r="AA28" s="9" t="str">
        <x:f>IF(X28&lt;&gt;"PASS","NOT_PASS",IF(OR(ISNUMBER(SEARCH("OPEN",K28)),ISNUMBER(SEARCH("PARTIAL",K28))),"LIMIT_OPEN",IF(AND(OR(L28&lt;&gt;"",M28&lt;&gt;"",N28&lt;&gt;""),OR(O28&lt;&gt;"",P28&lt;&gt;""),Q28&lt;&gt;"",R28&lt;&gt;"",S28&lt;&gt;"",LEN(T28)=64,U28&lt;&gt;"",V28&lt;&gt;"",U28&lt;&gt;V28,W28&lt;&gt;""),"READY","INCOMPLETE")))</x:f>
        <x:v>NOT_PASS</x:v>
      </x:c>
    </x:row>
    <x:row r="29" ht="28.799999237060547" hidden="0" customHeight="1">
      <x:c r="A29" s="9" t="n">
        <x:v>500</x:v>
      </x:c>
      <x:c r="B29" s="9" t="str">
        <x:v>CELL-VREF-01</x:v>
      </x:c>
      <x:c r="C29" s="9" t="str">
        <x:v>BG95 debug</x:v>
      </x:c>
      <x:c r="D29" s="9" t="str">
        <x:v>TP_CELL_DBG</x:v>
      </x:c>
      <x:c r="E29" s="9" t="str">
        <x:v>1-5</x:v>
      </x:c>
      <x:c r="F29" s="9" t="str">
        <x:v>После штатного включения BG95 измерить VREF_1V8 на TP_CELL_DBG.1 относительно TP_CELL_DBG.5.</x:v>
      </x:c>
      <x:c r="G29" s="9" t="str">
        <x:v>After normal BG95 power-up, measure VREF_1V8 at TP_CELL_DBG.1 relative to TP_CELL_DBG.5.</x:v>
      </x:c>
      <x:c r="H29" s="9" t="str">
        <x:v>bg95_vref</x:v>
      </x:c>
      <x:c r="I29" s="9" t="str">
        <x:v>V</x:v>
      </x:c>
      <x:c r="J29" s="9" t="str">
        <x:v>1.8 V modem I/O domain</x:v>
      </x:c>
      <x:c r="K29" s="11" t="str">
        <x:v>OPEN_B01_FREEZE</x:v>
      </x:c>
      <x:c r="L29" s="11"/>
      <x:c r="M29" s="11"/>
      <x:c r="N29" s="11" t="str"/>
      <x:c r="O29" s="11"/>
      <x:c r="P29" s="11" t="str"/>
      <x:c r="Q29" s="11" t="str"/>
      <x:c r="R29" s="11" t="str"/>
      <x:c r="S29" s="11" t="str"/>
      <x:c r="T29" s="11" t="str"/>
      <x:c r="U29" s="11" t="str"/>
      <x:c r="V29" s="11" t="str"/>
      <x:c r="W29" s="11" t="str"/>
      <x:c r="X29" s="11" t="str">
        <x:v>NOT_RUN</x:v>
      </x:c>
      <x:c r="Y29" s="11" t="str"/>
      <x:c r="Z29" s="11" t="str"/>
      <x:c r="AA29" s="9" t="str">
        <x:f>IF(X29&lt;&gt;"PASS","NOT_PASS",IF(OR(ISNUMBER(SEARCH("OPEN",K29)),ISNUMBER(SEARCH("PARTIAL",K29))),"LIMIT_OPEN",IF(AND(OR(L29&lt;&gt;"",M29&lt;&gt;"",N29&lt;&gt;""),OR(O29&lt;&gt;"",P29&lt;&gt;""),Q29&lt;&gt;"",R29&lt;&gt;"",S29&lt;&gt;"",LEN(T29)=64,U29&lt;&gt;"",V29&lt;&gt;"",U29&lt;&gt;V29,W29&lt;&gt;""),"READY","INCOMPLETE")))</x:f>
        <x:v>NOT_PASS</x:v>
      </x:c>
    </x:row>
    <x:row r="30" ht="43.20000076293945" hidden="0" customHeight="1">
      <x:c r="A30" s="9" t="n">
        <x:v>510</x:v>
      </x:c>
      <x:c r="B30" s="9" t="str">
        <x:v>CELL-DBG-01</x:v>
      </x:c>
      <x:c r="C30" s="9" t="str">
        <x:v>BG95 debug</x:v>
      </x:c>
      <x:c r="D30" s="9" t="str">
        <x:v>TP_CELL_DBG</x:v>
      </x:c>
      <x:c r="E30" s="9" t="str">
        <x:v>2,3,5</x:v>
      </x:c>
      <x:c r="F30" s="9" t="str">
        <x:v>После valid VREF подключить 1.8 V tolerant RX оснастки к TP_CELL_DBG.2 и 1.8 V output оснастки к TP_CELL_DBG.3. Выполнить AT и прочитать версию.</x:v>
      </x:c>
      <x:c r="G30" s="9" t="str">
        <x:v>After valid VREF, connect the fixture 1.8 V tolerant RX to TP_CELL_DBG.2 and the 1.8 V fixture output to TP_CELL_DBG.3. Run AT and read the version.</x:v>
      </x:c>
      <x:c r="H30" s="9" t="str">
        <x:v>bg95_debug_uart</x:v>
      </x:c>
      <x:c r="I30" s="9" t="str">
        <x:v>result</x:v>
      </x:c>
      <x:c r="J30" s="9" t="str">
        <x:v>AT returns OK and the approved BG95 identity/version is recorded</x:v>
      </x:c>
      <x:c r="K30" s="11" t="str">
        <x:v>APPROVED_DOCUMENTARY</x:v>
      </x:c>
      <x:c r="L30" s="11"/>
      <x:c r="M30" s="11"/>
      <x:c r="N30" s="11" t="str">
        <x:v>PASS</x:v>
      </x:c>
      <x:c r="O30" s="11"/>
      <x:c r="P30" s="11" t="str"/>
      <x:c r="Q30" s="11" t="str"/>
      <x:c r="R30" s="11" t="str"/>
      <x:c r="S30" s="11" t="str"/>
      <x:c r="T30" s="11" t="str"/>
      <x:c r="U30" s="11" t="str"/>
      <x:c r="V30" s="11" t="str"/>
      <x:c r="W30" s="11" t="str"/>
      <x:c r="X30" s="11" t="str">
        <x:v>NOT_RUN</x:v>
      </x:c>
      <x:c r="Y30" s="11" t="str"/>
      <x:c r="Z30" s="11" t="str"/>
      <x:c r="AA30" s="9" t="str">
        <x:f>IF(X30&lt;&gt;"PASS","NOT_PASS",IF(OR(ISNUMBER(SEARCH("OPEN",K30)),ISNUMBER(SEARCH("PARTIAL",K30))),"LIMIT_OPEN",IF(AND(OR(L30&lt;&gt;"",M30&lt;&gt;"",N30&lt;&gt;""),OR(O30&lt;&gt;"",P30&lt;&gt;""),Q30&lt;&gt;"",R30&lt;&gt;"",S30&lt;&gt;"",LEN(T30)=64,U30&lt;&gt;"",V30&lt;&gt;"",U30&lt;&gt;V30,W30&lt;&gt;""),"READY","INCOMPLETE")))</x:f>
        <x:v>NOT_PASS</x:v>
      </x:c>
    </x:row>
    <x:row r="31" ht="57.599998474121094" hidden="0" customHeight="1">
      <x:c r="A31" s="9" t="n">
        <x:v>520</x:v>
      </x:c>
      <x:c r="B31" s="9" t="str">
        <x:v>CELL-BOOT-01</x:v>
      </x:c>
      <x:c r="C31" s="9" t="str">
        <x:v>BG95 recovery</x:v>
      </x:c>
      <x:c r="D31" s="9" t="str">
        <x:v>TP_CELL_DBG</x:v>
      </x:c>
      <x:c r="E31" s="9" t="str">
        <x:v>4-5</x:v>
      </x:c>
      <x:c r="F31" s="9" t="str">
        <x:v>В обычном режиме проверить LOW на TP_CELL_DBG.4. Для recovery подать current-limited 1.8 V HIGH только по утвержденной последовательности power-on, затем вернуть high-Z.</x:v>
      </x:c>
      <x:c r="G31" s="9" t="str">
        <x:v>Verify LOW at TP_CELL_DBG.4 in normal operation. For recovery apply a current-limited 1.8 V HIGH only during the approved power-on sequence, then return high impedance.</x:v>
      </x:c>
      <x:c r="H31" s="9" t="str">
        <x:v>usb_boot_sequence</x:v>
      </x:c>
      <x:c r="I31" s="9" t="str">
        <x:v>result</x:v>
      </x:c>
      <x:c r="J31" s="9" t="str">
        <x:v>Normal LOW and recovery enumeration PASS</x:v>
      </x:c>
      <x:c r="K31" s="11" t="str">
        <x:v>APPROVED_DOCUMENTARY</x:v>
      </x:c>
      <x:c r="L31" s="11"/>
      <x:c r="M31" s="11"/>
      <x:c r="N31" s="11" t="str">
        <x:v>PASS</x:v>
      </x:c>
      <x:c r="O31" s="11"/>
      <x:c r="P31" s="11" t="str"/>
      <x:c r="Q31" s="11" t="str"/>
      <x:c r="R31" s="11" t="str"/>
      <x:c r="S31" s="11" t="str"/>
      <x:c r="T31" s="11" t="str"/>
      <x:c r="U31" s="11" t="str"/>
      <x:c r="V31" s="11" t="str"/>
      <x:c r="W31" s="11" t="str"/>
      <x:c r="X31" s="11" t="str">
        <x:v>NOT_RUN</x:v>
      </x:c>
      <x:c r="Y31" s="11" t="str"/>
      <x:c r="Z31" s="11" t="str"/>
      <x:c r="AA31" s="9" t="str">
        <x:f>IF(X31&lt;&gt;"PASS","NOT_PASS",IF(OR(ISNUMBER(SEARCH("OPEN",K31)),ISNUMBER(SEARCH("PARTIAL",K31))),"LIMIT_OPEN",IF(AND(OR(L31&lt;&gt;"",M31&lt;&gt;"",N31&lt;&gt;""),OR(O31&lt;&gt;"",P31&lt;&gt;""),Q31&lt;&gt;"",R31&lt;&gt;"",S31&lt;&gt;"",LEN(T31)=64,U31&lt;&gt;"",V31&lt;&gt;"",U31&lt;&gt;V31,W31&lt;&gt;""),"READY","INCOMPLETE")))</x:f>
        <x:v>NOT_PASS</x:v>
      </x:c>
    </x:row>
    <x:row r="32" ht="43.20000076293945" hidden="0" customHeight="1">
      <x:c r="A32" s="9" t="n">
        <x:v>530</x:v>
      </x:c>
      <x:c r="B32" s="9" t="str">
        <x:v>CELL-USB-01</x:v>
      </x:c>
      <x:c r="C32" s="9" t="str">
        <x:v>BG95 recovery</x:v>
      </x:c>
      <x:c r="D32" s="9" t="str">
        <x:v>TP_CELL_USB</x:v>
      </x:c>
      <x:c r="E32" s="9" t="str">
        <x:v>4,2,3,1</x:v>
      </x:c>
      <x:c r="F32" s="9" t="str">
        <x:v>Подключить TP_CELL_USB.4 к modem ground, затем differential D+ к .2, D- к .3 и только после этого current-limited HOST_VBUS к .1. Проверить recovery USB enumeration.</x:v>
      </x:c>
      <x:c r="G32" s="9" t="str">
        <x:v>Connect TP_CELL_USB.4 to modem ground, then differential D+ to .2, D- to .3 and only then current-limited HOST_VBUS to .1. Verify recovery USB enumeration.</x:v>
      </x:c>
      <x:c r="H32" s="9" t="str">
        <x:v>bg95_usb_enumeration</x:v>
      </x:c>
      <x:c r="I32" s="9" t="str">
        <x:v>result</x:v>
      </x:c>
      <x:c r="J32" s="9" t="str">
        <x:v>BG95 recovery interface enumerates and remains isolated from J11</x:v>
      </x:c>
      <x:c r="K32" s="11" t="str">
        <x:v>APPROVED_DOCUMENTARY</x:v>
      </x:c>
      <x:c r="L32" s="11"/>
      <x:c r="M32" s="11"/>
      <x:c r="N32" s="11" t="str">
        <x:v>PASS</x:v>
      </x:c>
      <x:c r="O32" s="11"/>
      <x:c r="P32" s="11" t="str"/>
      <x:c r="Q32" s="11" t="str"/>
      <x:c r="R32" s="11" t="str"/>
      <x:c r="S32" s="11" t="str"/>
      <x:c r="T32" s="11" t="str"/>
      <x:c r="U32" s="11" t="str"/>
      <x:c r="V32" s="11" t="str"/>
      <x:c r="W32" s="11" t="str"/>
      <x:c r="X32" s="11" t="str">
        <x:v>NOT_RUN</x:v>
      </x:c>
      <x:c r="Y32" s="11" t="str"/>
      <x:c r="Z32" s="11" t="str"/>
      <x:c r="AA32" s="9" t="str">
        <x:f>IF(X32&lt;&gt;"PASS","NOT_PASS",IF(OR(ISNUMBER(SEARCH("OPEN",K32)),ISNUMBER(SEARCH("PARTIAL",K32))),"LIMIT_OPEN",IF(AND(OR(L32&lt;&gt;"",M32&lt;&gt;"",N32&lt;&gt;""),OR(O32&lt;&gt;"",P32&lt;&gt;""),Q32&lt;&gt;"",R32&lt;&gt;"",S32&lt;&gt;"",LEN(T32)=64,U32&lt;&gt;"",V32&lt;&gt;"",U32&lt;&gt;V32,W32&lt;&gt;""),"READY","INCOMPLETE")))</x:f>
        <x:v>NOT_PASS</x:v>
      </x:c>
    </x:row>
    <x:row r="33" ht="43.20000076293945" hidden="0" customHeight="1">
      <x:c r="A33" s="9" t="n">
        <x:v>540</x:v>
      </x:c>
      <x:c r="B33" s="9" t="str">
        <x:v>CELL-ISO-01</x:v>
      </x:c>
      <x:c r="C33" s="9" t="str">
        <x:v>BG95 recovery</x:v>
      </x:c>
      <x:c r="D33" s="9" t="str">
        <x:v>TP_CELL_USB and J11</x:v>
      </x:c>
      <x:c r="E33" s="9" t="str">
        <x:v>1-3 and J11</x:v>
      </x:c>
      <x:c r="F33" s="9" t="str">
        <x:v>При снятом питании проверить отсутствие непрерывности между TP_CELL_USB D+/D-/VBUS и J11 USB_DP/USB_DM/USB_VBUS_CONN.</x:v>
      </x:c>
      <x:c r="G33" s="9" t="str">
        <x:v>With power removed verify no continuity between TP_CELL_USB D+/D-/VBUS and J11 USB_DP/USB_DM/USB_VBUS_CONN.</x:v>
      </x:c>
      <x:c r="H33" s="9" t="str">
        <x:v>usb_domain_isolation</x:v>
      </x:c>
      <x:c r="I33" s="9" t="str">
        <x:v>result</x:v>
      </x:c>
      <x:c r="J33" s="9" t="str">
        <x:v>NO_CONTINUITY</x:v>
      </x:c>
      <x:c r="K33" s="11" t="str">
        <x:v>APPROVED_DOCUMENTARY</x:v>
      </x:c>
      <x:c r="L33" s="11"/>
      <x:c r="M33" s="11"/>
      <x:c r="N33" s="11" t="str">
        <x:v>NO_CONTINUITY</x:v>
      </x:c>
      <x:c r="O33" s="11"/>
      <x:c r="P33" s="11" t="str"/>
      <x:c r="Q33" s="11" t="str"/>
      <x:c r="R33" s="11" t="str"/>
      <x:c r="S33" s="11" t="str"/>
      <x:c r="T33" s="11" t="str"/>
      <x:c r="U33" s="11" t="str"/>
      <x:c r="V33" s="11" t="str"/>
      <x:c r="W33" s="11" t="str"/>
      <x:c r="X33" s="11" t="str">
        <x:v>NOT_RUN</x:v>
      </x:c>
      <x:c r="Y33" s="11" t="str"/>
      <x:c r="Z33" s="11" t="str"/>
      <x:c r="AA33" s="9" t="str">
        <x:f>IF(X33&lt;&gt;"PASS","NOT_PASS",IF(OR(ISNUMBER(SEARCH("OPEN",K33)),ISNUMBER(SEARCH("PARTIAL",K33))),"LIMIT_OPEN",IF(AND(OR(L33&lt;&gt;"",M33&lt;&gt;"",N33&lt;&gt;""),OR(O33&lt;&gt;"",P33&lt;&gt;""),Q33&lt;&gt;"",R33&lt;&gt;"",S33&lt;&gt;"",LEN(T33)=64,U33&lt;&gt;"",V33&lt;&gt;"",U33&lt;&gt;V33,W33&lt;&gt;""),"READY","INCOMPLETE")))</x:f>
        <x:v>NOT_PASS</x:v>
      </x:c>
    </x:row>
    <x:row r="34" ht="28.799999237060547" hidden="0" customHeight="1">
      <x:c r="A34" s="9" t="n">
        <x:v>600</x:v>
      </x:c>
      <x:c r="B34" s="9" t="str">
        <x:v>MIC-PWR-01</x:v>
      </x:c>
      <x:c r="C34" s="9" t="str">
        <x:v>PCB-MIC 3+1</x:v>
      </x:c>
      <x:c r="D34" s="9" t="str">
        <x:v>J_MIC1-J_MIC4</x:v>
      </x:c>
      <x:c r="E34" s="9" t="str">
        <x:v>1-2</x:v>
      </x:c>
      <x:c r="F34" s="9" t="str">
        <x:v>На J_MIC1-J_MIC4 измерить pin 1 1V8_MIC относительно pin 2 GND в AAD idle и active PDM.</x:v>
      </x:c>
      <x:c r="G34" s="9" t="str">
        <x:v>At J_MIC1-J_MIC4 measure pin 1 1V8_MIC relative to pin 2 GND in AAD idle and active PDM.</x:v>
      </x:c>
      <x:c r="H34" s="9" t="str">
        <x:v>mic_supply</x:v>
      </x:c>
      <x:c r="I34" s="9" t="str">
        <x:v>V</x:v>
      </x:c>
      <x:c r="J34" s="9" t="str">
        <x:v>1.8 V nominal on all four harnesses</x:v>
      </x:c>
      <x:c r="K34" s="11" t="str">
        <x:v>OPEN_B01_FREEZE</x:v>
      </x:c>
      <x:c r="L34" s="11"/>
      <x:c r="M34" s="11"/>
      <x:c r="N34" s="11" t="str"/>
      <x:c r="O34" s="11"/>
      <x:c r="P34" s="11" t="str"/>
      <x:c r="Q34" s="11" t="str"/>
      <x:c r="R34" s="11" t="str"/>
      <x:c r="S34" s="11" t="str"/>
      <x:c r="T34" s="11" t="str"/>
      <x:c r="U34" s="11" t="str"/>
      <x:c r="V34" s="11" t="str"/>
      <x:c r="W34" s="11" t="str"/>
      <x:c r="X34" s="11" t="str">
        <x:v>NOT_RUN</x:v>
      </x:c>
      <x:c r="Y34" s="11" t="str"/>
      <x:c r="Z34" s="11" t="str"/>
      <x:c r="AA34" s="9" t="str">
        <x:f>IF(X34&lt;&gt;"PASS","NOT_PASS",IF(OR(ISNUMBER(SEARCH("OPEN",K34)),ISNUMBER(SEARCH("PARTIAL",K34))),"LIMIT_OPEN",IF(AND(OR(L34&lt;&gt;"",M34&lt;&gt;"",N34&lt;&gt;""),OR(O34&lt;&gt;"",P34&lt;&gt;""),Q34&lt;&gt;"",R34&lt;&gt;"",S34&lt;&gt;"",LEN(T34)=64,U34&lt;&gt;"",V34&lt;&gt;"",U34&lt;&gt;V34,W34&lt;&gt;""),"READY","INCOMPLETE")))</x:f>
        <x:v>NOT_PASS</x:v>
      </x:c>
    </x:row>
    <x:row r="35" ht="28.799999237060547" hidden="0" customHeight="1">
      <x:c r="A35" s="9" t="n">
        <x:v>610</x:v>
      </x:c>
      <x:c r="B35" s="9" t="str">
        <x:v>MIC-CLK-01</x:v>
      </x:c>
      <x:c r="C35" s="9" t="str">
        <x:v>PCB-MIC 3+1</x:v>
      </x:c>
      <x:c r="D35" s="9" t="str">
        <x:v>J_MIC1-J_MIC4</x:v>
      </x:c>
      <x:c r="E35" s="9" t="str">
        <x:v>3-2</x:v>
      </x:c>
      <x:c r="F35" s="9" t="str">
        <x:v>На pin 3 каждого J_MIC измерить общий PDM_CLK относительно pin 2, включая запуск и останов для AAD.</x:v>
      </x:c>
      <x:c r="G35" s="9" t="str">
        <x:v>At pin 3 of every J_MIC measure common PDM_CLK relative to pin 2, including AAD start and stop.</x:v>
      </x:c>
      <x:c r="H35" s="9" t="str">
        <x:v>pdm_clock</x:v>
      </x:c>
      <x:c r="I35" s="9" t="str">
        <x:v>Hz and V</x:v>
      </x:c>
      <x:c r="J35" s="9" t="str">
        <x:v>Clock exceeds 50 kHz during THSEL/PDM operation; final frequency and edges use approved target limit</x:v>
      </x:c>
      <x:c r="K35" s="11" t="str">
        <x:v>PARTIAL_APPROVED_MIN_ONLY</x:v>
      </x:c>
      <x:c r="L35" s="11" t="n">
        <x:v>50000</x:v>
      </x:c>
      <x:c r="M35" s="11"/>
      <x:c r="N35" s="11" t="str"/>
      <x:c r="O35" s="11"/>
      <x:c r="P35" s="11" t="str"/>
      <x:c r="Q35" s="11" t="str"/>
      <x:c r="R35" s="11" t="str"/>
      <x:c r="S35" s="11" t="str"/>
      <x:c r="T35" s="11" t="str"/>
      <x:c r="U35" s="11" t="str"/>
      <x:c r="V35" s="11" t="str"/>
      <x:c r="W35" s="11" t="str"/>
      <x:c r="X35" s="11" t="str">
        <x:v>NOT_RUN</x:v>
      </x:c>
      <x:c r="Y35" s="11" t="str"/>
      <x:c r="Z35" s="11" t="str"/>
      <x:c r="AA35" s="9" t="str">
        <x:f>IF(X35&lt;&gt;"PASS","NOT_PASS",IF(OR(ISNUMBER(SEARCH("OPEN",K35)),ISNUMBER(SEARCH("PARTIAL",K35))),"LIMIT_OPEN",IF(AND(OR(L35&lt;&gt;"",M35&lt;&gt;"",N35&lt;&gt;""),OR(O35&lt;&gt;"",P35&lt;&gt;""),Q35&lt;&gt;"",R35&lt;&gt;"",S35&lt;&gt;"",LEN(T35)=64,U35&lt;&gt;"",V35&lt;&gt;"",U35&lt;&gt;V35,W35&lt;&gt;""),"READY","INCOMPLETE")))</x:f>
        <x:v>NOT_PASS</x:v>
      </x:c>
    </x:row>
    <x:row r="36" ht="28.799999237060547" hidden="0" customHeight="1">
      <x:c r="A36" s="9" t="n">
        <x:v>620</x:v>
      </x:c>
      <x:c r="B36" s="9" t="str">
        <x:v>MIC-DATA-01</x:v>
      </x:c>
      <x:c r="C36" s="9" t="str">
        <x:v>PCB-MIC 3+1</x:v>
      </x:c>
      <x:c r="D36" s="9" t="str">
        <x:v>J_MIC1-J_MIC4</x:v>
      </x:c>
      <x:c r="E36" s="9" t="str">
        <x:v>4-2</x:v>
      </x:c>
      <x:c r="F36" s="9" t="str">
        <x:v>Проверить PDM_DATA1-4 на pin 4 J_MIC1-4, отсутствие dropout и соответствие физическому MIC1-MIC4.</x:v>
      </x:c>
      <x:c r="G36" s="9" t="str">
        <x:v>Verify PDM_DATA1-4 at pin 4 of J_MIC1-4, no dropouts and correct physical MIC1-MIC4 mapping.</x:v>
      </x:c>
      <x:c r="H36" s="9" t="str">
        <x:v>mic_channel_mapping</x:v>
      </x:c>
      <x:c r="I36" s="9" t="str">
        <x:v>result</x:v>
      </x:c>
      <x:c r="J36" s="9" t="str">
        <x:v>Four distinct channels, correct 3+1 mapping, zero dropout in the approved capture</x:v>
      </x:c>
      <x:c r="K36" s="11" t="str">
        <x:v>OPEN_B01_FREEZE</x:v>
      </x:c>
      <x:c r="L36" s="11"/>
      <x:c r="M36" s="11"/>
      <x:c r="N36" s="11" t="str"/>
      <x:c r="O36" s="11"/>
      <x:c r="P36" s="11" t="str"/>
      <x:c r="Q36" s="11" t="str"/>
      <x:c r="R36" s="11" t="str"/>
      <x:c r="S36" s="11" t="str"/>
      <x:c r="T36" s="11" t="str"/>
      <x:c r="U36" s="11" t="str"/>
      <x:c r="V36" s="11" t="str"/>
      <x:c r="W36" s="11" t="str"/>
      <x:c r="X36" s="11" t="str">
        <x:v>NOT_RUN</x:v>
      </x:c>
      <x:c r="Y36" s="11" t="str"/>
      <x:c r="Z36" s="11" t="str"/>
      <x:c r="AA36" s="9" t="str">
        <x:f>IF(X36&lt;&gt;"PASS","NOT_PASS",IF(OR(ISNUMBER(SEARCH("OPEN",K36)),ISNUMBER(SEARCH("PARTIAL",K36))),"LIMIT_OPEN",IF(AND(OR(L36&lt;&gt;"",M36&lt;&gt;"",N36&lt;&gt;""),OR(O36&lt;&gt;"",P36&lt;&gt;""),Q36&lt;&gt;"",R36&lt;&gt;"",S36&lt;&gt;"",LEN(T36)=64,U36&lt;&gt;"",V36&lt;&gt;"",U36&lt;&gt;V36,W36&lt;&gt;""),"READY","INCOMPLETE")))</x:f>
        <x:v>NOT_PASS</x:v>
      </x:c>
    </x:row>
    <x:row r="37" ht="28.799999237060547" hidden="0" customHeight="1">
      <x:c r="A37" s="9" t="n">
        <x:v>630</x:v>
      </x:c>
      <x:c r="B37" s="9" t="str">
        <x:v>MIC-WAKE-01</x:v>
      </x:c>
      <x:c r="C37" s="9" t="str">
        <x:v>PCB-MIC 3+1</x:v>
      </x:c>
      <x:c r="D37" s="9" t="str">
        <x:v>J_MIC1-J_MIC4</x:v>
      </x:c>
      <x:c r="E37" s="9" t="str">
        <x:v>5-2</x:v>
      </x:c>
      <x:c r="F37" s="9" t="str">
        <x:v>На pin 5 J_MIC1-4 измерить MIC_WAKE1-4 и проверить агрегированное пробуждение PA8 при калиброванном событии.</x:v>
      </x:c>
      <x:c r="G37" s="9" t="str">
        <x:v>At pin 5 of J_MIC1-4 measure MIC_WAKE1-4 and verify aggregate PA8 wake on a calibrated event.</x:v>
      </x:c>
      <x:c r="H37" s="9" t="str">
        <x:v>aad_wake</x:v>
      </x:c>
      <x:c r="I37" s="9" t="str">
        <x:v>ms and count</x:v>
      </x:c>
      <x:c r="J37" s="9" t="str">
        <x:v>Every valid event wakes the station; false wake and latency meet approved acoustic limits</x:v>
      </x:c>
      <x:c r="K37" s="11" t="str">
        <x:v>OPEN_B01_FREEZE</x:v>
      </x:c>
      <x:c r="L37" s="11"/>
      <x:c r="M37" s="11"/>
      <x:c r="N37" s="11" t="str"/>
      <x:c r="O37" s="11"/>
      <x:c r="P37" s="11" t="str"/>
      <x:c r="Q37" s="11" t="str"/>
      <x:c r="R37" s="11" t="str"/>
      <x:c r="S37" s="11" t="str"/>
      <x:c r="T37" s="11" t="str"/>
      <x:c r="U37" s="11" t="str"/>
      <x:c r="V37" s="11" t="str"/>
      <x:c r="W37" s="11" t="str"/>
      <x:c r="X37" s="11" t="str">
        <x:v>NOT_RUN</x:v>
      </x:c>
      <x:c r="Y37" s="11" t="str"/>
      <x:c r="Z37" s="11" t="str"/>
      <x:c r="AA37" s="9" t="str">
        <x:f>IF(X37&lt;&gt;"PASS","NOT_PASS",IF(OR(ISNUMBER(SEARCH("OPEN",K37)),ISNUMBER(SEARCH("PARTIAL",K37))),"LIMIT_OPEN",IF(AND(OR(L37&lt;&gt;"",M37&lt;&gt;"",N37&lt;&gt;""),OR(O37&lt;&gt;"",P37&lt;&gt;""),Q37&lt;&gt;"",R37&lt;&gt;"",S37&lt;&gt;"",LEN(T37)=64,U37&lt;&gt;"",V37&lt;&gt;"",U37&lt;&gt;V37,W37&lt;&gt;""),"READY","INCOMPLETE")))</x:f>
        <x:v>NOT_PASS</x:v>
      </x:c>
    </x:row>
    <x:row r="38" ht="28.799999237060547" hidden="0" customHeight="1">
      <x:c r="A38" s="9" t="n">
        <x:v>640</x:v>
      </x:c>
      <x:c r="B38" s="9" t="str">
        <x:v>MIC-CFG-01</x:v>
      </x:c>
      <x:c r="C38" s="9" t="str">
        <x:v>PCB-MIC 3+1</x:v>
      </x:c>
      <x:c r="D38" s="9" t="str">
        <x:v>J_MIC1-J_MIC4</x:v>
      </x:c>
      <x:c r="E38" s="9" t="str">
        <x:v>6-2</x:v>
      </x:c>
      <x:c r="F38" s="9" t="str">
        <x:v>На pin 6 J_MIC1-4 проверить общий AAD_CFG/THSEL, stop symbol и возврат линии в штатное состояние.</x:v>
      </x:c>
      <x:c r="G38" s="9" t="str">
        <x:v>At pin 6 of J_MIC1-4 verify common AAD_CFG/THSEL, the stop symbol and return to the normal state.</x:v>
      </x:c>
      <x:c r="H38" s="9" t="str">
        <x:v>aad_cfg_timing</x:v>
      </x:c>
      <x:c r="I38" s="9" t="str">
        <x:v>us and V</x:v>
      </x:c>
      <x:c r="J38" s="9" t="str">
        <x:v>T5838 protocol timing and common-bus behavior pass</x:v>
      </x:c>
      <x:c r="K38" s="11" t="str">
        <x:v>OPEN_B01_FREEZE</x:v>
      </x:c>
      <x:c r="L38" s="11"/>
      <x:c r="M38" s="11"/>
      <x:c r="N38" s="11" t="str"/>
      <x:c r="O38" s="11"/>
      <x:c r="P38" s="11" t="str"/>
      <x:c r="Q38" s="11" t="str"/>
      <x:c r="R38" s="11" t="str"/>
      <x:c r="S38" s="11" t="str"/>
      <x:c r="T38" s="11" t="str"/>
      <x:c r="U38" s="11" t="str"/>
      <x:c r="V38" s="11" t="str"/>
      <x:c r="W38" s="11" t="str"/>
      <x:c r="X38" s="11" t="str">
        <x:v>NOT_RUN</x:v>
      </x:c>
      <x:c r="Y38" s="11" t="str"/>
      <x:c r="Z38" s="11" t="str"/>
      <x:c r="AA38" s="9" t="str">
        <x:f>IF(X38&lt;&gt;"PASS","NOT_PASS",IF(OR(ISNUMBER(SEARCH("OPEN",K38)),ISNUMBER(SEARCH("PARTIAL",K38))),"LIMIT_OPEN",IF(AND(OR(L38&lt;&gt;"",M38&lt;&gt;"",N38&lt;&gt;""),OR(O38&lt;&gt;"",P38&lt;&gt;""),Q38&lt;&gt;"",R38&lt;&gt;"",S38&lt;&gt;"",LEN(T38)=64,U38&lt;&gt;"",V38&lt;&gt;"",U38&lt;&gt;V38,W38&lt;&gt;""),"READY","INCOMPLETE")))</x:f>
        <x:v>NOT_PASS</x:v>
      </x:c>
    </x:row>
    <x:row r="39" ht="43.20000076293945" hidden="0" customHeight="1">
      <x:c r="A39" s="9" t="n">
        <x:v>700</x:v>
      </x:c>
      <x:c r="B39" s="9" t="str">
        <x:v>STO-01</x:v>
      </x:c>
      <x:c r="C39" s="9" t="str">
        <x:v>Память</x:v>
      </x:c>
      <x:c r="D39" s="9" t="str"/>
      <x:c r="E39" s="9" t="str"/>
      <x:c r="F39" s="9" t="str">
        <x:v>Через self-test проверить QSPI JEDEC/SFDP, microSD detect, CID, write/read SHA-256 и восстановление после прерванной записи.</x:v>
      </x:c>
      <x:c r="G39" s="9" t="str">
        <x:v>Use self-test to verify QSPI JEDEC/SFDP, microSD detect, CID, write/read SHA-256 and interrupted-write recovery.</x:v>
      </x:c>
      <x:c r="H39" s="9" t="str">
        <x:v>storage_test</x:v>
      </x:c>
      <x:c r="I39" s="9" t="str">
        <x:v>result</x:v>
      </x:c>
      <x:c r="J39" s="9" t="str">
        <x:v>W25Q512JV EF 40 20, 64 MiB; approved industrial microSD</x:v>
      </x:c>
      <x:c r="K39" s="11" t="str">
        <x:v>APPROVED_DOCUMENTARY</x:v>
      </x:c>
      <x:c r="L39" s="11"/>
      <x:c r="M39" s="11"/>
      <x:c r="N39" s="11" t="str">
        <x:v>PASS</x:v>
      </x:c>
      <x:c r="O39" s="11"/>
      <x:c r="P39" s="11" t="str"/>
      <x:c r="Q39" s="11" t="str"/>
      <x:c r="R39" s="11" t="str"/>
      <x:c r="S39" s="11" t="str"/>
      <x:c r="T39" s="11" t="str"/>
      <x:c r="U39" s="11" t="str"/>
      <x:c r="V39" s="11" t="str"/>
      <x:c r="W39" s="11" t="str"/>
      <x:c r="X39" s="11" t="str">
        <x:v>NOT_RUN</x:v>
      </x:c>
      <x:c r="Y39" s="11" t="str"/>
      <x:c r="Z39" s="11" t="str"/>
      <x:c r="AA39" s="9" t="str">
        <x:f>IF(X39&lt;&gt;"PASS","NOT_PASS",IF(OR(ISNUMBER(SEARCH("OPEN",K39)),ISNUMBER(SEARCH("PARTIAL",K39))),"LIMIT_OPEN",IF(AND(OR(L39&lt;&gt;"",M39&lt;&gt;"",N39&lt;&gt;""),OR(O39&lt;&gt;"",P39&lt;&gt;""),Q39&lt;&gt;"",R39&lt;&gt;"",S39&lt;&gt;"",LEN(T39)=64,U39&lt;&gt;"",V39&lt;&gt;"",U39&lt;&gt;V39,W39&lt;&gt;""),"READY","INCOMPLETE")))</x:f>
        <x:v>NOT_PASS</x:v>
      </x:c>
    </x:row>
    <x:row r="40" ht="28.799999237060547" hidden="0" customHeight="1">
      <x:c r="A40" s="9" t="n">
        <x:v>800</x:v>
      </x:c>
      <x:c r="B40" s="9" t="str">
        <x:v>RF-LOAD-01</x:v>
      </x:c>
      <x:c r="C40" s="9" t="str">
        <x:v>RF</x:v>
      </x:c>
      <x:c r="D40" s="9" t="str">
        <x:v>J8/J9/J10</x:v>
      </x:c>
      <x:c r="E40" s="9" t="str">
        <x:v>center and shield</x:v>
      </x:c>
      <x:c r="F40" s="9" t="str">
        <x:v>До передачи установить 50 ohm loads или утвержденные антенны на J8 LTE, J9 GNSS и J10 LoRa. Сверить U.FL и кабели.</x:v>
      </x:c>
      <x:c r="G40" s="9" t="str">
        <x:v>Before transmission install 50 ohm loads or approved antennas at J8 LTE, J9 GNSS and J10 LoRa. Verify U.FL connectors and cables.</x:v>
      </x:c>
      <x:c r="H40" s="9" t="str">
        <x:v>rf_fixture_identity</x:v>
      </x:c>
      <x:c r="I40" s="9" t="str">
        <x:v>result</x:v>
      </x:c>
      <x:c r="J40" s="9" t="str">
        <x:v>Correct port, cable, load and region</x:v>
      </x:c>
      <x:c r="K40" s="11" t="str">
        <x:v>APPROVED_DOCUMENTARY</x:v>
      </x:c>
      <x:c r="L40" s="11"/>
      <x:c r="M40" s="11"/>
      <x:c r="N40" s="11" t="str">
        <x:v>PASS</x:v>
      </x:c>
      <x:c r="O40" s="11"/>
      <x:c r="P40" s="11" t="str"/>
      <x:c r="Q40" s="11" t="str"/>
      <x:c r="R40" s="11" t="str"/>
      <x:c r="S40" s="11" t="str"/>
      <x:c r="T40" s="11" t="str"/>
      <x:c r="U40" s="11" t="str"/>
      <x:c r="V40" s="11" t="str"/>
      <x:c r="W40" s="11" t="str"/>
      <x:c r="X40" s="11" t="str">
        <x:v>NOT_RUN</x:v>
      </x:c>
      <x:c r="Y40" s="11" t="str"/>
      <x:c r="Z40" s="11" t="str"/>
      <x:c r="AA40" s="9" t="str">
        <x:f>IF(X40&lt;&gt;"PASS","NOT_PASS",IF(OR(ISNUMBER(SEARCH("OPEN",K40)),ISNUMBER(SEARCH("PARTIAL",K40))),"LIMIT_OPEN",IF(AND(OR(L40&lt;&gt;"",M40&lt;&gt;"",N40&lt;&gt;""),OR(O40&lt;&gt;"",P40&lt;&gt;""),Q40&lt;&gt;"",R40&lt;&gt;"",S40&lt;&gt;"",LEN(T40)=64,U40&lt;&gt;"",V40&lt;&gt;"",U40&lt;&gt;V40,W40&lt;&gt;""),"READY","INCOMPLETE")))</x:f>
        <x:v>NOT_PASS</x:v>
      </x:c>
    </x:row>
    <x:row r="41" ht="28.799999237060547" hidden="0" customHeight="1">
      <x:c r="A41" s="9" t="n">
        <x:v>810</x:v>
      </x:c>
      <x:c r="B41" s="9" t="str">
        <x:v>GNSS-PPS-01</x:v>
      </x:c>
      <x:c r="C41" s="9" t="str">
        <x:v>GNSS</x:v>
      </x:c>
      <x:c r="D41" s="9" t="str">
        <x:v>J9 plus station diagnostics</x:v>
      </x:c>
      <x:c r="E41" s="9" t="str">
        <x:v>RF center/shield</x:v>
      </x:c>
      <x:c r="F41" s="9" t="str">
        <x:v>Подключить GNSS к J9, получить fix и измерить PPS/time quality и holdover.</x:v>
      </x:c>
      <x:c r="G41" s="9" t="str">
        <x:v>Connect GNSS at J9, obtain a fix and measure PPS/time quality and holdover.</x:v>
      </x:c>
      <x:c r="H41" s="9" t="str">
        <x:v>pps_accuracy_holdover</x:v>
      </x:c>
      <x:c r="I41" s="9" t="str">
        <x:v>us and s</x:v>
      </x:c>
      <x:c r="J41" s="9" t="str">
        <x:v>Limits approved after B01 characterization</x:v>
      </x:c>
      <x:c r="K41" s="11" t="str">
        <x:v>OPEN_B01_FREEZE</x:v>
      </x:c>
      <x:c r="L41" s="11"/>
      <x:c r="M41" s="11"/>
      <x:c r="N41" s="11" t="str"/>
      <x:c r="O41" s="11"/>
      <x:c r="P41" s="11" t="str"/>
      <x:c r="Q41" s="11" t="str"/>
      <x:c r="R41" s="11" t="str"/>
      <x:c r="S41" s="11" t="str"/>
      <x:c r="T41" s="11" t="str"/>
      <x:c r="U41" s="11" t="str"/>
      <x:c r="V41" s="11" t="str"/>
      <x:c r="W41" s="11" t="str"/>
      <x:c r="X41" s="11" t="str">
        <x:v>NOT_RUN</x:v>
      </x:c>
      <x:c r="Y41" s="11" t="str"/>
      <x:c r="Z41" s="11" t="str"/>
      <x:c r="AA41" s="9" t="str">
        <x:f>IF(X41&lt;&gt;"PASS","NOT_PASS",IF(OR(ISNUMBER(SEARCH("OPEN",K41)),ISNUMBER(SEARCH("PARTIAL",K41))),"LIMIT_OPEN",IF(AND(OR(L41&lt;&gt;"",M41&lt;&gt;"",N41&lt;&gt;""),OR(O41&lt;&gt;"",P41&lt;&gt;""),Q41&lt;&gt;"",R41&lt;&gt;"",S41&lt;&gt;"",LEN(T41)=64,U41&lt;&gt;"",V41&lt;&gt;"",U41&lt;&gt;V41,W41&lt;&gt;""),"READY","INCOMPLETE")))</x:f>
        <x:v>NOT_PASS</x:v>
      </x:c>
    </x:row>
    <x:row r="42" ht="43.20000076293945" hidden="0" customHeight="1">
      <x:c r="A42" s="9" t="n">
        <x:v>820</x:v>
      </x:c>
      <x:c r="B42" s="9" t="str">
        <x:v>LORA-01</x:v>
      </x:c>
      <x:c r="C42" s="9" t="str">
        <x:v>LoRa</x:v>
      </x:c>
      <x:c r="D42" s="9" t="str">
        <x:v>J10</x:v>
      </x:c>
      <x:c r="E42" s="9" t="str">
        <x:v>RF center/shield</x:v>
      </x:c>
      <x:c r="F42" s="9" t="str">
        <x:v>На J10 в conducted или экранированной оснастке проверить RU868 profile, SPI, packet integrity, frequency and power. Вне стенда TX запрещен.</x:v>
      </x:c>
      <x:c r="G42" s="9" t="str">
        <x:v>At J10 in a conducted or shielded fixture verify the RU868 profile, SPI, packet integrity, frequency and power. TX is prohibited outside the fixture.</x:v>
      </x:c>
      <x:c r="H42" s="9" t="str">
        <x:v>lora_rf</x:v>
      </x:c>
      <x:c r="I42" s="9" t="str">
        <x:v>Hz and dBm</x:v>
      </x:c>
      <x:c r="J42" s="9" t="str">
        <x:v>Approved RU868 limits</x:v>
      </x:c>
      <x:c r="K42" s="11" t="str">
        <x:v>OPEN_B01_FREEZE</x:v>
      </x:c>
      <x:c r="L42" s="11"/>
      <x:c r="M42" s="11"/>
      <x:c r="N42" s="11" t="str"/>
      <x:c r="O42" s="11"/>
      <x:c r="P42" s="11" t="str"/>
      <x:c r="Q42" s="11" t="str"/>
      <x:c r="R42" s="11" t="str"/>
      <x:c r="S42" s="11" t="str"/>
      <x:c r="T42" s="11" t="str"/>
      <x:c r="U42" s="11" t="str"/>
      <x:c r="V42" s="11" t="str"/>
      <x:c r="W42" s="11" t="str"/>
      <x:c r="X42" s="11" t="str">
        <x:v>NOT_RUN</x:v>
      </x:c>
      <x:c r="Y42" s="11" t="str"/>
      <x:c r="Z42" s="11" t="str"/>
      <x:c r="AA42" s="9" t="str">
        <x:f>IF(X42&lt;&gt;"PASS","NOT_PASS",IF(OR(ISNUMBER(SEARCH("OPEN",K42)),ISNUMBER(SEARCH("PARTIAL",K42))),"LIMIT_OPEN",IF(AND(OR(L42&lt;&gt;"",M42&lt;&gt;"",N42&lt;&gt;""),OR(O42&lt;&gt;"",P42&lt;&gt;""),Q42&lt;&gt;"",R42&lt;&gt;"",S42&lt;&gt;"",LEN(T42)=64,U42&lt;&gt;"",V42&lt;&gt;"",U42&lt;&gt;V42,W42&lt;&gt;""),"READY","INCOMPLETE")))</x:f>
        <x:v>NOT_PASS</x:v>
      </x:c>
    </x:row>
    <x:row r="43" ht="43.20000076293945" hidden="0" customHeight="1">
      <x:c r="A43" s="9" t="n">
        <x:v>830</x:v>
      </x:c>
      <x:c r="B43" s="9" t="str">
        <x:v>CELL-NET-01</x:v>
      </x:c>
      <x:c r="C43" s="9" t="str">
        <x:v>LTE и сервер</x:v>
      </x:c>
      <x:c r="D43" s="9" t="str">
        <x:v>J8 and station UART</x:v>
      </x:c>
      <x:c r="E43" s="9" t="str">
        <x:v>RF center/shield</x:v>
      </x:c>
      <x:c r="F43" s="9" t="str">
        <x:v>На J8 с утвержденной антенной или нагрузкой выполнить attach, TLS, MQTT, heartbeat, event, receipt, reconnect и SIM failover в tenant bench.</x:v>
      </x:c>
      <x:c r="G43" s="9" t="str">
        <x:v>At J8 with an approved antenna or load run attach, TLS, MQTT, heartbeat, event, receipt, reconnect and SIM failover in the bench tenant.</x:v>
      </x:c>
      <x:c r="H43" s="9" t="str">
        <x:v>cellular_end_to_end</x:v>
      </x:c>
      <x:c r="I43" s="9" t="str">
        <x:v>result</x:v>
      </x:c>
      <x:c r="J43" s="9" t="str">
        <x:v>Exact B01 identity; CA and hostname verified; event stored once; no effect on production tenant</x:v>
      </x:c>
      <x:c r="K43" s="11" t="str">
        <x:v>APPROVED_DOCUMENTARY</x:v>
      </x:c>
      <x:c r="L43" s="11"/>
      <x:c r="M43" s="11"/>
      <x:c r="N43" s="11" t="str">
        <x:v>PASS</x:v>
      </x:c>
      <x:c r="O43" s="11"/>
      <x:c r="P43" s="11" t="str"/>
      <x:c r="Q43" s="11" t="str"/>
      <x:c r="R43" s="11" t="str"/>
      <x:c r="S43" s="11" t="str"/>
      <x:c r="T43" s="11" t="str"/>
      <x:c r="U43" s="11" t="str"/>
      <x:c r="V43" s="11" t="str"/>
      <x:c r="W43" s="11" t="str"/>
      <x:c r="X43" s="11" t="str">
        <x:v>NOT_RUN</x:v>
      </x:c>
      <x:c r="Y43" s="11" t="str"/>
      <x:c r="Z43" s="11" t="str"/>
      <x:c r="AA43" s="9" t="str">
        <x:f>IF(X43&lt;&gt;"PASS","NOT_PASS",IF(OR(ISNUMBER(SEARCH("OPEN",K43)),ISNUMBER(SEARCH("PARTIAL",K43))),"LIMIT_OPEN",IF(AND(OR(L43&lt;&gt;"",M43&lt;&gt;"",N43&lt;&gt;""),OR(O43&lt;&gt;"",P43&lt;&gt;""),Q43&lt;&gt;"",R43&lt;&gt;"",S43&lt;&gt;"",LEN(T43)=64,U43&lt;&gt;"",V43&lt;&gt;"",U43&lt;&gt;V43,W43&lt;&gt;""),"READY","INCOMPLETE")))</x:f>
        <x:v>NOT_PASS</x:v>
      </x:c>
    </x:row>
    <x:row r="44" ht="43.20000076293945" hidden="0" customHeight="1">
      <x:c r="A44" s="9" t="n">
        <x:v>900</x:v>
      </x:c>
      <x:c r="B44" s="9" t="str">
        <x:v>AB-ROLLBACK-01</x:v>
      </x:c>
      <x:c r="C44" s="9" t="str">
        <x:v>Прошивка</x:v>
      </x:c>
      <x:c r="D44" s="9" t="str"/>
      <x:c r="E44" s="9" t="str"/>
      <x:c r="F44" s="9" t="str">
        <x:v>Проверить signed A/B update, interruption at 10, 30, 70 and 99 percent, trial, confirmation, watchdog rollback and BOOT0/SWD recovery.</x:v>
      </x:c>
      <x:c r="G44" s="9" t="str">
        <x:v>Verify signed A/B update, interruption at 10, 30, 70 and 99 percent, trial, confirmation, watchdog rollback and BOOT0/SWD recovery.</x:v>
      </x:c>
      <x:c r="H44" s="9" t="str">
        <x:v>ab_rollback</x:v>
      </x:c>
      <x:c r="I44" s="9" t="str">
        <x:v>result</x:v>
      </x:c>
      <x:c r="J44" s="9" t="str">
        <x:v>All fault injections recover without unsigned boot</x:v>
      </x:c>
      <x:c r="K44" s="11" t="str">
        <x:v>APPROVED_DOCUMENTARY</x:v>
      </x:c>
      <x:c r="L44" s="11"/>
      <x:c r="M44" s="11"/>
      <x:c r="N44" s="11" t="str">
        <x:v>PASS</x:v>
      </x:c>
      <x:c r="O44" s="11"/>
      <x:c r="P44" s="11" t="str"/>
      <x:c r="Q44" s="11" t="str"/>
      <x:c r="R44" s="11" t="str"/>
      <x:c r="S44" s="11" t="str"/>
      <x:c r="T44" s="11" t="str"/>
      <x:c r="U44" s="11" t="str"/>
      <x:c r="V44" s="11" t="str"/>
      <x:c r="W44" s="11" t="str"/>
      <x:c r="X44" s="11" t="str">
        <x:v>NOT_RUN</x:v>
      </x:c>
      <x:c r="Y44" s="11" t="str"/>
      <x:c r="Z44" s="11" t="str"/>
      <x:c r="AA44" s="9" t="str">
        <x:f>IF(X44&lt;&gt;"PASS","NOT_PASS",IF(OR(ISNUMBER(SEARCH("OPEN",K44)),ISNUMBER(SEARCH("PARTIAL",K44))),"LIMIT_OPEN",IF(AND(OR(L44&lt;&gt;"",M44&lt;&gt;"",N44&lt;&gt;""),OR(O44&lt;&gt;"",P44&lt;&gt;""),Q44&lt;&gt;"",R44&lt;&gt;"",S44&lt;&gt;"",LEN(T44)=64,U44&lt;&gt;"",V44&lt;&gt;"",U44&lt;&gt;V44,W44&lt;&gt;""),"READY","INCOMPLETE")))</x:f>
        <x:v>NOT_PASS</x:v>
      </x:c>
    </x:row>
    <x:row r="45" ht="28.799999237060547" hidden="0" customHeight="1">
      <x:c r="A45" s="9" t="n">
        <x:v>910</x:v>
      </x:c>
      <x:c r="B45" s="9" t="str">
        <x:v>EOL-SELFTEST-01</x:v>
      </x:c>
      <x:c r="C45" s="9" t="str">
        <x:v>Полный EOL</x:v>
      </x:c>
      <x:c r="D45" s="9" t="str"/>
      <x:c r="E45" s="9" t="str"/>
      <x:c r="F45" s="9" t="str">
        <x:v>Запустить полный self-test 1-13, сохранить CBOR/декодированный результат и failed mask.</x:v>
      </x:c>
      <x:c r="G45" s="9" t="str">
        <x:v>Run complete self-test IDs 1-13 and save the CBOR/decoded result and failed mask.</x:v>
      </x:c>
      <x:c r="H45" s="9" t="str">
        <x:v>selftest_registry</x:v>
      </x:c>
      <x:c r="I45" s="9" t="str">
        <x:v>result</x:v>
      </x:c>
      <x:c r="J45" s="9" t="str">
        <x:v>All required registered tests PASS; failed mask 0</x:v>
      </x:c>
      <x:c r="K45" s="11" t="str">
        <x:v>APPROVED_DOCUMENTARY</x:v>
      </x:c>
      <x:c r="L45" s="11"/>
      <x:c r="M45" s="11"/>
      <x:c r="N45" s="11" t="str">
        <x:v>PASS</x:v>
      </x:c>
      <x:c r="O45" s="11"/>
      <x:c r="P45" s="11" t="str"/>
      <x:c r="Q45" s="11" t="str"/>
      <x:c r="R45" s="11" t="str"/>
      <x:c r="S45" s="11" t="str"/>
      <x:c r="T45" s="11" t="str"/>
      <x:c r="U45" s="11" t="str"/>
      <x:c r="V45" s="11" t="str"/>
      <x:c r="W45" s="11" t="str"/>
      <x:c r="X45" s="11" t="str">
        <x:v>NOT_RUN</x:v>
      </x:c>
      <x:c r="Y45" s="11" t="str"/>
      <x:c r="Z45" s="11" t="str"/>
      <x:c r="AA45" s="9" t="str">
        <x:f>IF(X45&lt;&gt;"PASS","NOT_PASS",IF(OR(ISNUMBER(SEARCH("OPEN",K45)),ISNUMBER(SEARCH("PARTIAL",K45))),"LIMIT_OPEN",IF(AND(OR(L45&lt;&gt;"",M45&lt;&gt;"",N45&lt;&gt;""),OR(O45&lt;&gt;"",P45&lt;&gt;""),Q45&lt;&gt;"",R45&lt;&gt;"",S45&lt;&gt;"",LEN(T45)=64,U45&lt;&gt;"",V45&lt;&gt;"",U45&lt;&gt;V45,W45&lt;&gt;""),"READY","INCOMPLETE")))</x:f>
        <x:v>NOT_PASS</x:v>
      </x:c>
    </x:row>
    <x:row r="46" ht="43.20000076293945" hidden="0" customHeight="1">
      <x:c r="A46" s="9" t="n">
        <x:v>920</x:v>
      </x:c>
      <x:c r="B46" s="9" t="str">
        <x:v>EOL-REGRESSION-01</x:v>
      </x:c>
      <x:c r="C46" s="9" t="str">
        <x:v>Полный EOL</x:v>
      </x:c>
      <x:c r="D46" s="9" t="str"/>
      <x:c r="E46" s="9" t="str"/>
      <x:c r="F46" s="9" t="str">
        <x:v>Выполнить все обязательные EOL, полный регрессионный прогон, проверить evidence и хэши, затем получить две независимые подписи.</x:v>
      </x:c>
      <x:c r="G46" s="9" t="str">
        <x:v>Complete all mandatory EOL tests, full regression, evidence and hash verification, then obtain two independent approvals.</x:v>
      </x:c>
      <x:c r="H46" s="9" t="str">
        <x:v>overall_qualification</x:v>
      </x:c>
      <x:c r="I46" s="9" t="str">
        <x:v>result</x:v>
      </x:c>
      <x:c r="J46" s="9" t="str">
        <x:v>No OPEN, NOT_RUN, FAIL or HOLD mandatory row</x:v>
      </x:c>
      <x:c r="K46" s="11" t="str">
        <x:v>APPROVED_DOCUMENTARY</x:v>
      </x:c>
      <x:c r="L46" s="11"/>
      <x:c r="M46" s="11"/>
      <x:c r="N46" s="11" t="str">
        <x:v>PASS</x:v>
      </x:c>
      <x:c r="O46" s="11"/>
      <x:c r="P46" s="11" t="str"/>
      <x:c r="Q46" s="11" t="str"/>
      <x:c r="R46" s="11" t="str"/>
      <x:c r="S46" s="11" t="str"/>
      <x:c r="T46" s="11" t="str"/>
      <x:c r="U46" s="11" t="str"/>
      <x:c r="V46" s="11" t="str"/>
      <x:c r="W46" s="11" t="str"/>
      <x:c r="X46" s="11" t="str">
        <x:v>NOT_RUN</x:v>
      </x:c>
      <x:c r="Y46" s="11" t="str"/>
      <x:c r="Z46" s="11" t="str"/>
      <x:c r="AA46" s="9" t="str">
        <x:f>IF(X46&lt;&gt;"PASS","NOT_PASS",IF(OR(ISNUMBER(SEARCH("OPEN",K46)),ISNUMBER(SEARCH("PARTIAL",K46))),"LIMIT_OPEN",IF(AND(OR(L46&lt;&gt;"",M46&lt;&gt;"",N46&lt;&gt;""),OR(O46&lt;&gt;"",P46&lt;&gt;""),Q46&lt;&gt;"",R46&lt;&gt;"",S46&lt;&gt;"",LEN(T46)=64,U46&lt;&gt;"",V46&lt;&gt;"",U46&lt;&gt;V46,W46&lt;&gt;""),"READY","INCOMPLETE")))</x:f>
        <x:v>NOT_PASS</x:v>
      </x:c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</x:row>
  </x:sheetData>
  <x:mergeCells>
    <x:mergeCell ref="A2:AA2"/>
  </x:mergeCells>
  <x:conditionalFormatting sqref="X5:X46">
    <x:cfRule type="containsText" dxfId="3" priority="1" operator="containsText" text="PASS"/>
    <x:cfRule type="containsText" dxfId="4" priority="2" operator="containsText" text="FAIL"/>
    <x:cfRule type="containsText" dxfId="5" priority="3" operator="containsText" text="HOLD"/>
  </x:conditionalFormatting>
  <x:conditionalFormatting sqref="AA5:AA46">
    <x:cfRule type="containsText" dxfId="6" priority="4" operator="containsText" text="READY"/>
    <x:cfRule type="containsText" dxfId="7" priority="5" operator="containsText" text="OPEN"/>
  </x:conditionalFormatting>
  <x:dataValidations count="2">
    <x:dataValidation type="list" sqref="X5:X46">
      <x:formula1>"NOT_RUN,MEASURED,PASS,FAIL,HOLD"</x:formula1>
    </x:dataValidation>
    <x:dataValidation type="list" sqref="K5:K46">
      <x:formula1>"APPROVED_DOCUMENTARY,APPROVED_NUMERIC,OPEN_B01_FREEZE,PARTIAL_APPROVED_MIN_ONLY"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5142f581d2472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8" hidden="0" customWidth="1"/>
    <x:col min="3" max="3" width="44" hidden="0" customWidth="1"/>
    <x:col min="4" max="4" width="30" hidden="0" customWidth="1"/>
    <x:col min="5" max="5" width="15" hidden="0" customWidth="1"/>
    <x:col min="6" max="6" width="36" hidden="0" customWidth="1"/>
    <x:col min="7" max="7" width="24" hidden="0" customWidth="1"/>
    <x:col min="8" max="8" width="20" hidden="0" customWidth="1"/>
    <x:col min="9" max="9" width="20" hidden="0" customWidth="1"/>
    <x:col min="10" max="10" width="2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>
      <x:c r="A2" s="3" t="str">
        <x:v>MSA и known-fault проверки / MSA and known-fault tests</x:v>
      </x:c>
      <x:c r="B2" s="3"/>
      <x:c r="C2" s="3"/>
      <x:c r="D2" s="3"/>
      <x:c r="E2" s="3"/>
      <x:c r="F2" s="3"/>
      <x:c r="G2" s="3"/>
      <x:c r="H2" s="3"/>
      <x:c r="I2" s="3"/>
      <x:c r="J2" s="3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 ht="15" hidden="0" customHeight="1">
      <x:c r="A4" s="22" t="str">
        <x:v>ID</x:v>
      </x:c>
      <x:c r="B4" s="22" t="str">
        <x:v>Action</x:v>
      </x:c>
      <x:c r="C4" s="22" t="str">
        <x:v>Acceptance</x:v>
      </x:c>
      <x:c r="D4" s="22" t="str">
        <x:v>Actual result</x:v>
      </x:c>
      <x:c r="E4" s="22" t="str">
        <x:v>Status</x:v>
      </x:c>
      <x:c r="F4" s="22" t="str">
        <x:v>Evidence path</x:v>
      </x:c>
      <x:c r="G4" s="22" t="str">
        <x:v>SHA-256</x:v>
      </x:c>
      <x:c r="H4" s="22" t="str">
        <x:v>Operator</x:v>
      </x:c>
      <x:c r="I4" s="22" t="str">
        <x:v>Reviewer</x:v>
      </x:c>
      <x:c r="J4" s="22" t="str">
        <x:v>UTC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</x:row>
    <x:row r="5" ht="28.799999237060547" hidden="0" customHeight="1">
      <x:c r="A5" s="9" t="str">
        <x:v>MSA-REP-01</x:v>
      </x:c>
      <x:c r="B5" s="9" t="str">
        <x:v>10 repeated full fixture runs on the same B01 or golden unit without reseating</x:v>
      </x:c>
      <x:c r="C5" s="9" t="str">
        <x:v>repeatability limits approved and met</x:v>
      </x:c>
      <x:c r="D5" s="11" t="str"/>
      <x:c r="E5" s="11" t="str">
        <x:v>NOT_RUN</x:v>
      </x:c>
      <x:c r="F5" s="11" t="str"/>
      <x:c r="G5" s="11" t="str"/>
      <x:c r="H5" s="11" t="str"/>
      <x:c r="I5" s="11" t="str"/>
      <x:c r="J5" s="11" t="str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</x:row>
    <x:row r="6" ht="15" hidden="0" customHeight="1">
      <x:c r="A6" s="9" t="str">
        <x:v>MSA-REPRO-01</x:v>
      </x:c>
      <x:c r="B6" s="9" t="str">
        <x:v>3 operators, 3 reseats each, same unit</x:v>
      </x:c>
      <x:c r="C6" s="9" t="str">
        <x:v>operator and reseat effects within approved limits</x:v>
      </x:c>
      <x:c r="D6" s="11" t="str"/>
      <x:c r="E6" s="11" t="str">
        <x:v>NOT_RUN</x:v>
      </x:c>
      <x:c r="F6" s="11" t="str"/>
      <x:c r="G6" s="11" t="str"/>
      <x:c r="H6" s="11" t="str"/>
      <x:c r="I6" s="11" t="str"/>
      <x:c r="J6" s="11" t="str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</x:row>
    <x:row r="7" ht="15" hidden="0" customHeight="1">
      <x:c r="A7" s="9" t="str">
        <x:v>MSA-MIC-01</x:v>
      </x:c>
      <x:c r="B7" s="9" t="str">
        <x:v>known-fault sample with two microphone channels swapped</x:v>
      </x:c>
      <x:c r="C7" s="9" t="str">
        <x:v>mapping test fails and identifies channels</x:v>
      </x:c>
      <x:c r="D7" s="11" t="str"/>
      <x:c r="E7" s="11" t="str">
        <x:v>NOT_RUN</x:v>
      </x:c>
      <x:c r="F7" s="11" t="str"/>
      <x:c r="G7" s="11" t="str"/>
      <x:c r="H7" s="11" t="str"/>
      <x:c r="I7" s="11" t="str"/>
      <x:c r="J7" s="11" t="str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</x:row>
    <x:row r="8" ht="15" hidden="0" customHeight="1">
      <x:c r="A8" s="9" t="str">
        <x:v>MSA-RF-01</x:v>
      </x:c>
      <x:c r="B8" s="9" t="str">
        <x:v>known-fault sample with absent RF load</x:v>
      </x:c>
      <x:c r="C8" s="9" t="str">
        <x:v>interlock blocks transmission or test fails before TX</x:v>
      </x:c>
      <x:c r="D8" s="11" t="str"/>
      <x:c r="E8" s="11" t="str">
        <x:v>NOT_RUN</x:v>
      </x:c>
      <x:c r="F8" s="11" t="str"/>
      <x:c r="G8" s="11" t="str"/>
      <x:c r="H8" s="11" t="str"/>
      <x:c r="I8" s="11" t="str"/>
      <x:c r="J8" s="11" t="str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</x:row>
    <x:row r="9" ht="15" hidden="0" customHeight="1">
      <x:c r="A9" s="9" t="str">
        <x:v>MSA-REGION-01</x:v>
      </x:c>
      <x:c r="B9" s="9" t="str">
        <x:v>known-fault wrong LoRa region profile</x:v>
      </x:c>
      <x:c r="C9" s="9" t="str">
        <x:v>profile test fails closed</x:v>
      </x:c>
      <x:c r="D9" s="11" t="str"/>
      <x:c r="E9" s="11" t="str">
        <x:v>NOT_RUN</x:v>
      </x:c>
      <x:c r="F9" s="11" t="str"/>
      <x:c r="G9" s="11" t="str"/>
      <x:c r="H9" s="11" t="str"/>
      <x:c r="I9" s="11" t="str"/>
      <x:c r="J9" s="11" t="str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</x:row>
    <x:row r="10" ht="15" hidden="0" customHeight="1">
      <x:c r="A10" s="9" t="str">
        <x:v>MSA-STO-01</x:v>
      </x:c>
      <x:c r="B10" s="9" t="str">
        <x:v>known-fault damaged or fault-injected storage</x:v>
      </x:c>
      <x:c r="C10" s="9" t="str">
        <x:v>storage test fails and data is not reported delivered</x:v>
      </x:c>
      <x:c r="D10" s="11" t="str"/>
      <x:c r="E10" s="11" t="str">
        <x:v>NOT_RUN</x:v>
      </x:c>
      <x:c r="F10" s="11" t="str"/>
      <x:c r="G10" s="11" t="str"/>
      <x:c r="H10" s="11" t="str"/>
      <x:c r="I10" s="11" t="str"/>
      <x:c r="J10" s="11" t="str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</x:row>
    <x:row r="11" ht="15" hidden="0" customHeight="1">
      <x:c r="A11" s="9" t="str">
        <x:v>MSA-TLS-01</x:v>
      </x:c>
      <x:c r="B11" s="9" t="str">
        <x:v>known-fault invalid TLS chain or hostname</x:v>
      </x:c>
      <x:c r="C11" s="9" t="str">
        <x:v>connection rejected</x:v>
      </x:c>
      <x:c r="D11" s="11" t="str"/>
      <x:c r="E11" s="11" t="str">
        <x:v>NOT_RUN</x:v>
      </x:c>
      <x:c r="F11" s="11" t="str"/>
      <x:c r="G11" s="11" t="str"/>
      <x:c r="H11" s="11" t="str"/>
      <x:c r="I11" s="11" t="str"/>
      <x:c r="J11" s="11" t="str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</x:row>
    <x:row r="12" ht="15" hidden="0" customHeight="1">
      <x:c r="A12" s="9" t="str">
        <x:v>MSA-ID-01</x:v>
      </x:c>
      <x:c r="B12" s="9" t="str">
        <x:v>known-fault serial or station-ID mismatch</x:v>
      </x:c>
      <x:c r="C12" s="9" t="str">
        <x:v>identity gate fails before provisioning</x:v>
      </x:c>
      <x:c r="D12" s="11" t="str"/>
      <x:c r="E12" s="11" t="str">
        <x:v>NOT_RUN</x:v>
      </x:c>
      <x:c r="F12" s="11" t="str"/>
      <x:c r="G12" s="11" t="str"/>
      <x:c r="H12" s="11" t="str"/>
      <x:c r="I12" s="11" t="str"/>
      <x:c r="J12" s="11" t="str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</x:row>
  </x:sheetData>
  <x:mergeCells>
    <x:mergeCell ref="A2:J2"/>
  </x:mergeCells>
  <x:conditionalFormatting sqref="E5:E12">
    <x:cfRule type="containsText" dxfId="8" priority="1" operator="containsText" text="PASS"/>
    <x:cfRule type="containsText" dxfId="9" priority="2" operator="containsText" text="FAIL"/>
  </x:conditionalFormatting>
  <x:dataValidations count="1">
    <x:dataValidation type="list" sqref="E5:E12">
      <x:formula1>"NOT_RUN,MEASURED,PASS,FAIL,HOLD"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61787dc5514a5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48" hidden="0" customWidth="1"/>
    <x:col min="3" max="3" width="48" hidden="0" customWidth="1"/>
    <x:col min="4" max="4" width="14" hidden="0" customWidth="1"/>
    <x:col min="5" max="5" width="40" hidden="0" customWidth="1"/>
    <x:col min="6" max="6" width="2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>
      <x:c r="A2" s="3" t="str">
        <x:v>Структура evidence / Evidence structure</x:v>
      </x:c>
      <x:c r="B2" s="3"/>
      <x:c r="C2" s="3"/>
      <x:c r="D2" s="3"/>
      <x:c r="E2" s="3"/>
      <x:c r="F2" s="3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 ht="15" hidden="0" customHeight="1">
      <x:c r="A4" s="22" t="str">
        <x:v>Folder</x:v>
      </x:c>
      <x:c r="B4" s="22" t="str">
        <x:v>Contents RU</x:v>
      </x:c>
      <x:c r="C4" s="22" t="str">
        <x:v>Contents EN</x:v>
      </x:c>
      <x:c r="D4" s="22" t="str">
        <x:v>Required</x:v>
      </x:c>
      <x:c r="E4" s="22" t="str">
        <x:v>Path</x:v>
      </x:c>
      <x:c r="F4" s="22" t="str">
        <x:v>SHA-256 manifest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</x:row>
    <x:row r="5" ht="15" hidden="0" customHeight="1">
      <x:c r="A5" s="9" t="str">
        <x:v>00_identity</x:v>
      </x:c>
      <x:c r="B5" s="9" t="str">
        <x:v>Фото маркировки, traveller, release manifest</x:v>
      </x:c>
      <x:c r="C5" s="9" t="str">
        <x:v>Identity photo, traveller, release manifest</x:v>
      </x:c>
      <x:c r="D5" s="9" t="str">
        <x:v>YES</x:v>
      </x:c>
      <x:c r="E5" s="11" t="str"/>
      <x:c r="F5" s="11" t="str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</x:row>
    <x:row r="6" ht="15" hidden="0" customHeight="1">
      <x:c r="A6" s="9" t="str">
        <x:v>01_fixture</x:v>
      </x:c>
      <x:c r="B6" s="9" t="str">
        <x:v>Схема, карта pogo, приемка и MSA MFG-004</x:v>
      </x:c>
      <x:c r="C6" s="9" t="str">
        <x:v>MFG-004 schematic, pogo map, acceptance and MSA</x:v>
      </x:c>
      <x:c r="D6" s="9" t="str">
        <x:v>YES</x:v>
      </x:c>
      <x:c r="E6" s="11" t="str"/>
      <x:c r="F6" s="11" t="str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</x:row>
    <x:row r="7" ht="15" hidden="0" customHeight="1">
      <x:c r="A7" s="9" t="str">
        <x:v>02_power</x:v>
      </x:c>
      <x:c r="B7" s="9" t="str">
        <x:v>Сопротивления, rail waveforms, ток и thermal</x:v>
      </x:c>
      <x:c r="C7" s="9" t="str">
        <x:v>Resistance, rail waveforms, current and thermal</x:v>
      </x:c>
      <x:c r="D7" s="9" t="str">
        <x:v>YES</x:v>
      </x:c>
      <x:c r="E7" s="11" t="str"/>
      <x:c r="F7" s="11" t="str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</x:row>
    <x:row r="8" ht="15" hidden="0" customHeight="1">
      <x:c r="A8" s="9" t="str">
        <x:v>03_programming</x:v>
      </x:c>
      <x:c r="B8" s="9" t="str">
        <x:v>STM32 и nRF logs, option bytes, verify</x:v>
      </x:c>
      <x:c r="C8" s="9" t="str">
        <x:v>STM32 and nRF logs, option bytes and verify</x:v>
      </x:c>
      <x:c r="D8" s="9" t="str">
        <x:v>YES</x:v>
      </x:c>
      <x:c r="E8" s="11" t="str"/>
      <x:c r="F8" s="11" t="str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</x:row>
    <x:row r="9" ht="15" hidden="0" customHeight="1">
      <x:c r="A9" s="9" t="str">
        <x:v>04_modem</x:v>
      </x:c>
      <x:c r="B9" s="9" t="str">
        <x:v>BG95 debug, USB recovery и redacted AT logs</x:v>
      </x:c>
      <x:c r="C9" s="9" t="str">
        <x:v>BG95 debug, USB recovery and redacted AT logs</x:v>
      </x:c>
      <x:c r="D9" s="9" t="str">
        <x:v>YES</x:v>
      </x:c>
      <x:c r="E9" s="11" t="str"/>
      <x:c r="F9" s="11" t="str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</x:row>
    <x:row r="10" ht="15" hidden="0" customHeight="1">
      <x:c r="A10" s="9" t="str">
        <x:v>05_audio</x:v>
      </x:c>
      <x:c r="B10" s="9" t="str">
        <x:v>WAV, mapping, THSEL, wake и calibration</x:v>
      </x:c>
      <x:c r="C10" s="9" t="str">
        <x:v>WAV, mapping, THSEL, wake and calibration</x:v>
      </x:c>
      <x:c r="D10" s="9" t="str">
        <x:v>YES</x:v>
      </x:c>
      <x:c r="E10" s="11" t="str"/>
      <x:c r="F10" s="11" t="str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</x:row>
    <x:row r="11" ht="15" hidden="0" customHeight="1">
      <x:c r="A11" s="9" t="str">
        <x:v>06_rf_time</x:v>
      </x:c>
      <x:c r="B11" s="9" t="str">
        <x:v>GNSS PPS, LTE, LoRa и setup calibration</x:v>
      </x:c>
      <x:c r="C11" s="9" t="str">
        <x:v>GNSS PPS, LTE, LoRa and setup calibration</x:v>
      </x:c>
      <x:c r="D11" s="9" t="str">
        <x:v>YES</x:v>
      </x:c>
      <x:c r="E11" s="11" t="str"/>
      <x:c r="F11" s="11" t="str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</x:row>
    <x:row r="12" ht="15" hidden="0" customHeight="1">
      <x:c r="A12" s="9" t="str">
        <x:v>07_server</x:v>
      </x:c>
      <x:c r="B12" s="9" t="str">
        <x:v>Heartbeat, event, receipt и reconnect</x:v>
      </x:c>
      <x:c r="C12" s="9" t="str">
        <x:v>Heartbeat, event, receipt and reconnect</x:v>
      </x:c>
      <x:c r="D12" s="9" t="str">
        <x:v>YES</x:v>
      </x:c>
      <x:c r="E12" s="11" t="str"/>
      <x:c r="F12" s="11" t="str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</x:row>
    <x:row r="13" ht="15" hidden="0" customHeight="1">
      <x:c r="A13" s="9" t="str">
        <x:v>08_ota_recovery</x:v>
      </x:c>
      <x:c r="B13" s="9" t="str">
        <x:v>A/B, power cuts, rollback и recovery</x:v>
      </x:c>
      <x:c r="C13" s="9" t="str">
        <x:v>A/B, power cuts, rollback and recovery</x:v>
      </x:c>
      <x:c r="D13" s="9" t="str">
        <x:v>YES</x:v>
      </x:c>
      <x:c r="E13" s="11" t="str"/>
      <x:c r="F13" s="11" t="str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</x:row>
    <x:row r="14" ht="15" hidden="0" customHeight="1">
      <x:c r="A14" s="9" t="str">
        <x:v>09_review</x:v>
      </x:c>
      <x:c r="B14" s="9" t="str">
        <x:v>Подписанные XLSX, JSON, NCR и manifest</x:v>
      </x:c>
      <x:c r="C14" s="9" t="str">
        <x:v>Signed XLSX, JSON, NCR and manifest</x:v>
      </x:c>
      <x:c r="D14" s="9" t="str">
        <x:v>YES</x:v>
      </x:c>
      <x:c r="E14" s="11" t="str"/>
      <x:c r="F14" s="11" t="str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d39c36c41a8d448c"/>
  </x:tableParts>
</x:worksheet>
</file>