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1e1c072ce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тали головы" sheetId="1" r:id="Re95ad11be796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72331"/>
      <x:name val="Arial"/>
    </x:font>
    <x:font>
      <x:b/>
      <x:sz val="15"/>
      <x:color rgb="FF172331"/>
      <x:name val="Arial"/>
    </x:font>
    <x:font>
      <x:i/>
      <x:sz val="10"/>
      <x:color rgb="FF657184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51ab4d2194d92" /><Relationship Type="http://schemas.openxmlformats.org/officeDocument/2006/relationships/theme" Target="/xl/theme/theme1.xml" Id="R94f80e28c56f430f" /><Relationship Type="http://schemas.openxmlformats.org/officeDocument/2006/relationships/sharedStrings" Target="/xl/sharedStrings.xml" Id="R91316c4d58c64b6c" /><Relationship Type="http://schemas.openxmlformats.org/officeDocument/2006/relationships/worksheet" Target="/xl/worksheets/sheet1.xml" Id="Re95ad11be7964e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83" hidden="0" customWidth="1"/>
  </x:cols>
  <x:sheetData>
    <x:row r="2">
      <x:c r="A2" s="2" t="str">
        <x:v>Акустическая голова 3+1: детали и уплотнение</x:v>
      </x:c>
      <x:c r="B2" s="1"/>
      <x:c r="C2" s="1"/>
      <x:c r="D2" s="1"/>
      <x:c r="E2" s="1"/>
      <x:c r="F2" s="1"/>
    </x:row>
    <x:row r="3">
      <x:c r="A3" s="3" t="str">
        <x:v>PCB-MIC Rev B заказана; конструкция платы не меняется. Геометрия корпуса предварительная.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7"/>
      <x:c r="C5" s="18" t="n">
        <x:v>20</x:v>
      </x:c>
      <x:c r="D5" s="18" t="n">
        <x:v>40</x:v>
      </x:c>
      <x:c r="E5" s="18" t="n">
        <x:v>41</x:v>
      </x:c>
      <x:c r="F5" s="1"/>
    </x:row>
    <x:row r="6" ht="26" customHeight="1">
      <x:c r="A6" s="5" t="str">
        <x:v>Артикул</x:v>
      </x:c>
      <x:c r="B6" s="19" t="str">
        <x:v>На 1 станцию</x:v>
      </x:c>
      <x:c r="C6" s="19" t="str">
        <x:v>На 20</x:v>
      </x:c>
      <x:c r="D6" s="19" t="str">
        <x:v>На 40</x:v>
      </x:c>
      <x:c r="E6" s="19" t="str">
        <x:v>На 41</x:v>
      </x:c>
      <x:c r="F6" s="5" t="str">
        <x:v>Наименование</x:v>
      </x:c>
    </x:row>
    <x:row r="7">
      <x:c r="A7" s="8" t="str">
        <x:v>DIO-3DP-MC-001B_body</x:v>
      </x:c>
      <x:c r="B7" s="20" t="n">
        <x:v>4</x:v>
      </x:c>
      <x:c r="C7" s="20" t="n">
        <x:f>$B7*C$5</x:f>
        <x:v>80</x:v>
      </x:c>
      <x:c r="D7" s="20" t="n">
        <x:f>$B7*D$5</x:f>
        <x:v>160</x:v>
      </x:c>
      <x:c r="E7" s="20" t="n">
        <x:f>$B7*E$5</x:f>
        <x:v>164</x:v>
      </x:c>
      <x:c r="F7" s="10" t="str">
        <x:v>Корпус микрофона / microphone body</x:v>
      </x:c>
    </x:row>
    <x:row r="8">
      <x:c r="A8" s="11" t="str">
        <x:v>DIO-3DP-MC-001B_lid</x:v>
      </x:c>
      <x:c r="B8" s="21" t="n">
        <x:v>4</x:v>
      </x:c>
      <x:c r="C8" s="21" t="n">
        <x:f>$B8*C$5</x:f>
        <x:v>80</x:v>
      </x:c>
      <x:c r="D8" s="21" t="n">
        <x:f>$B8*D$5</x:f>
        <x:v>160</x:v>
      </x:c>
      <x:c r="E8" s="21" t="n">
        <x:f>$B8*E$5</x:f>
        <x:v>164</x:v>
      </x:c>
      <x:c r="F8" s="13" t="str">
        <x:v>Крышка микрофона / microphone lid</x:v>
      </x:c>
    </x:row>
    <x:row r="9">
      <x:c r="A9" s="11" t="str">
        <x:v>DIO-3DP-AH-001C_sealed_floor_carrier</x:v>
      </x:c>
      <x:c r="B9" s="21" t="n">
        <x:v>1</x:v>
      </x:c>
      <x:c r="C9" s="21" t="n">
        <x:f>$B9*C$5</x:f>
        <x:v>20</x:v>
      </x:c>
      <x:c r="D9" s="21" t="n">
        <x:f>$B9*D$5</x:f>
        <x:v>40</x:v>
      </x:c>
      <x:c r="E9" s="21" t="n">
        <x:f>$B9*E$5</x:f>
        <x:v>41</x:v>
      </x:c>
      <x:c r="F9" s="13" t="str">
        <x:v>Закрытое основание с дренажом / closed drained floor</x:v>
      </x:c>
    </x:row>
    <x:row r="10">
      <x:c r="A10" s="11" t="str">
        <x:v>DIO-3DP-AH-001C_cable_hatch_north</x:v>
      </x:c>
      <x:c r="B10" s="21" t="n">
        <x:v>1</x:v>
      </x:c>
      <x:c r="C10" s="21" t="n">
        <x:f>$B10*C$5</x:f>
        <x:v>20</x:v>
      </x:c>
      <x:c r="D10" s="21" t="n">
        <x:f>$B10*D$5</x:f>
        <x:v>40</x:v>
      </x:c>
      <x:c r="E10" s="21" t="n">
        <x:f>$B10*E$5</x:f>
        <x:v>41</x:v>
      </x:c>
      <x:c r="F10" s="13" t="str">
        <x:v>Первая половина кабельного лючка / cable hatch half A</x:v>
      </x:c>
    </x:row>
    <x:row r="11">
      <x:c r="A11" s="11" t="str">
        <x:v>DIO-3DP-AH-001C_cable_hatch_south</x:v>
      </x:c>
      <x:c r="B11" s="21" t="n">
        <x:v>1</x:v>
      </x:c>
      <x:c r="C11" s="21" t="n">
        <x:f>$B11*C$5</x:f>
        <x:v>20</x:v>
      </x:c>
      <x:c r="D11" s="21" t="n">
        <x:f>$B11*D$5</x:f>
        <x:v>40</x:v>
      </x:c>
      <x:c r="E11" s="21" t="n">
        <x:f>$B11*E$5</x:f>
        <x:v>41</x:v>
      </x:c>
      <x:c r="F11" s="13" t="str">
        <x:v>Вторая половина кабельного лючка / cable hatch half B</x:v>
      </x:c>
    </x:row>
    <x:row r="12">
      <x:c r="A12" s="11" t="str">
        <x:v>DIO-3DP-AH-001C_central_mast</x:v>
      </x:c>
      <x:c r="B12" s="21" t="n">
        <x:v>1</x:v>
      </x:c>
      <x:c r="C12" s="21" t="n">
        <x:f>$B12*C$5</x:f>
        <x:v>20</x:v>
      </x:c>
      <x:c r="D12" s="21" t="n">
        <x:f>$B12*D$5</x:f>
        <x:v>40</x:v>
      </x:c>
      <x:c r="E12" s="21" t="n">
        <x:f>$B12*E$5</x:f>
        <x:v>41</x:v>
      </x:c>
      <x:c r="F12" s="13" t="str">
        <x:v>Центральная стойка / central mast</x:v>
      </x:c>
    </x:row>
    <x:row r="13">
      <x:c r="A13" s="11" t="str">
        <x:v>DIO-3DP-AH-001C_upper_carrier</x:v>
      </x:c>
      <x:c r="B13" s="21" t="n">
        <x:v>1</x:v>
      </x:c>
      <x:c r="C13" s="21" t="n">
        <x:f>$B13*C$5</x:f>
        <x:v>20</x:v>
      </x:c>
      <x:c r="D13" s="21" t="n">
        <x:f>$B13*D$5</x:f>
        <x:v>40</x:v>
      </x:c>
      <x:c r="E13" s="21" t="n">
        <x:f>$B13*E$5</x:f>
        <x:v>41</x:v>
      </x:c>
      <x:c r="F13" s="13" t="str">
        <x:v>Верхняя траверса / upper carrier</x:v>
      </x:c>
    </x:row>
    <x:row r="14">
      <x:c r="A14" s="11" t="str">
        <x:v>DIO-3DP-AH-001C_integral_upper_cage</x:v>
      </x:c>
      <x:c r="B14" s="21" t="n">
        <x:v>1</x:v>
      </x:c>
      <x:c r="C14" s="21" t="n">
        <x:f>$B14*C$5</x:f>
        <x:v>20</x:v>
      </x:c>
      <x:c r="D14" s="21" t="n">
        <x:f>$B14*D$5</x:f>
        <x:v>40</x:v>
      </x:c>
      <x:c r="E14" s="21" t="n">
        <x:f>$B14*E$5</x:f>
        <x:v>41</x:v>
      </x:c>
      <x:c r="F14" s="13" t="str">
        <x:v>Цельная клетка: верхнее кольцо, пояс и 8 пластин / integral cage</x:v>
      </x:c>
    </x:row>
    <x:row r="15">
      <x:c r="A15" s="11" t="str">
        <x:v>DIO-3DP-AH-001C_dome</x:v>
      </x:c>
      <x:c r="B15" s="21" t="n">
        <x:v>1</x:v>
      </x:c>
      <x:c r="C15" s="21" t="n">
        <x:f>$B15*C$5</x:f>
        <x:v>20</x:v>
      </x:c>
      <x:c r="D15" s="21" t="n">
        <x:f>$B15*D$5</x:f>
        <x:v>40</x:v>
      </x:c>
      <x:c r="E15" s="21" t="n">
        <x:f>$B15*E$5</x:f>
        <x:v>41</x:v>
      </x:c>
      <x:c r="F15" s="13" t="str">
        <x:v>Высокий купол / taller dome</x:v>
      </x:c>
    </x:row>
    <x:row r="16">
      <x:c r="A16" s="11" t="str">
        <x:v>FOAM-OPEN-CELL-10MM-TRIAL</x:v>
      </x:c>
      <x:c r="B16" s="21" t="n">
        <x:v>1</x:v>
      </x:c>
      <x:c r="C16" s="21" t="n">
        <x:f>$B16*C$5</x:f>
        <x:v>20</x:v>
      </x:c>
      <x:c r="D16" s="21" t="n">
        <x:f>$B16*D$5</x:f>
        <x:v>40</x:v>
      </x:c>
      <x:c r="E16" s="21" t="n">
        <x:f>$B16*E$5</x:f>
        <x:v>41</x:v>
      </x:c>
      <x:c r="F16" s="13" t="str">
        <x:v>Раскройный цилиндр 10 мм; MPN после испытаний / foam trial cut</x:v>
      </x:c>
    </x:row>
    <x:row r="17">
      <x:c r="A17" s="14" t="str">
        <x:v>ELASTOMER-HATCH-SEAL-TRIAL</x:v>
      </x:c>
      <x:c r="B17" s="22" t="n">
        <x:v>1</x:v>
      </x:c>
      <x:c r="C17" s="22" t="n">
        <x:f>$B17*C$5</x:f>
        <x:v>20</x:v>
      </x:c>
      <x:c r="D17" s="22" t="n">
        <x:f>$B17*D$5</x:f>
        <x:v>40</x:v>
      </x:c>
      <x:c r="E17" s="22" t="n">
        <x:f>$B17*E$5</x:f>
        <x:v>41</x:v>
      </x:c>
      <x:c r="F17" s="16" t="str">
        <x:v>Уплотнение периметра, шва и 4 жгутов; MPN после испытаний / hatch seal</x:v>
      </x:c>
    </x:row>
    <x:row r="18">
      <x:c r="A18" s="1"/>
      <x:c r="B18" s="1"/>
      <x:c r="C18" s="1"/>
      <x:c r="D18" s="1"/>
      <x:c r="E18" s="1"/>
      <x:c r="F18" s="1"/>
    </x:row>
    <x:row r="19">
      <x:c r="A19" s="1" t="str">
        <x:v>Статус: опытная печать; примерка и акустические испытания обязательны.</x:v>
      </x:c>
      <x:c r="B19" s="1"/>
      <x:c r="C19" s="1"/>
      <x:c r="D19" s="1"/>
      <x:c r="E19" s="1"/>
      <x:c r="F19" s="1"/>
    </x:row>
    <x:row r="20">
      <x:c r="A20" s="1" t="str">
        <x:v>Поролон и уплотнитель: пробные материалы, MPN и цены не утверждены.</x:v>
      </x:c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