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3040" windowHeight="9072"/>
  </bookViews>
  <sheets>
    <sheet name="Цены_КНР" sheetId="7" r:id="rId1"/>
    <sheet name="Сводка" sheetId="1" r:id="rId2"/>
    <sheet name="BOM_заказчику" sheetId="2" r:id="rId3"/>
    <sheet name="BOM_полный" sheetId="3" r:id="rId4"/>
    <sheet name="Комплектация" sheetId="4" r:id="rId5"/>
    <sheet name="Кабели_разъемы" sheetId="5" r:id="rId6"/>
    <sheet name="Статусы_и_источники" sheetId="6" r:id="rId7"/>
    <sheet name="Сводная_стоимость" sheetId="8" r:id="rId8"/>
    <sheet name="Источники_цен" sheetId="9" r:id="rId9"/>
  </sheets>
  <calcPr calcId="162913"/>
  <fileRecoveryPr repairLoad="1"/>
</workbook>
</file>

<file path=xl/calcChain.xml><?xml version="1.0" encoding="utf-8"?>
<calcChain xmlns="http://schemas.openxmlformats.org/spreadsheetml/2006/main">
  <c r="G57" i="7" l="1"/>
  <c r="H57" i="7"/>
  <c r="J57" i="7"/>
  <c r="K57" i="7"/>
</calcChain>
</file>

<file path=xl/sharedStrings.xml><?xml version="1.0" encoding="utf-8"?>
<sst xmlns="http://schemas.openxmlformats.org/spreadsheetml/2006/main" count="2230" uniqueCount="810">
  <si>
    <t>ДИОНЕЯ — инженерный BOM для первичного представления заказчику</t>
  </si>
  <si>
    <t>EVT-PRE-20 / Rev.A · предварительный инженерный состав изделия · НЕ производственный release</t>
  </si>
  <si>
    <t>Сводный статус</t>
  </si>
  <si>
    <t>Кол-во</t>
  </si>
  <si>
    <t>Параметр</t>
  </si>
  <si>
    <t>Значение</t>
  </si>
  <si>
    <t>Строк BOM</t>
  </si>
  <si>
    <t>PCB-MAIN</t>
  </si>
  <si>
    <t>PCB-PWR</t>
  </si>
  <si>
    <t>PCB-MIC</t>
  </si>
  <si>
    <t>SYSTEM</t>
  </si>
  <si>
    <t>Выбран / верификация</t>
  </si>
  <si>
    <t>Источник</t>
  </si>
  <si>
    <t>ветка evt-pre-20, только чтение</t>
  </si>
  <si>
    <t>RFQ / выбор поставщика</t>
  </si>
  <si>
    <t>Commit snapshot</t>
  </si>
  <si>
    <t>c678a728501bea75f170d9b8989cfbf8b3112b77</t>
  </si>
  <si>
    <t>Открытая позиция</t>
  </si>
  <si>
    <t>Исходный BOM</t>
  </si>
  <si>
    <t>hardware/EVT_PRE_20_BOM_DRAFT.csv</t>
  </si>
  <si>
    <t>Станция</t>
  </si>
  <si>
    <t>Пилот</t>
  </si>
  <si>
    <t>Кандидат / уточнение</t>
  </si>
  <si>
    <t>Статус</t>
  </si>
  <si>
    <t>ENGINEERING / PRELIMINARY</t>
  </si>
  <si>
    <t>1 комплект</t>
  </si>
  <si>
    <t>20 станций</t>
  </si>
  <si>
    <t>Исходные данные / DFM</t>
  </si>
  <si>
    <t>Производственный BOM</t>
  </si>
  <si>
    <t>BLOCKED до закрытия QG-2 / финализации проекта</t>
  </si>
  <si>
    <t>Назначение файла: показать заказчику инженерный состав EVT-PRE-20 до завершения производственного BOM. Позиции TBD / OPEN / RFQ сохранены как есть и не заменены предположениями. Цены не выдумывались: в листе «BOM_заказчику» оставлены поля для RFQ и автоматического расчёта суммы после ввода цены.</t>
  </si>
  <si>
    <t>Ключевые зафиксированные решения</t>
  </si>
  <si>
    <t>MCU</t>
  </si>
  <si>
    <t>STM32U585VIT6Q</t>
  </si>
  <si>
    <t>LTE</t>
  </si>
  <si>
    <t>Quectel BG95-M3</t>
  </si>
  <si>
    <t>LoRa</t>
  </si>
  <si>
    <t>E22-900M22S / RU868</t>
  </si>
  <si>
    <t>BLE</t>
  </si>
  <si>
    <t>MDBT50Q-P1MV2</t>
  </si>
  <si>
    <t>GNSS</t>
  </si>
  <si>
    <t>MAX-M10S-00B</t>
  </si>
  <si>
    <t>Микрофоны</t>
  </si>
  <si>
    <t>4 × T5838</t>
  </si>
  <si>
    <t>Память</t>
  </si>
  <si>
    <t>W25Q512JVFIQ + microSD</t>
  </si>
  <si>
    <t>Корпус</t>
  </si>
  <si>
    <t>вакуумное литьё</t>
  </si>
  <si>
    <t>Питание</t>
  </si>
  <si>
    <t>LiFePO4 + solar + MPPT</t>
  </si>
  <si>
    <t>Телеметрия</t>
  </si>
  <si>
    <t>INA226 по I²C</t>
  </si>
  <si>
    <t>MAIN-PWR</t>
  </si>
  <si>
    <t>12-pin Micro-Fit</t>
  </si>
  <si>
    <t>Примечание</t>
  </si>
  <si>
    <t>Точные MPN для открытых позиций уточняются производственным BOM</t>
  </si>
  <si>
    <t>Источники</t>
  </si>
  <si>
    <t>URL</t>
  </si>
  <si>
    <t>BOM draft</t>
  </si>
  <si>
    <t>https://github.com/skif-ops/rs-zs-bpla/blob/evt-pre-20/hardware/EVT_PRE_20_BOM_DRAFT.csv</t>
  </si>
  <si>
    <t>BOM policy Rev.A</t>
  </si>
  <si>
    <t>https://github.com/skif-ops/rs-zs-bpla/blob/evt-pre-20/hardware/EVT_PRE_20_BOM_POLICY_REV_A.md</t>
  </si>
  <si>
    <t>https://github.com/skif-ops/rs-zs-bpla/commit/c678a728501bea75f170d9b8989cfbf8b3112b77</t>
  </si>
  <si>
    <t>Обновление v0.2: добавлены плановые цены закупки из КНР и лист «Сводная_стоимость». Для представления заказчику производство всех плат сведено в одну статью, кабели и разъёмы — в одну статью. Финальный производственный BOM по-прежнему не заменён этим документом.</t>
  </si>
  <si>
    <t>ДИОНЕЯ · Инженерный BOM EVT-PRE-20 · представление заказчику</t>
  </si>
  <si>
    <t>Снимок ветки evt-pre-20 @ c678a728501b · инженерный документ · цены заполняются после RFQ</t>
  </si>
  <si>
    <t>№</t>
  </si>
  <si>
    <t>Узел</t>
  </si>
  <si>
    <t>Категория</t>
  </si>
  <si>
    <t>Item ID</t>
  </si>
  <si>
    <t>RefDes</t>
  </si>
  <si>
    <t>Наименование</t>
  </si>
  <si>
    <t>Производитель</t>
  </si>
  <si>
    <t>MPN</t>
  </si>
  <si>
    <t>Корпус / исполнение</t>
  </si>
  <si>
    <t>Кол-во / станцию</t>
  </si>
  <si>
    <t>Кол-во 20</t>
  </si>
  <si>
    <t>Запас</t>
  </si>
  <si>
    <t>К закупке</t>
  </si>
  <si>
    <t>Техн. статус</t>
  </si>
  <si>
    <t>План. цена/ед., ₽ (КНР)</t>
  </si>
  <si>
    <t>Сумма закупки с запасом, ₽</t>
  </si>
  <si>
    <t>Плата в сборе</t>
  </si>
  <si>
    <t>ASM-MAIN</t>
  </si>
  <si>
    <t>-</t>
  </si>
  <si>
    <t>Собранная основная плата контроллера PCB-MAIN</t>
  </si>
  <si>
    <t>Contract manufacturer</t>
  </si>
  <si>
    <t>TBD</t>
  </si>
  <si>
    <t>4-layer PCBA</t>
  </si>
  <si>
    <t>RFQ_REQUIRED</t>
  </si>
  <si>
    <t>Not released before schematic and DFM gates</t>
  </si>
  <si>
    <t>https://jlcpcb.com/help/article/pcb-assembly-price</t>
  </si>
  <si>
    <t>Печатная плата</t>
  </si>
  <si>
    <t>Печатная плата PCB-MAIN, 4 слоя</t>
  </si>
  <si>
    <t>Qualified PCB fab</t>
  </si>
  <si>
    <t>4-layer FR-4</t>
  </si>
  <si>
    <t>Final outline pending mechanics</t>
  </si>
  <si>
    <t>МК</t>
  </si>
  <si>
    <t>U1</t>
  </si>
  <si>
    <t>Микроконтроллер STM32U585, защищённая low-power платформа</t>
  </si>
  <si>
    <t>STMicroelectronics</t>
  </si>
  <si>
    <t>LQFP100 14x14 mm</t>
  </si>
  <si>
    <t>SELECTED_PENDING_SAMPLE</t>
  </si>
  <si>
    <t>Active official product</t>
  </si>
  <si>
    <t>https://www.lcsc.com/product-detail/C5270986.html</t>
  </si>
  <si>
    <t>U2</t>
  </si>
  <si>
    <t>QSPI NOR Flash 64 МБ</t>
  </si>
  <si>
    <t>Winbond</t>
  </si>
  <si>
    <t>W25Q512JVFIQ</t>
  </si>
  <si>
    <t>SOIC-16 300 mil</t>
  </si>
  <si>
    <t>Alternate MT25QL512 only after firmware and footprint review</t>
  </si>
  <si>
    <t>https://www.lcsc.com/product-image/C2962011.html</t>
  </si>
  <si>
    <t>Датчик движения</t>
  </si>
  <si>
    <t>U3</t>
  </si>
  <si>
    <t>Малопотребляющий акселерометр</t>
  </si>
  <si>
    <t>LIS2DW12TR</t>
  </si>
  <si>
    <t>LGA-12</t>
  </si>
  <si>
    <t>Exact mounting orientation in assembly drawing</t>
  </si>
  <si>
    <t>https://www.lcsc.com/product-detail/Motion-Sensors-Accelerometers_STMicroelectronics_C189624.html</t>
  </si>
  <si>
    <t>Температура</t>
  </si>
  <si>
    <t>U4</t>
  </si>
  <si>
    <t>Цифровой датчик температуры</t>
  </si>
  <si>
    <t>STTS22HTR</t>
  </si>
  <si>
    <t>UDFN-6L 2x2 mm</t>
  </si>
  <si>
    <t>SELECTED_PENDING_ASSEMBLY_REVIEW</t>
  </si>
  <si>
    <t>Exposed-pad assembly and thermal response to be reviewed</t>
  </si>
  <si>
    <t>https://www.lcsc.com/product-detail/temperature-and-humidity-sensor_stmicroelectronics-stts22htr_C2969838.html</t>
  </si>
  <si>
    <t>Логика</t>
  </si>
  <si>
    <t>U7</t>
  </si>
  <si>
    <t>Преобразователь логических уровней 1,8/3,3 В</t>
  </si>
  <si>
    <t>OPEN_SCHEMATIC</t>
  </si>
  <si>
    <t>Old TXB0104 not automatically approved</t>
  </si>
  <si>
    <t>https://www.lcsc.com/</t>
  </si>
  <si>
    <t>Сотовая связь</t>
  </si>
  <si>
    <t>U8</t>
  </si>
  <si>
    <t>Сотовый модем LTE Cat-M1 / NB2 / EGPRS</t>
  </si>
  <si>
    <t>Quectel</t>
  </si>
  <si>
    <t>BG95-M3</t>
  </si>
  <si>
    <t>LGA 23.6x19.9 mm</t>
  </si>
  <si>
    <t>SELECTED_PENDING_OPERATOR_AND_REGION</t>
  </si>
  <si>
    <t>Exact regional variant must cover pilot operator bands</t>
  </si>
  <si>
    <t>https://www.alibaba.com/showroom/bg95-m3-module.html</t>
  </si>
  <si>
    <t>SIM</t>
  </si>
  <si>
    <t>J-SIM1</t>
  </si>
  <si>
    <t>J6</t>
  </si>
  <si>
    <t>Разъём Nano-SIM, канал SIM1</t>
  </si>
  <si>
    <t>SMD</t>
  </si>
  <si>
    <t>OPEN_MECHANICAL</t>
  </si>
  <si>
    <t>Under service cover with independent SIM1_DET</t>
  </si>
  <si>
    <t>J-SIM2</t>
  </si>
  <si>
    <t>J7</t>
  </si>
  <si>
    <t>Разъём Nano-SIM, канал SIM2</t>
  </si>
  <si>
    <t>Under service cover with independent SIM2_DET</t>
  </si>
  <si>
    <t>U13</t>
  </si>
  <si>
    <t>Коммутатор интерфейса двух SIM-карт</t>
  </si>
  <si>
    <t>Texas Instruments</t>
  </si>
  <si>
    <t>TS3A27518EPWR</t>
  </si>
  <si>
    <t>TSSOP-24</t>
  </si>
  <si>
    <t>CANDIDATE_PENDING_SCHEMATIC_SI_SAMPLE</t>
  </si>
  <si>
    <t>Switch VDD RST CLK DATA; final MPN after BG95 signal integrity test</t>
  </si>
  <si>
    <t>https://www.lcsc.com/product-detail/Analog-Switches-Multiplexers_Texas-Instruments-TS3A27518EPWR_C443721.html</t>
  </si>
  <si>
    <t>Защита</t>
  </si>
  <si>
    <t>U14-U15</t>
  </si>
  <si>
    <t>U14;U15</t>
  </si>
  <si>
    <t>Малoёмкостная ESD/TVS-защита линий SIM</t>
  </si>
  <si>
    <t>Place at SIM connectors; exact topology after review</t>
  </si>
  <si>
    <t>U9</t>
  </si>
  <si>
    <t>GNSS-модуль с выходом TIMEPULSE/PPS</t>
  </si>
  <si>
    <t>u-blox</t>
  </si>
  <si>
    <t>LGA 9.7x10.1 mm</t>
  </si>
  <si>
    <t>Required for concurrent timing while cellular active</t>
  </si>
  <si>
    <t>https://www.lcsc.com/product-image/C4153167.html</t>
  </si>
  <si>
    <t>U10</t>
  </si>
  <si>
    <t>LoRa-модуль SX1262 для RU868</t>
  </si>
  <si>
    <t>Ebyte</t>
  </si>
  <si>
    <t>E22-900M22S</t>
  </si>
  <si>
    <t>SMD 14x20 mm</t>
  </si>
  <si>
    <t>SELECTED_PENDING_RF_REGULATORY</t>
  </si>
  <si>
    <t>All 20 pilot units RU868; common hardware may support future EU868 profile</t>
  </si>
  <si>
    <t>https://www.alibaba.com/p/ebyte-e22-900m22s-tcxo-7km-long_62443474220.html</t>
  </si>
  <si>
    <t>U11</t>
  </si>
  <si>
    <t>BLE/OTA сопроцессор nRF52840</t>
  </si>
  <si>
    <t>Raytac</t>
  </si>
  <si>
    <t>nRF52840 SMD module with integrated PCB antenna 10.5x15.5 mm</t>
  </si>
  <si>
    <t>SELECTED_PENDING_SAMPLE_RF</t>
  </si>
  <si>
    <t>ESP32-C3 superseded; integrated antenna requires PCB edge keepout and validation inside final housing; u.FL family variant only by RF fallback decision</t>
  </si>
  <si>
    <t>https://www.tme.com/us/en-us/details/mdbt50q-p1mv2/iot-wifi-bluetooth-modules/raytac/</t>
  </si>
  <si>
    <t>Накопитель</t>
  </si>
  <si>
    <t>U12</t>
  </si>
  <si>
    <t>Промышленная microSD, 32 ГБ</t>
  </si>
  <si>
    <t>microSD card</t>
  </si>
  <si>
    <t>Consumer card not accepted without endurance test</t>
  </si>
  <si>
    <t>https://www.alibaba.com/</t>
  </si>
  <si>
    <t>Разъём</t>
  </si>
  <si>
    <t>J-SD1</t>
  </si>
  <si>
    <t>J12</t>
  </si>
  <si>
    <t>Разъём microSD с детектированием карты</t>
  </si>
  <si>
    <t>Accessible only under service cover</t>
  </si>
  <si>
    <t>J-PWR-MAIN</t>
  </si>
  <si>
    <t>J_PWR</t>
  </si>
  <si>
    <t>12-контактный межплатный разъём MAIN-PWR, сторона MAIN</t>
  </si>
  <si>
    <t>Molex</t>
  </si>
  <si>
    <t>43045-1202</t>
  </si>
  <si>
    <t>Micro-Fit 3.0 right-angle THT</t>
  </si>
  <si>
    <t>SELECTED_ELECTRICAL_PENDING_MECHANICS</t>
  </si>
  <si>
    <t>Electrical pinout frozen; exact board placement remains mechanical input</t>
  </si>
  <si>
    <t>RF-разъём</t>
  </si>
  <si>
    <t>J-RF-CELL</t>
  </si>
  <si>
    <t>J8</t>
  </si>
  <si>
    <t>RF-разъём сотовой антенны</t>
  </si>
  <si>
    <t>Hirose or I-PEX</t>
  </si>
  <si>
    <t>U.FL-compatible</t>
  </si>
  <si>
    <t>OPEN_RF_LAYOUT</t>
  </si>
  <si>
    <t>Freeze mating cable as one system</t>
  </si>
  <si>
    <t>J-RF-GNSS</t>
  </si>
  <si>
    <t>J9</t>
  </si>
  <si>
    <t>RF-разъём GNSS-антенны</t>
  </si>
  <si>
    <t>Separate antenna from cellular</t>
  </si>
  <si>
    <t>J-RF-LORA</t>
  </si>
  <si>
    <t>J10</t>
  </si>
  <si>
    <t>RF-разъём LoRa-антенны</t>
  </si>
  <si>
    <t>50 ohm path and PI matching footprint</t>
  </si>
  <si>
    <t>Тактирование</t>
  </si>
  <si>
    <t>X1</t>
  </si>
  <si>
    <t>Низкодрейфовый генератор 32,768 кГц</t>
  </si>
  <si>
    <t>SiTime</t>
  </si>
  <si>
    <t>SiT1552AI-JE-DCC-32.768D</t>
  </si>
  <si>
    <t>QFN</t>
  </si>
  <si>
    <t>CANDIDATE</t>
  </si>
  <si>
    <t>Exact suffix must be frozen</t>
  </si>
  <si>
    <t>https://www.lcsc.com/product-detail/Programmable-Oscillators_SiTime-SIT1552AI-JE-DCC-32-768D_C367054.html</t>
  </si>
  <si>
    <t>PWR-REV-CTL</t>
  </si>
  <si>
    <t>U_REV</t>
  </si>
  <si>
    <t>Контроллер защиты от переполюсовки и обратного тока</t>
  </si>
  <si>
    <t>LM74700QDBVRQ1</t>
  </si>
  <si>
    <t>SOT-23-6</t>
  </si>
  <si>
    <t>SELECTED_PENDING_SCHEMATIC_SAMPLE</t>
  </si>
  <si>
    <t>Final surge and fuse coordination still required</t>
  </si>
  <si>
    <t>https://www.lcsc.com/product-image/C2941042.html</t>
  </si>
  <si>
    <t>PWR-REV-FET</t>
  </si>
  <si>
    <t>Q_REV</t>
  </si>
  <si>
    <t>Силовой N-MOSFET 60 В, низкое Rds(on)</t>
  </si>
  <si>
    <t>CSD18540Q5B</t>
  </si>
  <si>
    <t>VSON-CLIP 5x6 mm</t>
  </si>
  <si>
    <t>SELECTED_TECHNICALLY_PROCUREMENT_CHECK</t>
  </si>
  <si>
    <t>SOA and gate transient review required</t>
  </si>
  <si>
    <t>https://lcsc.com/product-detail/MOSFET_Texas-Instruments-CSD18540Q5B_C86513.html</t>
  </si>
  <si>
    <t>U-PWR1</t>
  </si>
  <si>
    <t>DC/DC 3,8 В / 4 А для сотового модема</t>
  </si>
  <si>
    <t>LMR604403SRAKR</t>
  </si>
  <si>
    <t>RAK-9</t>
  </si>
  <si>
    <t>SELECTED_PENDING_DESIGN_CALC_SAMPLE</t>
  </si>
  <si>
    <t>4 A rail; exact L C and feedback BOM freeze pending</t>
  </si>
  <si>
    <t>https://www.lcsc.com/product-detail/C43351623.html</t>
  </si>
  <si>
    <t>U-PWR2</t>
  </si>
  <si>
    <t>DC/DC 3,3 В / 4 А цифрового питания</t>
  </si>
  <si>
    <t>4 A rail; exact L C BOM freeze pending</t>
  </si>
  <si>
    <t>U-PWR3</t>
  </si>
  <si>
    <t>Малошумящий LDO 1,8 В микрофонного тракта</t>
  </si>
  <si>
    <t>TPS7A2018PDBVR</t>
  </si>
  <si>
    <t>SOT-23-5</t>
  </si>
  <si>
    <t>SELECTED_PENDING_NOISE_SAMPLE</t>
  </si>
  <si>
    <t>Remains powered during T5838 AAD monitoring</t>
  </si>
  <si>
    <t>https://www.lcsc.com/product-detail/Voltage-Regulators-Linear-Low-Drop-Out-LDO-Regulators_Texas-Instruments-TPS7A2018PDBVR_C963430.html</t>
  </si>
  <si>
    <t>U-MON-01</t>
  </si>
  <si>
    <t>Монитор тока, напряжения и мощности батареи INA226</t>
  </si>
  <si>
    <t>INA226AIDGSR</t>
  </si>
  <si>
    <t>VSSOP-10</t>
  </si>
  <si>
    <t>SELECTED_REV_A_12PIN_I2C</t>
  </si>
  <si>
    <t>Address 0x40 on I2C2 pins 11/12 of MAIN-PWR; ALERT may feed FAULT but does not replace I2C</t>
  </si>
  <si>
    <t>https://www.lcsc.com/product-detail/C49851.html</t>
  </si>
  <si>
    <t>Измерение</t>
  </si>
  <si>
    <t>R-SHUNT-01</t>
  </si>
  <si>
    <t>R_SHUNT</t>
  </si>
  <si>
    <t>Шунт 10 мОм, 4-выводный Kelvin</t>
  </si>
  <si>
    <t>4-terminal &gt;=1 W</t>
  </si>
  <si>
    <t>TOPOLOGY_SELECTED_EXACT_MPN_PENDING</t>
  </si>
  <si>
    <t>10 mOhm capture value; exact low-TCR MPN is a Review A blocker</t>
  </si>
  <si>
    <t>J-PWR-PWR</t>
  </si>
  <si>
    <t>J_MAIN_PWR</t>
  </si>
  <si>
    <t>12-контактный межплатный разъём MAIN-PWR, сторона PWR</t>
  </si>
  <si>
    <t>Electrical pinout frozen; pins 11/12 carry I2C2 to INA226</t>
  </si>
  <si>
    <t>PWR-TVS-01</t>
  </si>
  <si>
    <t>D_TVS</t>
  </si>
  <si>
    <t>TVS-защита силовой шины</t>
  </si>
  <si>
    <t>Littelfuse</t>
  </si>
  <si>
    <t>SMBJ18A</t>
  </si>
  <si>
    <t>SMB</t>
  </si>
  <si>
    <t>CANDIDATE_PENDING_SURGE_PROFILE</t>
  </si>
  <si>
    <t>Do not release value until measured transient envelope and fuse coordination</t>
  </si>
  <si>
    <t>PWR-FUSE-01</t>
  </si>
  <si>
    <t>F1</t>
  </si>
  <si>
    <t>Предохранитель входной цепи PCB-PWR</t>
  </si>
  <si>
    <t>0451005.MRL</t>
  </si>
  <si>
    <t>Nano2 451</t>
  </si>
  <si>
    <t>CANDIDATE_PENDING_FUSE_COORDINATION</t>
  </si>
  <si>
    <t>5 A candidate; battery-side primary fuse remains separate</t>
  </si>
  <si>
    <t>ASM-PWR</t>
  </si>
  <si>
    <t>Собранная плата питания и защиты PCB-PWR</t>
  </si>
  <si>
    <t>2-layer 2 oz candidate</t>
  </si>
  <si>
    <t>No MPPT function on this board</t>
  </si>
  <si>
    <t>Печатная плата PCB-PWR, 2 слоя, повышенная медь</t>
  </si>
  <si>
    <t>Final copper weight by current calculation</t>
  </si>
  <si>
    <t>ASM-MIC</t>
  </si>
  <si>
    <t>Собранная микрофонная плата PCB-MIC</t>
  </si>
  <si>
    <t>2-layer PCBA</t>
  </si>
  <si>
    <t>Same PCB revision all positions</t>
  </si>
  <si>
    <t>Печатная плата микрофонного лепестка PCB-MIC</t>
  </si>
  <si>
    <t>2-layer FR-4</t>
  </si>
  <si>
    <t>Panelization to be approved</t>
  </si>
  <si>
    <t>Микрофон</t>
  </si>
  <si>
    <t>MK1</t>
  </si>
  <si>
    <t>Цифровой PDM MEMS-микрофон T5838</t>
  </si>
  <si>
    <t>TDK InvenSense</t>
  </si>
  <si>
    <t>MMICT5838-00-012</t>
  </si>
  <si>
    <t>LGA-CAV-5 3.5x2.65x0.98 mm</t>
  </si>
  <si>
    <t>Exact orderable T5838 MPN; do not mix alternate MPN within station</t>
  </si>
  <si>
    <t>https://www.digikey.cn/en/products/detail/tdk-invensense/MMICT5838-00-012/16903860</t>
  </si>
  <si>
    <t>Пассивные</t>
  </si>
  <si>
    <t>C-MIC</t>
  </si>
  <si>
    <t>C1;C2</t>
  </si>
  <si>
    <t>Локальные развязывающие конденсаторы микрофона</t>
  </si>
  <si>
    <t>0402 X7R</t>
  </si>
  <si>
    <t>Final values per T5838 reference design</t>
  </si>
  <si>
    <t>J-MIC</t>
  </si>
  <si>
    <t>J1</t>
  </si>
  <si>
    <t>6-контактный разъём микрофонного жгута Pico-Lock</t>
  </si>
  <si>
    <t>5040500691</t>
  </si>
  <si>
    <t>Pico-Lock 1.50 mm right-angle SMT</t>
  </si>
  <si>
    <t>SELECTED_PENDING_SI_MECHANICS_AAD</t>
  </si>
  <si>
    <t>Pinout 1V8 GND CLK DATA WAKE AAD_CFG; 4/5-pin connectors superseded</t>
  </si>
  <si>
    <t>https://www.lcsc.com/product-detail/wire-to-board-connector_molex-5040500691_C563981.html</t>
  </si>
  <si>
    <t>Аккумулятор</t>
  </si>
  <si>
    <t>BAT1</t>
  </si>
  <si>
    <t>BT1</t>
  </si>
  <si>
    <t>LiFePO4 аккумулятор 12,8 В, 40–60 А·ч, BMS</t>
  </si>
  <si>
    <t>Pack</t>
  </si>
  <si>
    <t>Final capacity selected after measured energy budget</t>
  </si>
  <si>
    <t>https://spanish.alibaba.com/g/12v-5.5ah-solar-lifepo4-battery.html</t>
  </si>
  <si>
    <t>Солнечная панель</t>
  </si>
  <si>
    <t>PV1</t>
  </si>
  <si>
    <t>Солнечная панель наружного исполнения 60–80 Вт</t>
  </si>
  <si>
    <t>Panel</t>
  </si>
  <si>
    <t>Cold Voc must fit MPPT margin</t>
  </si>
  <si>
    <t>https://www.alibaba.com/wholesale/monocrystalline-panel-solar-80w.html</t>
  </si>
  <si>
    <t>Контроллер</t>
  </si>
  <si>
    <t>MPPT1</t>
  </si>
  <si>
    <t>U-MPPT</t>
  </si>
  <si>
    <t>Внешний MPPT-контроллер LiFePO4, 10 А</t>
  </si>
  <si>
    <t>Sealed module</t>
  </si>
  <si>
    <t>Exact MPN only after sample and teardown review</t>
  </si>
  <si>
    <t>https://www.alibaba.com/wholesale/solar-regulator-mppt-10.html</t>
  </si>
  <si>
    <t>Антенна</t>
  </si>
  <si>
    <t>ANT-CELL</t>
  </si>
  <si>
    <t>AE1</t>
  </si>
  <si>
    <t>Наружная антенна сотовой связи с кабелем</t>
  </si>
  <si>
    <t>IP-rated</t>
  </si>
  <si>
    <t>Match BG95 bands and enclosure</t>
  </si>
  <si>
    <t>https://www.alibaba.com/wholesale/external-antenna-outdoor.html</t>
  </si>
  <si>
    <t>ANT-GNSS</t>
  </si>
  <si>
    <t>AE2</t>
  </si>
  <si>
    <t>Активная наружная GNSS-антенна с кабелем</t>
  </si>
  <si>
    <t>Separate placement from other transmitters</t>
  </si>
  <si>
    <t>https://www.alibaba.com/countrysearch/CN/gps-antenna-active.html</t>
  </si>
  <si>
    <t>ANT-LORA</t>
  </si>
  <si>
    <t>AE3</t>
  </si>
  <si>
    <t>Наружная антенна LoRa 868 МГц с кабелем</t>
  </si>
  <si>
    <t>RU868 label and windows 864-865 plus 868.7-869.2 MHz</t>
  </si>
  <si>
    <t>https://www.alibaba.com/countrysearch/CN/antenna-cables.html</t>
  </si>
  <si>
    <t>Жгуты</t>
  </si>
  <si>
    <t>HARNESS</t>
  </si>
  <si>
    <t>Комплект маркированных кабельных жгутов станции</t>
  </si>
  <si>
    <t>Assembly</t>
  </si>
  <si>
    <t>OPEN_MECHANICAL_LENGTH_FREEZE</t>
  </si>
  <si>
    <t>MAIN-PWR uses two 43025-1200 housings; 18 AWG 43030-0038 for pins 1-6 and 20-24 AWG 43030-0001 for pins 7-12; separate drawing required</t>
  </si>
  <si>
    <t>https://www.lcsc.com/product-detail/Housings-Wire-To-Board-Wire-To-Wire_MOLEX-5040510601_C505129.html</t>
  </si>
  <si>
    <t>HSG-VC</t>
  </si>
  <si>
    <t>HSG1</t>
  </si>
  <si>
    <t>Комплект корпуса, вакуумное литьё полиуретана</t>
  </si>
  <si>
    <t>Primary calculation and build quantity is exactly 20 pilot housings</t>
  </si>
  <si>
    <t>https://www.alibaba.com/countrysearch/CN/vacuum-casting.html</t>
  </si>
  <si>
    <t>HSG-3D</t>
  </si>
  <si>
    <t>Резервный комплект корпуса, 3D-печать</t>
  </si>
  <si>
    <t>SOURCE_PACKAGE_REQUIRED</t>
  </si>
  <si>
    <t>Conditional full-lot demand is 20 plus approved spares if vacuum casting fallback is activated</t>
  </si>
  <si>
    <t>HSG-IM</t>
  </si>
  <si>
    <t>Пакет исходных данных/DFM под литьё под давлением</t>
  </si>
  <si>
    <t>Source_data</t>
  </si>
  <si>
    <t>No tooling or physical pilot housing without separate authorization</t>
  </si>
  <si>
    <t>Цены: инженерная оценка закупки из КНР для партии около 20 станций на 2026-09-09. Курс модели: 1 USD = 85.0757 RUB. Цены не являются коммерческим предложением и не включают доставку в РФ, таможенные платежи/НДС и финальную механическую сборку станции. Открытые/TBD позиции оценены по сопоставимым китайским компонентам.</t>
  </si>
  <si>
    <t>EVT-PRE-20 · исходный инженерный BOM (данные ветки без смысловых изменений)</t>
  </si>
  <si>
    <t>Item_ID</t>
  </si>
  <si>
    <t>Category</t>
  </si>
  <si>
    <t>Description</t>
  </si>
  <si>
    <t>Manufacturer</t>
  </si>
  <si>
    <t>Package</t>
  </si>
  <si>
    <t>Qty_per_station</t>
  </si>
  <si>
    <t>Qty_20</t>
  </si>
  <si>
    <t>Spares</t>
  </si>
  <si>
    <t>Procure_qty</t>
  </si>
  <si>
    <t>Variant</t>
  </si>
  <si>
    <t>Status</t>
  </si>
  <si>
    <t>China_source_policy</t>
  </si>
  <si>
    <t>Incoming_control</t>
  </si>
  <si>
    <t>Notes</t>
  </si>
  <si>
    <t>Source_URL</t>
  </si>
  <si>
    <t>PCBA</t>
  </si>
  <si>
    <t>Assembled main controller PCB</t>
  </si>
  <si>
    <t>1</t>
  </si>
  <si>
    <t>20</t>
  </si>
  <si>
    <t>2</t>
  </si>
  <si>
    <t>22</t>
  </si>
  <si>
    <t>COMMON</t>
  </si>
  <si>
    <t>Direct CM quotation</t>
  </si>
  <si>
    <t>AOI plus X-ray where hidden joints plus functional test</t>
  </si>
  <si>
    <t>Bare PCB</t>
  </si>
  <si>
    <t>Main controller bare PCB</t>
  </si>
  <si>
    <t>5</t>
  </si>
  <si>
    <t>25</t>
  </si>
  <si>
    <t>Two independent fab quotations</t>
  </si>
  <si>
    <t>Coupon dimensions finish impedance and netlist test</t>
  </si>
  <si>
    <t>Ultra-low-power secure MCU</t>
  </si>
  <si>
    <t>Authorized distributor or traceable tier-1 China channel</t>
  </si>
  <si>
    <t>Label lot date code package X-ray sample ID readout</t>
  </si>
  <si>
    <t>Memory</t>
  </si>
  <si>
    <t>512 Mbit 64 MB QSPI NOR</t>
  </si>
  <si>
    <t>Authorized or traceable LCSC-class channel</t>
  </si>
  <si>
    <t>Marking electrical ID read/write/erase soak</t>
  </si>
  <si>
    <t>Motion</t>
  </si>
  <si>
    <t>Low-power accelerometer</t>
  </si>
  <si>
    <t>Authorized distributor</t>
  </si>
  <si>
    <t>Marking orientation WHO_AM_I and self-test</t>
  </si>
  <si>
    <t>Temperature</t>
  </si>
  <si>
    <t>Digital temperature sensor</t>
  </si>
  <si>
    <t>X-ray sample ID and temperature compare</t>
  </si>
  <si>
    <t>Level translator</t>
  </si>
  <si>
    <t>Directional 1.8V to 3.3V translator</t>
  </si>
  <si>
    <t>Do not substitute auto-direction device without review</t>
  </si>
  <si>
    <t>Logic levels direction leakage sleep test</t>
  </si>
  <si>
    <t>Cellular</t>
  </si>
  <si>
    <t>LPWA modem Cat M1 NB2 EGPRS</t>
  </si>
  <si>
    <t>Quectel authorized channel or CM with traceability</t>
  </si>
  <si>
    <t>IMEI label firmware RF conducted attach TLS</t>
  </si>
  <si>
    <t>Nano-SIM push-push connector slot 1</t>
  </si>
  <si>
    <t>Approved connector vendor</t>
  </si>
  <si>
    <t>Mating cycles card detect coplanarity and ESD</t>
  </si>
  <si>
    <t>Nano-SIM push-push connector slot 2</t>
  </si>
  <si>
    <t>SIM switch</t>
  </si>
  <si>
    <t>6-channel bidirectional 2 to 1 multiplexer</t>
  </si>
  <si>
    <t>Authorized distributor or traceable tier-1 channel</t>
  </si>
  <si>
    <t>Marking supply leakage Ron capacitance and 100 switch cycles</t>
  </si>
  <si>
    <t>ESD</t>
  </si>
  <si>
    <t>Low-capacitance TVS array for each SIM connector</t>
  </si>
  <si>
    <t>40</t>
  </si>
  <si>
    <t>10</t>
  </si>
  <si>
    <t>50</t>
  </si>
  <si>
    <t>Capacitance leakage ESD rating marking</t>
  </si>
  <si>
    <t>Independent GNSS with TIMEPULSE</t>
  </si>
  <si>
    <t>Authorized distributor or traceable module channel</t>
  </si>
  <si>
    <t>Marking firmware satellite fix PPS test</t>
  </si>
  <si>
    <t>850-930 MHz SX1262 UART/SPI module</t>
  </si>
  <si>
    <t>6</t>
  </si>
  <si>
    <t>26</t>
  </si>
  <si>
    <t>RU868_PILOT</t>
  </si>
  <si>
    <t>Ebyte official store or authorized distributor</t>
  </si>
  <si>
    <t>Marking firmware conducted power sensitivity sleep current</t>
  </si>
  <si>
    <t>BLE commissioning diagnostics and signed OTA coprocessor</t>
  </si>
  <si>
    <t>Raytac authorized channel or traceable distributor</t>
  </si>
  <si>
    <t>Module label firmware BLE 2M coded PHY pairing OTA current RF range and temperature test</t>
  </si>
  <si>
    <t>Storage</t>
  </si>
  <si>
    <t>Industrial microSD 32 GB</t>
  </si>
  <si>
    <t>Industrial NAND vendor authorized channel</t>
  </si>
  <si>
    <t>CID capacity full write/read temperature and power-loss sample</t>
  </si>
  <si>
    <t>Connector</t>
  </si>
  <si>
    <t>microSD connector with detect</t>
  </si>
  <si>
    <t>Mating detect coplanarity</t>
  </si>
  <si>
    <t>12-position MAIN-PWR board header</t>
  </si>
  <si>
    <t>Authorized Molex distributor</t>
  </si>
  <si>
    <t>Marking dimensions latch mate continuity</t>
  </si>
  <si>
    <t>RF connector</t>
  </si>
  <si>
    <t>Cellular RF connector</t>
  </si>
  <si>
    <t>8</t>
  </si>
  <si>
    <t>28</t>
  </si>
  <si>
    <t>Authorized connector vendor</t>
  </si>
  <si>
    <t>Visual mate gauge continuity</t>
  </si>
  <si>
    <t>GNSS RF connector</t>
  </si>
  <si>
    <t>LoRa RF connector</t>
  </si>
  <si>
    <t>Clock</t>
  </si>
  <si>
    <t>32.768 kHz low drift oscillator</t>
  </si>
  <si>
    <t>Frequency and current sample test</t>
  </si>
  <si>
    <t>Protection</t>
  </si>
  <si>
    <t>Reverse polarity and reverse current controller</t>
  </si>
  <si>
    <t>Marking reverse test and gate waveform</t>
  </si>
  <si>
    <t>60 V low-Rds(on) N-MOSFET</t>
  </si>
  <si>
    <t>Marking Rds thermal and reverse fault test</t>
  </si>
  <si>
    <t>Power</t>
  </si>
  <si>
    <t>3.8 V modem synchronous buck</t>
  </si>
  <si>
    <t>Load step ripple efficiency thermal and EMI</t>
  </si>
  <si>
    <t>3.3 V digital synchronous buck</t>
  </si>
  <si>
    <t>Load step ripple efficiency sleep current thermal and EMI</t>
  </si>
  <si>
    <t>1.8 V low-noise microphone LDO</t>
  </si>
  <si>
    <t>Noise PSRR dropout thermal and AAD sleep current</t>
  </si>
  <si>
    <t>Monitor</t>
  </si>
  <si>
    <t>Total battery current voltage and power monitor</t>
  </si>
  <si>
    <t>Marking I2C ID calibration and reference-meter compare</t>
  </si>
  <si>
    <t>Shunt</t>
  </si>
  <si>
    <t>10 mOhm 4-terminal Kelvin current shunt</t>
  </si>
  <si>
    <t>30</t>
  </si>
  <si>
    <t>Authorized current-sense resistor vendor</t>
  </si>
  <si>
    <t>Resistance TCR marking and four-wire reference measurement</t>
  </si>
  <si>
    <t>Protected-bus transient clamp candidate</t>
  </si>
  <si>
    <t>Marking clamp pulse and thermal sample</t>
  </si>
  <si>
    <t>PCB input fuse candidate</t>
  </si>
  <si>
    <t>Marking continuity and controlled fault clearing</t>
  </si>
  <si>
    <t>Assembled protected power interface PCB</t>
  </si>
  <si>
    <t>AOI functional high-current thermal</t>
  </si>
  <si>
    <t>Power interface bare PCB</t>
  </si>
  <si>
    <t>Copper thickness netlist high-current and Kelvin review</t>
  </si>
  <si>
    <t>Assembled identical microphone leaf PCB</t>
  </si>
  <si>
    <t>4</t>
  </si>
  <si>
    <t>80</t>
  </si>
  <si>
    <t>88</t>
  </si>
  <si>
    <t>AOI acoustic port inspection channel functional test</t>
  </si>
  <si>
    <t>Microphone leaf bare PCB</t>
  </si>
  <si>
    <t>100</t>
  </si>
  <si>
    <t>Outline hole position finish netlist</t>
  </si>
  <si>
    <t>Microphone</t>
  </si>
  <si>
    <t>Digital bottom-port PDM MEMS microphone</t>
  </si>
  <si>
    <t>16</t>
  </si>
  <si>
    <t>96</t>
  </si>
  <si>
    <t>TDK authorized channel and same lot requested</t>
  </si>
  <si>
    <t>Marking lot acoustic sensitivity noise phase and port inspection</t>
  </si>
  <si>
    <t>Passive</t>
  </si>
  <si>
    <t>Local microphone decoupling capacitors</t>
  </si>
  <si>
    <t>160</t>
  </si>
  <si>
    <t>200</t>
  </si>
  <si>
    <t>Traceable passive vendor</t>
  </si>
  <si>
    <t>Value package reel label capacitance sample</t>
  </si>
  <si>
    <t>6-position positive-lock microphone harness connector</t>
  </si>
  <si>
    <t>12</t>
  </si>
  <si>
    <t>92</t>
  </si>
  <si>
    <t>Mating pull test contact resistance continuity and temperature</t>
  </si>
  <si>
    <t>Battery</t>
  </si>
  <si>
    <t>12.8 V 40-60 Ah LiFePO4 with BMS</t>
  </si>
  <si>
    <t>21</t>
  </si>
  <si>
    <t>Cell maker traceability UN38.3 MSDS and China export capability</t>
  </si>
  <si>
    <t>Capacity DCIR BMS thresholds low-temp charge inhibit</t>
  </si>
  <si>
    <t>Solar panel</t>
  </si>
  <si>
    <t>60-80 W outdoor solar panel</t>
  </si>
  <si>
    <t>Factory datasheet IEC evidence and sample</t>
  </si>
  <si>
    <t>Voc Isc Pmax insulation wet leakage dimensions</t>
  </si>
  <si>
    <t>Controller</t>
  </si>
  <si>
    <t>External 10 A LiFePO4 MPPT controller</t>
  </si>
  <si>
    <t>Manufacturer not marketplace relabel only</t>
  </si>
  <si>
    <t>Charge profile reverse current quiescent thermal low-temp inhibit</t>
  </si>
  <si>
    <t>Antenna</t>
  </si>
  <si>
    <t>Outdoor cellular antenna with cable</t>
  </si>
  <si>
    <t>Antenna manufacturer with reports</t>
  </si>
  <si>
    <t>VSWR cable loss connector environmental</t>
  </si>
  <si>
    <t>Active GNSS antenna with cable</t>
  </si>
  <si>
    <t>Gain current VSWR fix PPS environmental</t>
  </si>
  <si>
    <t>868 MHz outdoor antenna with cable</t>
  </si>
  <si>
    <t>VSWR cable loss conducted and radiated test</t>
  </si>
  <si>
    <t>Harness</t>
  </si>
  <si>
    <t>Complete labeled harness set</t>
  </si>
  <si>
    <t>Qualified harness factory</t>
  </si>
  <si>
    <t>100 percent continuity polarity pull sample</t>
  </si>
  <si>
    <t>Housing</t>
  </si>
  <si>
    <t>Vacuum-cast polyurethane housing set</t>
  </si>
  <si>
    <t>0</t>
  </si>
  <si>
    <t>VACUUM_CASTING_PRIMARY</t>
  </si>
  <si>
    <t>Qualified vacuum casting manufacturer</t>
  </si>
  <si>
    <t>FAI dimensions material cure finish inserts leak fit acoustic and RF checks</t>
  </si>
  <si>
    <t>3D-printed fallback housing set</t>
  </si>
  <si>
    <t>THREE_D_PRINT_FALLBACK</t>
  </si>
  <si>
    <t>Qualified print supplier or controlled FlashForge 5M Pro process</t>
  </si>
  <si>
    <t>Engineering sample dimensions material finish leak fit acoustic and RF checks</t>
  </si>
  <si>
    <t>Injection-molding source package and DFM</t>
  </si>
  <si>
    <t>INJECTION_MOLDING_FUTURE</t>
  </si>
  <si>
    <t>Qualified mold manufacturer for DFM quotation</t>
  </si>
  <si>
    <t>Source audit wall draft ribs bosses parting ejector shrink material and tooling concept</t>
  </si>
  <si>
    <t>ДИОНЕЯ · Комплектация одной станции EVT-PRE-20</t>
  </si>
  <si>
    <t>Позиция</t>
  </si>
  <si>
    <t>Подсистема</t>
  </si>
  <si>
    <t>Кол-во на 20</t>
  </si>
  <si>
    <t>Назначение / состав</t>
  </si>
  <si>
    <t>Основной контроллер</t>
  </si>
  <si>
    <t>1 собранная плата; MCU, память, GNSS, LTE, LoRa, BLE, storage</t>
  </si>
  <si>
    <t>Питание и телеметрия</t>
  </si>
  <si>
    <t>1 собранная плата; 3.8/3.3/1.8 В, защита, INA226, шунт</t>
  </si>
  <si>
    <t>Микрофонная подсистема</t>
  </si>
  <si>
    <t>4 одинаковых микрофонных лепестка с T5838</t>
  </si>
  <si>
    <t>LiFePO4 12,8 В, 40–60 А·ч с BMS</t>
  </si>
  <si>
    <t>60–80 Вт, наружное исполнение</t>
  </si>
  <si>
    <t>MPPT</t>
  </si>
  <si>
    <t>Внешний LiFePO4 MPPT, 10 А</t>
  </si>
  <si>
    <t>Антенна LTE</t>
  </si>
  <si>
    <t>Наружная, согласованная с BG95</t>
  </si>
  <si>
    <t>Антенна GNSS</t>
  </si>
  <si>
    <t>Активная наружная</t>
  </si>
  <si>
    <t>Антенна LoRa</t>
  </si>
  <si>
    <t>RU868</t>
  </si>
  <si>
    <t>Комплект жгутов</t>
  </si>
  <si>
    <t>Маркированный комплект, длины уточняются механикой</t>
  </si>
  <si>
    <t>Корпус станции</t>
  </si>
  <si>
    <t>Основной вариант EVT-PRE-20: вакуумное литьё</t>
  </si>
  <si>
    <t>Кабели и разъёмы · количественные нормы из BOM Policy Rev.A</t>
  </si>
  <si>
    <t>Инженерное дополнение к DRAFT: эти количества являются quantity authority политики BOM; производственные длины жгутов ещё финализируются.</t>
  </si>
  <si>
    <t>Группа</t>
  </si>
  <si>
    <t>Основание</t>
  </si>
  <si>
    <t>MIC cable housing</t>
  </si>
  <si>
    <t>5040510601</t>
  </si>
  <si>
    <t>Корпус разъёма кабеля MIC</t>
  </si>
  <si>
    <t>4 MIC-кабеля: по два корпуса на кабель</t>
  </si>
  <si>
    <t>MIC terminals</t>
  </si>
  <si>
    <t>5040520098</t>
  </si>
  <si>
    <t>Контакты MIC-кабелей</t>
  </si>
  <si>
    <t>6 контактов × 8 корпусов</t>
  </si>
  <si>
    <t>MIC board headers</t>
  </si>
  <si>
    <t>Платные Pico-Lock разъёмы MIC</t>
  </si>
  <si>
    <t>4 PCB-MIC + 4 ответных на PCB-MAIN</t>
  </si>
  <si>
    <t>MAIN-PWR housing</t>
  </si>
  <si>
    <t>43025-1200</t>
  </si>
  <si>
    <t>Корпус Micro-Fit MAIN-PWR</t>
  </si>
  <si>
    <t>Один кабель MAIN-PWR, два корпуса</t>
  </si>
  <si>
    <t>MAIN-PWR power terminal</t>
  </si>
  <si>
    <t>43030-0038</t>
  </si>
  <si>
    <t>Силовой контакт Micro-Fit, 18 AWG</t>
  </si>
  <si>
    <t>Пины 1–6 на двух концах</t>
  </si>
  <si>
    <t>MAIN-PWR control terminal</t>
  </si>
  <si>
    <t>43030-0001</t>
  </si>
  <si>
    <t>Сигнальный/I²C контакт Micro-Fit, 20–24 AWG</t>
  </si>
  <si>
    <t>Пины 7–12 на двух концах</t>
  </si>
  <si>
    <t>Статусы, ограничения и источники инженерного BOM</t>
  </si>
  <si>
    <t>Что означает</t>
  </si>
  <si>
    <t>Допустимость для показа заказчику</t>
  </si>
  <si>
    <t>MPN выбран, но остаётся sample/RF/mechanics/operator/design verification</t>
  </si>
  <si>
    <t>Да, как инженерно выбранный</t>
  </si>
  <si>
    <t>Нужен официальный RFQ / выбор производителя или контрактного сборщика</t>
  </si>
  <si>
    <t>Да, с отметкой RFQ</t>
  </si>
  <si>
    <t>Схема, механика, RF layout или точный MPN ещё не закрыты</t>
  </si>
  <si>
    <t>Да, только как открытая позиция</t>
  </si>
  <si>
    <t>Топология/компонент определены не полностью; требуется окончательная верификация</t>
  </si>
  <si>
    <t>Да, как кандидат</t>
  </si>
  <si>
    <t>Вариант не закупается сейчас; готовится source/DFM package</t>
  </si>
  <si>
    <t>Да, как перспективный/резервный</t>
  </si>
  <si>
    <t>Production release</t>
  </si>
  <si>
    <t>Разрешение заводу на серийную/пилотную закупку по закрытому BOM</t>
  </si>
  <si>
    <t>НЕТ — текущий файл им не является</t>
  </si>
  <si>
    <t>Ограничение / правило</t>
  </si>
  <si>
    <t>Содержание</t>
  </si>
  <si>
    <t>Статус production BOM</t>
  </si>
  <si>
    <t>ACTIVE / PRODUCTION BOM BLOCKED</t>
  </si>
  <si>
    <t>BOM Policy Rev.A</t>
  </si>
  <si>
    <t>Архитектура станции</t>
  </si>
  <si>
    <t>1 × PCB-MAIN; 1 × PCB-PWR; 4 × PCB-MIC</t>
  </si>
  <si>
    <t>Расчёт партии</t>
  </si>
  <si>
    <t>Qty_20 = Qty_per_station × 20</t>
  </si>
  <si>
    <t>Закупка</t>
  </si>
  <si>
    <t>Procure_qty = Qty_20 + Spares</t>
  </si>
  <si>
    <t>Основной корпус пилота</t>
  </si>
  <si>
    <t>Вакуумное литьё, 20 комплектов</t>
  </si>
  <si>
    <t>BOM Draft</t>
  </si>
  <si>
    <t>UWB</t>
  </si>
  <si>
    <t>Не входит в EVT-PRE-20; связь LoRa RU868</t>
  </si>
  <si>
    <t>Проектный baseline</t>
  </si>
  <si>
    <t>Изменение ветки</t>
  </si>
  <si>
    <t>При подготовке этого XLSX ветка не изменялась; документ построен из snapshot commit</t>
  </si>
  <si>
    <t>Этот XLSX</t>
  </si>
  <si>
    <t>BOM Evidence Rev.A</t>
  </si>
  <si>
    <t>https://github.com/skif-ops/rs-zs-bpla/blob/evt-pre-20/hardware/EVT_PRE_20_BOM_EVIDENCE_REV_A.md</t>
  </si>
  <si>
    <t>Snapshot commit</t>
  </si>
  <si>
    <t>ДИОНЕЯ · Плановые закупочные цены КНР · EVT-PRE-20</t>
  </si>
  <si>
    <t>Дата оценки</t>
  </si>
  <si>
    <t>2026-09-09</t>
  </si>
  <si>
    <t>USD/RUB</t>
  </si>
  <si>
    <t>Кол-во/станцию</t>
  </si>
  <si>
    <t>Цена/ед. USD</t>
  </si>
  <si>
    <t>Стоимость 1 USD</t>
  </si>
  <si>
    <t>Стоимость 20 USD</t>
  </si>
  <si>
    <t>Цена/ед. ₽</t>
  </si>
  <si>
    <t>Стоимость 1 ₽</t>
  </si>
  <si>
    <t>Стоимость 20 ₽</t>
  </si>
  <si>
    <t>Основание цены</t>
  </si>
  <si>
    <t>Электронная компонентная база</t>
  </si>
  <si>
    <t>Инженерная оценка КНР</t>
  </si>
  <si>
    <t>Текущий прайс/бенчмарк MPN</t>
  </si>
  <si>
    <t>PCB-MISC</t>
  </si>
  <si>
    <t>Прочая элементная база PCB: R/C/L, ESD, развязка, мелкие пассивы</t>
  </si>
  <si>
    <t>Инженерный резерв для ещё не разложенных по MPN позиций Rev.A</t>
  </si>
  <si>
    <t>Рыночный диапазон КНР / инженерная оценка</t>
  </si>
  <si>
    <t>Производство плат</t>
  </si>
  <si>
    <t>Инженерная оценка JLCPCB/China PCBA</t>
  </si>
  <si>
    <t>Кабели и разъёмы</t>
  </si>
  <si>
    <t>Системная комплектация</t>
  </si>
  <si>
    <t>ДИОНЕЯ · Сводная инженерная стоимость аппаратной части EVT-PRE-20</t>
  </si>
  <si>
    <t>Оценка закупки из КНР, партия 20 станций. Не является производственным BOM или коммерческим предложением.</t>
  </si>
  <si>
    <t>1 ИЗДЕЛИЕ</t>
  </si>
  <si>
    <t>Курс USD/RUB</t>
  </si>
  <si>
    <t>Партия</t>
  </si>
  <si>
    <t>Источник цен</t>
  </si>
  <si>
    <t>LCSC / Alibaba / JLCPCB + инженерные оценки</t>
  </si>
  <si>
    <t>Резерв логистика/курс</t>
  </si>
  <si>
    <t>10%</t>
  </si>
  <si>
    <t>ENGINEERING ESTIMATE</t>
  </si>
  <si>
    <t>Статья</t>
  </si>
  <si>
    <t>Состав</t>
  </si>
  <si>
    <t>Цена 1 изд., USD</t>
  </si>
  <si>
    <t>Цена 1 изд., ₽</t>
  </si>
  <si>
    <t>Цена 20 изд., USD</t>
  </si>
  <si>
    <t>Цена 20 изд., ₽</t>
  </si>
  <si>
    <t>Доля</t>
  </si>
  <si>
    <t>Комментарий</t>
  </si>
  <si>
    <t>MCU, память, LTE, GNSS, LoRa, BLE, питание, датчики, микрофоны, пассивы</t>
  </si>
  <si>
    <t>MPN-цены + резерв на ещё не замороженные R/C/L</t>
  </si>
  <si>
    <t>20 ИЗДЕЛИЙ</t>
  </si>
  <si>
    <t>1× PCB-MAIN + 1× PCB-PWR + 4× PCB-MIC: bare PCB, stencil/setup, SMT/THT, базовый контроль</t>
  </si>
  <si>
    <t>Сведено в одну позицию; компоненты считаются отдельно</t>
  </si>
  <si>
    <t>Все платные/кабельные разъёмы, RF pigtail, провода, контакты, обжим и сборка жгутов</t>
  </si>
  <si>
    <t>Сведено в одну позицию согласно замечанию</t>
  </si>
  <si>
    <t>Аккумулятор LiFePO4</t>
  </si>
  <si>
    <t>12,8 В, 40–60 А·ч, BMS; расчёт принят по 50 А·ч</t>
  </si>
  <si>
    <t>Китайский low-volume диапазон; точный SKU после energy budget</t>
  </si>
  <si>
    <t>60–80 Вт, outdoor; расчёт принят по 80 Вт</t>
  </si>
  <si>
    <t>Китайский rigid mono panel</t>
  </si>
  <si>
    <t>MPPT-контроллер</t>
  </si>
  <si>
    <t>12/24 В, LiFePO4, около 10 А</t>
  </si>
  <si>
    <t>Инженерная цена для нормального MPPT, не дешёвого PWM</t>
  </si>
  <si>
    <t>Антенны LTE/GNSS/LoRa</t>
  </si>
  <si>
    <t>Наружные антенны и кабели трёх радиоканалов</t>
  </si>
  <si>
    <t>Сведены в одну системную строку</t>
  </si>
  <si>
    <t>Корпус, вакуумное литьё</t>
  </si>
  <si>
    <t>Комплект корпуса пилотной станции, PU, low-volume</t>
  </si>
  <si>
    <t>Инженерная оценка комплекта, 20 шт.</t>
  </si>
  <si>
    <t>ИТОГО прямой закупочный BOM</t>
  </si>
  <si>
    <t>Резерв 10%: логистика КНР, консолидация, колебание цен/курса</t>
  </si>
  <si>
    <t>ПЛАНОВАЯ СУММА ДЛЯ ПЕРВИЧНОГО ПРЕДСТАВЛЕНИЯ</t>
  </si>
  <si>
    <t>Важно: это инженерная оценка закупочного BOM для общения с заказчиком, а не цена серийного изделия и не финальный производственный BOM. Не включены НДС/таможня в РФ, международная доставка, финальная механическая сборка станции, EOL/приёмка готового изделия и возможная переработка корпуса/плат после EVT.</t>
  </si>
  <si>
    <t>ПРЯМОЙ BOM БЕЗ РЕЗЕРВА</t>
  </si>
  <si>
    <t>Источники и допущения цен КНР</t>
  </si>
  <si>
    <t>Позиция / MPN</t>
  </si>
  <si>
    <t>Цена / ориентир</t>
  </si>
  <si>
    <t>Количество/уровень</t>
  </si>
  <si>
    <t>Дата</t>
  </si>
  <si>
    <t>Электроника</t>
  </si>
  <si>
    <t>$14.447</t>
  </si>
  <si>
    <t>30+</t>
  </si>
  <si>
    <t>$8.7611</t>
  </si>
  <si>
    <t>$0.9079</t>
  </si>
  <si>
    <t>$1.5348</t>
  </si>
  <si>
    <t>$0.6832</t>
  </si>
  <si>
    <t>$10.5999</t>
  </si>
  <si>
    <t>10+</t>
  </si>
  <si>
    <t>$7.78–9.33</t>
  </si>
  <si>
    <t>MOQ 10</t>
  </si>
  <si>
    <t>Ebyte E22-900M22S</t>
  </si>
  <si>
    <t>$4.60</t>
  </si>
  <si>
    <t>2–99</t>
  </si>
  <si>
    <t>Raytac MDBT50Q-P1MV2</t>
  </si>
  <si>
    <t>$6.86</t>
  </si>
  <si>
    <t>25+ benchmark</t>
  </si>
  <si>
    <t>SiT1552 32.768kHz</t>
  </si>
  <si>
    <t>$1.1162</t>
  </si>
  <si>
    <t>$13.2983</t>
  </si>
  <si>
    <t>$1.4997</t>
  </si>
  <si>
    <t>$2.6367</t>
  </si>
  <si>
    <t>30+ reference</t>
  </si>
  <si>
    <t>$0.2069</t>
  </si>
  <si>
    <t>50+</t>
  </si>
  <si>
    <t>$0.6126</t>
  </si>
  <si>
    <t>Акустика</t>
  </si>
  <si>
    <t>≈$1.57</t>
  </si>
  <si>
    <t>100+ benchmark</t>
  </si>
  <si>
    <t>Кабели</t>
  </si>
  <si>
    <t>Molex 5040500691</t>
  </si>
  <si>
    <t>$0.272</t>
  </si>
  <si>
    <t>Molex 5040510601</t>
  </si>
  <si>
    <t>$0.1183</t>
  </si>
  <si>
    <t>Molex 5040520098</t>
  </si>
  <si>
    <t>$0.061–0.067</t>
  </si>
  <si>
    <t>100+</t>
  </si>
  <si>
    <t>https://www.lcsc.com/product-detail/Housing-Contact_MOLEX-5040520098_C385104.html</t>
  </si>
  <si>
    <t>Система</t>
  </si>
  <si>
    <t>LiFePO4 12.8V 50Ah</t>
  </si>
  <si>
    <t>$61–100</t>
  </si>
  <si>
    <t>China listings</t>
  </si>
  <si>
    <t>80W rigid solar panel</t>
  </si>
  <si>
    <t>$10–15</t>
  </si>
  <si>
    <t>MPPT 10A LiFePO4</t>
  </si>
  <si>
    <t>≈$20–24</t>
  </si>
  <si>
    <t>LTE outdoor antenna</t>
  </si>
  <si>
    <t>≈$6.5–8</t>
  </si>
  <si>
    <t>MOQ ~10</t>
  </si>
  <si>
    <t>GNSS active outdoor antenna</t>
  </si>
  <si>
    <t>≈$1.5–3</t>
  </si>
  <si>
    <t>868MHz outdoor antenna</t>
  </si>
  <si>
    <t>≈$10.5–15</t>
  </si>
  <si>
    <t>Производство</t>
  </si>
  <si>
    <t>JLCPCB PCBA</t>
  </si>
  <si>
    <t>setup $8.18 + SMT/THT/PCB</t>
  </si>
  <si>
    <t>engineering aggregation</t>
  </si>
  <si>
    <t>Механика</t>
  </si>
  <si>
    <t>Vacuum casting PU</t>
  </si>
  <si>
    <t>$5–20/part typical listing; set estimate higher</t>
  </si>
  <si>
    <t>low-volume China</t>
  </si>
  <si>
    <t>Курс</t>
  </si>
  <si>
    <t>85.0757</t>
  </si>
  <si>
    <t>1 USD</t>
  </si>
  <si>
    <t>currency market reference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</si>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</sst>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\ &quot;₽&quot;"/>
    <numFmt numFmtId="165" formatCode="0.0000"/>
    <numFmt numFmtId="166" formatCode="\$0.00"/>
    <numFmt numFmtId="167" formatCode="0.0%"/>
  </numFmts>
  <fonts count="20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E2A30"/>
      <name val="Carlito"/>
    </font>
    <font>
      <b/>
      <sz val="14"/>
      <color rgb="FF1B7A4D"/>
      <name val="Carlito"/>
    </font>
    <font>
      <b/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b/>
      <sz val="15"/>
      <color rgb="FFFFFFFF"/>
      <name val="Carlito"/>
    </font>
    <font>
      <b/>
      <sz val="10"/>
      <color rgb="FF1E2A30"/>
      <name val="Carlito"/>
    </font>
    <font>
      <b/>
      <sz val="11"/>
      <color rgb="FFB5443B"/>
      <name val="Carlito"/>
    </font>
    <font>
      <b/>
      <sz val="17"/>
      <color rgb="FFFFFFFF"/>
      <name val="Carlito"/>
    </font>
    <font>
      <b/>
      <sz val="11"/>
      <color rgb="FF1B7A4D"/>
      <name val="Carlito"/>
    </font>
    <font>
      <b/>
      <sz val="14"/>
      <color rgb="FFFFFFFF"/>
      <name val="Carlito"/>
    </font>
    <font>
      <b/>
      <sz val="22"/>
      <color rgb="FF1B7A4D"/>
      <name val="Carlito"/>
    </font>
    <font>
      <b/>
      <sz val="10"/>
      <color rgb="FF1B7A4D"/>
      <name val="Carlito"/>
    </font>
    <font>
      <b/>
      <sz val="18"/>
      <color rgb="FF0F6572"/>
      <name val="Carlito"/>
    </font>
    <font>
      <sz val="11"/>
      <name val="Carlito"/>
    </font>
    <font>
      <sz val="16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082A37"/>
      </patternFill>
    </fill>
    <fill>
      <patternFill patternType="solid">
        <fgColor rgb="FF0F6572"/>
      </patternFill>
    </fill>
    <fill>
      <patternFill patternType="solid">
        <fgColor rgb="FFE7F3F6"/>
      </patternFill>
    </fill>
    <fill>
      <patternFill patternType="solid">
        <fgColor rgb="FFE7F4EC"/>
      </patternFill>
    </fill>
    <fill>
      <patternFill patternType="solid">
        <fgColor rgb="FFFFF2DF"/>
      </patternFill>
    </fill>
    <fill>
      <patternFill patternType="solid">
        <fgColor rgb="FFFCE8E6"/>
      </patternFill>
    </fill>
    <fill>
      <patternFill patternType="solid">
        <fgColor rgb="FFFFF2DF"/>
      </patternFill>
    </fill>
    <fill>
      <patternFill patternType="solid">
        <fgColor rgb="FF082A37"/>
      </patternFill>
    </fill>
    <fill>
      <patternFill patternType="solid">
        <fgColor rgb="FF0F6572"/>
      </patternFill>
    </fill>
    <fill>
      <patternFill patternType="solid">
        <fgColor rgb="FFE7F3F6"/>
      </patternFill>
    </fill>
    <fill>
      <patternFill patternType="solid">
        <fgColor rgb="FFE7F4EC"/>
      </patternFill>
    </fill>
    <fill>
      <patternFill patternType="solid">
        <fgColor rgb="FFE8F1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/>
  </cellStyleXfs>
  <cellXfs count="72">
    <xf numFmtId="0" fontId="0" fillId="0" borderId="0" xfId="0"/>
    <xf numFmtId="0" fontId="2" fillId="3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2" fillId="2" borderId="0" xfId="1" applyNumberFormat="1" applyFont="1" applyFill="1" applyBorder="1" applyAlignment="1">
      <alignment wrapText="1"/>
    </xf>
    <xf numFmtId="0" fontId="3" fillId="4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horizontal="center"/>
    </xf>
    <xf numFmtId="0" fontId="4" fillId="5" borderId="0" xfId="1" applyNumberFormat="1" applyFont="1" applyFill="1" applyBorder="1" applyAlignment="1">
      <alignment horizontal="center"/>
    </xf>
    <xf numFmtId="0" fontId="3" fillId="4" borderId="0" xfId="1" applyNumberFormat="1" applyFont="1" applyFill="1" applyBorder="1" applyAlignment="1">
      <alignment horizontal="center"/>
    </xf>
    <xf numFmtId="1" fontId="0" fillId="0" borderId="0" xfId="1" applyNumberFormat="1" applyFont="1" applyFill="1" applyBorder="1"/>
    <xf numFmtId="0" fontId="5" fillId="4" borderId="0" xfId="1" applyNumberFormat="1" applyFont="1" applyFill="1" applyBorder="1"/>
    <xf numFmtId="0" fontId="5" fillId="4" borderId="0" xfId="1" applyNumberFormat="1" applyFont="1" applyFill="1" applyBorder="1" applyAlignment="1">
      <alignment wrapText="1"/>
    </xf>
    <xf numFmtId="0" fontId="8" fillId="2" borderId="0" xfId="1" applyNumberFormat="1" applyFont="1" applyFill="1" applyBorder="1" applyAlignment="1">
      <alignment wrapText="1"/>
    </xf>
    <xf numFmtId="0" fontId="8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1" fontId="0" fillId="0" borderId="0" xfId="1" applyNumberFormat="1" applyFont="1" applyFill="1" applyBorder="1" applyAlignment="1">
      <alignment vertical="top" wrapText="1"/>
    </xf>
    <xf numFmtId="164" fontId="0" fillId="0" borderId="0" xfId="1" applyNumberFormat="1" applyFont="1" applyFill="1" applyBorder="1" applyAlignment="1">
      <alignment vertical="top" wrapText="1"/>
    </xf>
    <xf numFmtId="0" fontId="11" fillId="7" borderId="0" xfId="1" applyNumberFormat="1" applyFont="1" applyFill="1" applyBorder="1" applyAlignment="1">
      <alignment wrapText="1"/>
    </xf>
    <xf numFmtId="0" fontId="2" fillId="10" borderId="0" xfId="1" applyNumberFormat="1" applyFont="1" applyFill="1" applyBorder="1"/>
    <xf numFmtId="0" fontId="5" fillId="11" borderId="0" xfId="1" applyNumberFormat="1" applyFont="1" applyFill="1" applyBorder="1"/>
    <xf numFmtId="165" fontId="0" fillId="0" borderId="0" xfId="1" applyNumberFormat="1" applyFont="1" applyFill="1" applyBorder="1"/>
    <xf numFmtId="0" fontId="8" fillId="9" borderId="0" xfId="1" applyNumberFormat="1" applyFont="1" applyFill="1" applyAlignment="1">
      <alignment horizontal="center" vertical="center" wrapText="1"/>
    </xf>
    <xf numFmtId="0" fontId="0" fillId="0" borderId="0" xfId="1" applyNumberFormat="1" applyFont="1" applyFill="1" applyAlignment="1">
      <alignment wrapText="1"/>
    </xf>
    <xf numFmtId="166" fontId="0" fillId="0" borderId="0" xfId="1" applyNumberFormat="1" applyFont="1" applyFill="1" applyAlignment="1">
      <alignment wrapText="1"/>
    </xf>
    <xf numFmtId="164" fontId="0" fillId="0" borderId="0" xfId="1" applyNumberFormat="1" applyFont="1" applyFill="1" applyAlignment="1">
      <alignment wrapText="1"/>
    </xf>
    <xf numFmtId="0" fontId="2" fillId="9" borderId="0" xfId="1" applyNumberFormat="1" applyFont="1" applyFill="1" applyAlignment="1">
      <alignment wrapText="1"/>
    </xf>
    <xf numFmtId="0" fontId="5" fillId="11" borderId="0" xfId="1" applyNumberFormat="1" applyFont="1" applyFill="1" applyAlignment="1">
      <alignment wrapText="1"/>
    </xf>
    <xf numFmtId="165" fontId="0" fillId="0" borderId="0" xfId="1" applyNumberFormat="1" applyFont="1" applyFill="1" applyAlignment="1">
      <alignment wrapText="1"/>
    </xf>
    <xf numFmtId="0" fontId="8" fillId="9" borderId="0" xfId="1" applyNumberFormat="1" applyFont="1" applyFill="1" applyAlignment="1">
      <alignment horizontal="center" wrapText="1"/>
    </xf>
    <xf numFmtId="167" fontId="0" fillId="0" borderId="0" xfId="1" applyNumberFormat="1" applyFont="1" applyFill="1" applyAlignment="1">
      <alignment wrapText="1"/>
    </xf>
    <xf numFmtId="0" fontId="13" fillId="12" borderId="0" xfId="1" applyNumberFormat="1" applyFont="1" applyFill="1" applyAlignment="1">
      <alignment wrapText="1"/>
    </xf>
    <xf numFmtId="166" fontId="13" fillId="12" borderId="0" xfId="1" applyNumberFormat="1" applyFont="1" applyFill="1" applyAlignment="1">
      <alignment wrapText="1"/>
    </xf>
    <xf numFmtId="164" fontId="13" fillId="12" borderId="0" xfId="1" applyNumberFormat="1" applyFont="1" applyFill="1" applyAlignment="1">
      <alignment wrapText="1"/>
    </xf>
    <xf numFmtId="0" fontId="3" fillId="8" borderId="0" xfId="1" applyNumberFormat="1" applyFont="1" applyFill="1" applyAlignment="1">
      <alignment wrapText="1"/>
    </xf>
    <xf numFmtId="166" fontId="3" fillId="8" borderId="0" xfId="1" applyNumberFormat="1" applyFont="1" applyFill="1" applyAlignment="1">
      <alignment wrapText="1"/>
    </xf>
    <xf numFmtId="164" fontId="3" fillId="8" borderId="0" xfId="1" applyNumberFormat="1" applyFont="1" applyFill="1" applyAlignment="1">
      <alignment wrapText="1"/>
    </xf>
    <xf numFmtId="166" fontId="2" fillId="9" borderId="0" xfId="1" applyNumberFormat="1" applyFont="1" applyFill="1" applyAlignment="1">
      <alignment wrapText="1"/>
    </xf>
    <xf numFmtId="164" fontId="2" fillId="9" borderId="0" xfId="1" applyNumberFormat="1" applyFont="1" applyFill="1" applyAlignment="1">
      <alignment wrapText="1"/>
    </xf>
    <xf numFmtId="0" fontId="3" fillId="13" borderId="0" xfId="1" applyNumberFormat="1" applyFont="1" applyFill="1" applyAlignment="1">
      <alignment wrapText="1"/>
    </xf>
    <xf numFmtId="166" fontId="3" fillId="13" borderId="0" xfId="1" applyNumberFormat="1" applyFont="1" applyFill="1" applyAlignment="1">
      <alignment wrapText="1"/>
    </xf>
    <xf numFmtId="164" fontId="3" fillId="13" borderId="0" xfId="1" applyNumberFormat="1" applyFont="1" applyFill="1" applyAlignment="1">
      <alignment wrapText="1"/>
    </xf>
    <xf numFmtId="167" fontId="3" fillId="13" borderId="0" xfId="1" applyNumberFormat="1" applyFont="1" applyFill="1" applyAlignment="1">
      <alignment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3" fillId="6" borderId="0" xfId="1" applyNumberFormat="1" applyFont="1" applyFill="1" applyBorder="1" applyAlignment="1">
      <alignment vertical="center" wrapText="1"/>
    </xf>
    <xf numFmtId="0" fontId="2" fillId="2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0" fillId="0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/>
    <xf numFmtId="0" fontId="16" fillId="12" borderId="0" xfId="1" applyNumberFormat="1" applyFont="1" applyFill="1" applyBorder="1" applyAlignment="1">
      <alignment vertical="center" wrapText="1"/>
    </xf>
    <xf numFmtId="0" fontId="6" fillId="2" borderId="0" xfId="1" applyNumberFormat="1" applyFont="1" applyFill="1" applyBorder="1" applyAlignment="1">
      <alignment horizontal="center" vertical="center"/>
    </xf>
    <xf numFmtId="0" fontId="7" fillId="3" borderId="0" xfId="1" applyNumberFormat="1" applyFont="1" applyFill="1" applyBorder="1" applyAlignment="1">
      <alignment horizontal="center"/>
    </xf>
    <xf numFmtId="0" fontId="10" fillId="8" borderId="0" xfId="1" applyNumberFormat="1" applyFont="1" applyFill="1" applyAlignment="1">
      <alignment vertical="center" wrapText="1"/>
    </xf>
    <xf numFmtId="0" fontId="9" fillId="2" borderId="0" xfId="1" applyNumberFormat="1" applyFont="1" applyFill="1" applyBorder="1" applyAlignment="1">
      <alignment horizontal="center" vertical="center"/>
    </xf>
    <xf numFmtId="0" fontId="10" fillId="6" borderId="0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wrapText="1"/>
    </xf>
    <xf numFmtId="0" fontId="6" fillId="9" borderId="0" xfId="1" applyNumberFormat="1" applyFont="1" applyFill="1" applyBorder="1" applyAlignment="1">
      <alignment horizontal="center" vertical="center"/>
    </xf>
    <xf numFmtId="0" fontId="12" fillId="9" borderId="0" xfId="1" applyNumberFormat="1" applyFont="1" applyFill="1" applyBorder="1" applyAlignment="1">
      <alignment horizontal="center" vertical="center"/>
    </xf>
    <xf numFmtId="0" fontId="7" fillId="10" borderId="0" xfId="1" applyNumberFormat="1" applyFont="1" applyFill="1" applyBorder="1" applyAlignment="1">
      <alignment horizontal="center"/>
    </xf>
    <xf numFmtId="0" fontId="13" fillId="12" borderId="0" xfId="1" applyNumberFormat="1" applyFont="1" applyFill="1" applyAlignment="1">
      <alignment wrapText="1"/>
    </xf>
    <xf numFmtId="0" fontId="3" fillId="8" borderId="0" xfId="1" applyNumberFormat="1" applyFont="1" applyFill="1" applyAlignment="1">
      <alignment wrapText="1"/>
    </xf>
    <xf numFmtId="0" fontId="2" fillId="9" borderId="0" xfId="1" applyNumberFormat="1" applyFont="1" applyFill="1" applyAlignment="1">
      <alignment wrapText="1"/>
    </xf>
    <xf numFmtId="0" fontId="14" fillId="10" borderId="0" xfId="1" applyNumberFormat="1" applyFont="1" applyFill="1" applyBorder="1" applyAlignment="1">
      <alignment horizontal="center" vertical="center"/>
    </xf>
    <xf numFmtId="164" fontId="15" fillId="12" borderId="0" xfId="1" applyNumberFormat="1" applyFont="1" applyFill="1" applyBorder="1" applyAlignment="1">
      <alignment horizontal="center" vertical="center"/>
    </xf>
    <xf numFmtId="0" fontId="2" fillId="9" borderId="0" xfId="1" applyNumberFormat="1" applyFont="1" applyFill="1" applyBorder="1" applyAlignment="1">
      <alignment horizontal="center" vertical="center"/>
    </xf>
    <xf numFmtId="164" fontId="17" fillId="11" borderId="0" xfId="1" applyNumberFormat="1" applyFont="1" applyFill="1" applyBorder="1" applyAlignment="1">
      <alignment horizontal="center" vertical="center"/>
    </xf>
    <xf numFmtId="164" fontId="0" fillId="14" borderId="0" xfId="1" applyNumberFormat="1" applyFont="1" applyFill="1" applyAlignment="1">
      <alignment wrapText="1"/>
    </xf>
    <xf numFmtId="0" fontId="8" fillId="15" borderId="0" xfId="1" applyNumberFormat="1" applyFont="1" applyFill="1" applyAlignment="1">
      <alignment horizontal="center" vertical="center" wrapText="1"/>
    </xf>
    <xf numFmtId="164" fontId="19" fillId="14" borderId="0" xfId="0" applyNumberFormat="1" applyFont="1" applyFill="1"/>
    <xf numFmtId="164" fontId="19" fillId="0" borderId="0" xfId="0" applyNumberFormat="1" applyFont="1"/>
    <xf numFmtId="166" fontId="19" fillId="0" borderId="0" xfId="0" applyNumberFormat="1" applyFont="1"/>
    <xf numFmtId="0" fontId="19" fillId="0" borderId="0" xfId="0" applyFont="1"/>
  </cellXfs>
  <cellStyles count="2">
    <cellStyle name="Normal" xfId="1"/>
    <cellStyle name="Обычный" xfId="0" builtinId="0"/>
  </cellStyles>
  <dxfs count="6">
    <dxf>
      <fill>
        <patternFill patternType="solid">
          <fgColor indexed="64"/>
          <bgColor rgb="FFFFFF00"/>
        </patternFill>
      </fill>
    </dxf>
    <dxf>
      <font>
        <b/>
        <color rgb="FF0F6572"/>
      </font>
      <fill>
        <patternFill>
          <bgColor rgb="FFE7F3F6"/>
        </patternFill>
      </fill>
    </dxf>
    <dxf>
      <font>
        <b/>
        <color rgb="FF9A5A00"/>
      </font>
      <fill>
        <patternFill>
          <bgColor rgb="FFFFF2DF"/>
        </patternFill>
      </fill>
    </dxf>
    <dxf>
      <font>
        <b/>
        <color rgb="FFB5443B"/>
      </font>
      <fill>
        <patternFill>
          <bgColor rgb="FFFCE8E6"/>
        </patternFill>
      </fill>
    </dxf>
    <dxf>
      <font>
        <b/>
        <color rgb="FF806200"/>
      </font>
      <fill>
        <patternFill>
          <bgColor rgb="FFFFF8D8"/>
        </patternFill>
      </fill>
    </dxf>
    <dxf>
      <font>
        <b/>
        <color rgb="FF1B7A4D"/>
      </font>
      <fill>
        <patternFill>
          <bgColor rgb="FFE7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Готовность позиций инженерного </a:t>
            </a:r>
            <a:r>
              <a:rPr lang="en-US"/>
              <a:t>BOM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Кол-во</c:v>
          </c:tx>
          <c:invertIfNegative val="1"/>
          <c:cat>
            <c:strRef>
              <c:f>Сводка!$J$5:$J$9</c:f>
              <c:strCache>
                <c:ptCount val="5"/>
                <c:pt idx="0">
                  <c:v>Выбран / верификация</c:v>
                </c:pt>
                <c:pt idx="1">
                  <c:v>RFQ / выбор поставщика</c:v>
                </c:pt>
                <c:pt idx="2">
                  <c:v>Открытая позиция</c:v>
                </c:pt>
                <c:pt idx="3">
                  <c:v>Кандидат / уточнение</c:v>
                </c:pt>
                <c:pt idx="4">
                  <c:v>Исходные данные / DFM</c:v>
                </c:pt>
              </c:strCache>
            </c:strRef>
          </c:cat>
          <c:val>
            <c:numRef>
              <c:f>Сводка!$K$5:$K$9</c:f>
              <c:numCache>
                <c:formatCode>0</c:formatCode>
                <c:ptCount val="5"/>
                <c:pt idx="0">
                  <c:v>18</c:v>
                </c:pt>
                <c:pt idx="1">
                  <c:v>14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A-4A45-B2C9-BD7EC8523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Структура стоимости одного изделия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Состав</c:v>
          </c:tx>
          <c:invertIfNegative val="1"/>
          <c:cat>
            <c:strRef>
              <c:f>Сводная_стоимость!$A$11:$A$18</c:f>
              <c:strCache>
                <c:ptCount val="8"/>
                <c:pt idx="0">
                  <c:v>Электронная компонентная база</c:v>
                </c:pt>
                <c:pt idx="1">
                  <c:v>Производство плат</c:v>
                </c:pt>
                <c:pt idx="2">
                  <c:v>Кабели и разъёмы</c:v>
                </c:pt>
                <c:pt idx="3">
                  <c:v>Аккумулятор LiFePO4</c:v>
                </c:pt>
                <c:pt idx="4">
                  <c:v>Солнечная панель</c:v>
                </c:pt>
                <c:pt idx="5">
                  <c:v>MPPT-контроллер</c:v>
                </c:pt>
                <c:pt idx="6">
                  <c:v>Антенны LTE/GNSS/LoRa</c:v>
                </c:pt>
                <c:pt idx="7">
                  <c:v>Корпус, вакуумное литьё</c:v>
                </c:pt>
              </c:strCache>
            </c:strRef>
          </c:cat>
          <c:val>
            <c:numRef>
              <c:f>Сводная_стоимость!$B$11:$B$18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6-440E-BB66-22A44463A2C4}"/>
            </c:ext>
          </c:extLst>
        </c:ser>
        <c:ser>
          <c:idx val="1"/>
          <c:order val="1"/>
          <c:tx>
            <c:v>Цена 1 изд., USD</c:v>
          </c:tx>
          <c:invertIfNegative val="1"/>
          <c:cat>
            <c:strRef>
              <c:f>Сводная_стоимость!$A$11:$A$18</c:f>
              <c:strCache>
                <c:ptCount val="8"/>
                <c:pt idx="0">
                  <c:v>Электронная компонентная база</c:v>
                </c:pt>
                <c:pt idx="1">
                  <c:v>Производство плат</c:v>
                </c:pt>
                <c:pt idx="2">
                  <c:v>Кабели и разъёмы</c:v>
                </c:pt>
                <c:pt idx="3">
                  <c:v>Аккумулятор LiFePO4</c:v>
                </c:pt>
                <c:pt idx="4">
                  <c:v>Солнечная панель</c:v>
                </c:pt>
                <c:pt idx="5">
                  <c:v>MPPT-контроллер</c:v>
                </c:pt>
                <c:pt idx="6">
                  <c:v>Антенны LTE/GNSS/LoRa</c:v>
                </c:pt>
                <c:pt idx="7">
                  <c:v>Корпус, вакуумное литьё</c:v>
                </c:pt>
              </c:strCache>
            </c:strRef>
          </c:cat>
          <c:val>
            <c:numRef>
              <c:f>Сводная_стоимость!$C$11:$C$18</c:f>
              <c:numCache>
                <c:formatCode>\$0.00</c:formatCode>
                <c:ptCount val="8"/>
                <c:pt idx="0">
                  <c:v>100.67999999999999</c:v>
                </c:pt>
                <c:pt idx="1">
                  <c:v>50</c:v>
                </c:pt>
                <c:pt idx="2">
                  <c:v>25</c:v>
                </c:pt>
                <c:pt idx="3">
                  <c:v>65</c:v>
                </c:pt>
                <c:pt idx="4">
                  <c:v>12.5</c:v>
                </c:pt>
                <c:pt idx="5">
                  <c:v>20</c:v>
                </c:pt>
                <c:pt idx="6">
                  <c:v>22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6-440E-BB66-22A44463A2C4}"/>
            </c:ext>
          </c:extLst>
        </c:ser>
        <c:ser>
          <c:idx val="2"/>
          <c:order val="2"/>
          <c:tx>
            <c:v>Цена 1 изд., ₽</c:v>
          </c:tx>
          <c:invertIfNegative val="1"/>
          <c:cat>
            <c:strRef>
              <c:f>Сводная_стоимость!$A$11:$A$18</c:f>
              <c:strCache>
                <c:ptCount val="8"/>
                <c:pt idx="0">
                  <c:v>Электронная компонентная база</c:v>
                </c:pt>
                <c:pt idx="1">
                  <c:v>Производство плат</c:v>
                </c:pt>
                <c:pt idx="2">
                  <c:v>Кабели и разъёмы</c:v>
                </c:pt>
                <c:pt idx="3">
                  <c:v>Аккумулятор LiFePO4</c:v>
                </c:pt>
                <c:pt idx="4">
                  <c:v>Солнечная панель</c:v>
                </c:pt>
                <c:pt idx="5">
                  <c:v>MPPT-контроллер</c:v>
                </c:pt>
                <c:pt idx="6">
                  <c:v>Антенны LTE/GNSS/LoRa</c:v>
                </c:pt>
                <c:pt idx="7">
                  <c:v>Корпус, вакуумное литьё</c:v>
                </c:pt>
              </c:strCache>
            </c:strRef>
          </c:cat>
          <c:val>
            <c:numRef>
              <c:f>Сводная_стоимость!$D$11:$D$18</c:f>
              <c:numCache>
                <c:formatCode>#\ ##0\ "₽"</c:formatCode>
                <c:ptCount val="8"/>
                <c:pt idx="0">
                  <c:v>8565.4214759999995</c:v>
                </c:pt>
                <c:pt idx="1">
                  <c:v>4253.7849999999999</c:v>
                </c:pt>
                <c:pt idx="2">
                  <c:v>2126.8924999999999</c:v>
                </c:pt>
                <c:pt idx="3">
                  <c:v>5529.9205000000002</c:v>
                </c:pt>
                <c:pt idx="4">
                  <c:v>1063.44625</c:v>
                </c:pt>
                <c:pt idx="5">
                  <c:v>1701.5139999999999</c:v>
                </c:pt>
                <c:pt idx="6">
                  <c:v>1871.6653999999999</c:v>
                </c:pt>
                <c:pt idx="7">
                  <c:v>2977.6495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56-440E-BB66-22A44463A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16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ChinaPricing" displayName="ChinaPricing" ref="A6:M57" totalsRowShown="0">
  <tableColumns count="13">
    <tableColumn id="1" name="Группа"/>
    <tableColumn id="2" name="Item ID"/>
    <tableColumn id="3" name="Наименование"/>
    <tableColumn id="4" name="Кол-во/станцию"/>
    <tableColumn id="5" name="Кол-во 20"/>
    <tableColumn id="6" name="Цена/ед. USD"/>
    <tableColumn id="7" name="Стоимость 1 USD"/>
    <tableColumn id="8" name="Стоимость 20 USD"/>
    <tableColumn id="9" name="Цена/ед. ₽"/>
    <tableColumn id="10" name="Стоимость 1 ₽"/>
    <tableColumn id="11" name="Стоимость 20 ₽" dataDxfId="0"/>
    <tableColumn id="12" name="Основание цены"/>
    <tableColumn id="13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CustomerBOM" displayName="CustomerBOM" ref="A4:S53" totalsRowShown="0">
  <tableColumns count="19">
    <tableColumn id="1" name="№"/>
    <tableColumn id="2" name="Узел"/>
    <tableColumn id="3" name="Категория"/>
    <tableColumn id="4" name="Item ID"/>
    <tableColumn id="5" name="RefDes"/>
    <tableColumn id="6" name="Наименование"/>
    <tableColumn id="7" name="Производитель"/>
    <tableColumn id="8" name="MPN"/>
    <tableColumn id="9" name="Корпус / исполнение"/>
    <tableColumn id="10" name="Кол-во / станцию"/>
    <tableColumn id="11" name="Кол-во 20"/>
    <tableColumn id="12" name="Запас"/>
    <tableColumn id="13" name="К закупке"/>
    <tableColumn id="14" name="Сводный статус"/>
    <tableColumn id="15" name="Техн. статус"/>
    <tableColumn id="16" name="Примечание"/>
    <tableColumn id="17" name="Цена/ед., ₽ (RFQ)"/>
    <tableColumn id="18" name="Сумма закупки, ₽"/>
    <tableColumn id="19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RawEngineeringBOM" displayName="RawEngineeringBOM" ref="A4:R53" totalsRowShown="0">
  <tableColumns count="18">
    <tableColumn id="1" name="Item_ID"/>
    <tableColumn id="2" name="Assembly"/>
    <tableColumn id="3" name="RefDes"/>
    <tableColumn id="4" name="Category"/>
    <tableColumn id="5" name="Description"/>
    <tableColumn id="6" name="Manufacturer"/>
    <tableColumn id="7" name="MPN"/>
    <tableColumn id="8" name="Package"/>
    <tableColumn id="9" name="Qty_per_station"/>
    <tableColumn id="10" name="Qty_20"/>
    <tableColumn id="11" name="Spares"/>
    <tableColumn id="12" name="Procure_qty"/>
    <tableColumn id="13" name="Variant"/>
    <tableColumn id="14" name="Status"/>
    <tableColumn id="15" name="China_source_policy"/>
    <tableColumn id="16" name="Incoming_control"/>
    <tableColumn id="17" name="Notes"/>
    <tableColumn id="18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SystemComposition" displayName="SystemComposition" ref="A4:F15" totalsRowShown="0">
  <tableColumns count="6">
    <tableColumn id="1" name="Позиция"/>
    <tableColumn id="2" name="Подсистема"/>
    <tableColumn id="3" name="Кол-во / станцию"/>
    <tableColumn id="4" name="Кол-во на 20"/>
    <tableColumn id="5" name="Назначение / состав"/>
    <tableColumn id="6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HarnessAuthority" displayName="HarnessAuthority" ref="A5:G11" totalsRowShown="0">
  <tableColumns count="7">
    <tableColumn id="1" name="Группа"/>
    <tableColumn id="2" name="MPN"/>
    <tableColumn id="3" name="Наименование"/>
    <tableColumn id="4" name="Кол-во / станцию"/>
    <tableColumn id="5" name="Кол-во 20"/>
    <tableColumn id="6" name="Основание"/>
    <tableColumn id="7" name="Источни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ceSources" displayName="PriceSources" ref="A4:F32" totalsRowShown="0">
  <tableColumns count="6">
    <tableColumn id="1" name="Группа"/>
    <tableColumn id="2" name="Позиция / MPN"/>
    <tableColumn id="3" name="Цена / ориентир"/>
    <tableColumn id="4" name="Количество/уровень"/>
    <tableColumn id="5" name="Дата"/>
    <tableColumn id="6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57"/>
  <sheetViews>
    <sheetView tabSelected="1" topLeftCell="A34" zoomScale="70" zoomScaleNormal="70" workbookViewId="0">
      <selection activeCell="C54" sqref="C54"/>
    </sheetView>
  </sheetViews>
  <sheetFormatPr defaultRowHeight="13.8"/>
  <cols>
    <col min="1" max="1" width="27" customWidth="1"/>
    <col min="2" max="2" width="17" customWidth="1"/>
    <col min="3" max="3" width="42" customWidth="1"/>
    <col min="4" max="5" width="12" customWidth="1"/>
    <col min="6" max="6" width="13" customWidth="1"/>
    <col min="7" max="7" width="14" customWidth="1"/>
    <col min="8" max="8" width="15" customWidth="1"/>
    <col min="9" max="9" width="14" customWidth="1"/>
    <col min="10" max="10" width="15" customWidth="1"/>
    <col min="11" max="11" width="16" customWidth="1"/>
    <col min="12" max="12" width="34" customWidth="1"/>
    <col min="13" max="13" width="42" customWidth="1"/>
  </cols>
  <sheetData>
    <row r="1" spans="1:13">
      <c r="A1" s="56" t="s">
        <v>672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>
      <c r="A3" s="18" t="s">
        <v>4</v>
      </c>
      <c r="B3" s="18" t="s">
        <v>5</v>
      </c>
      <c r="C3" s="18" t="s">
        <v>4</v>
      </c>
      <c r="D3" s="18" t="s">
        <v>5</v>
      </c>
    </row>
    <row r="4" spans="1:13">
      <c r="A4" s="19" t="s">
        <v>673</v>
      </c>
      <c r="B4" s="19" t="s">
        <v>674</v>
      </c>
      <c r="C4" s="19" t="s">
        <v>675</v>
      </c>
      <c r="D4" s="20">
        <v>85.075699999999998</v>
      </c>
    </row>
    <row r="6" spans="1:13" ht="24">
      <c r="A6" s="21" t="s">
        <v>608</v>
      </c>
      <c r="B6" s="21" t="s">
        <v>69</v>
      </c>
      <c r="C6" s="21" t="s">
        <v>71</v>
      </c>
      <c r="D6" s="21" t="s">
        <v>676</v>
      </c>
      <c r="E6" s="21" t="s">
        <v>76</v>
      </c>
      <c r="F6" s="21" t="s">
        <v>677</v>
      </c>
      <c r="G6" s="21" t="s">
        <v>678</v>
      </c>
      <c r="H6" s="67" t="s">
        <v>679</v>
      </c>
      <c r="I6" s="21" t="s">
        <v>680</v>
      </c>
      <c r="J6" s="21" t="s">
        <v>681</v>
      </c>
      <c r="K6" s="67" t="s">
        <v>682</v>
      </c>
      <c r="L6" s="21" t="s">
        <v>683</v>
      </c>
      <c r="M6" s="21" t="s">
        <v>12</v>
      </c>
    </row>
    <row r="7" spans="1:13" ht="27.6">
      <c r="A7" s="22" t="s">
        <v>684</v>
      </c>
      <c r="B7" s="22" t="s">
        <v>319</v>
      </c>
      <c r="C7" s="22" t="s">
        <v>321</v>
      </c>
      <c r="D7" s="22">
        <v>8</v>
      </c>
      <c r="E7" s="22">
        <v>160</v>
      </c>
      <c r="F7" s="23">
        <v>0.02</v>
      </c>
      <c r="G7" s="23">
        <v>0.16</v>
      </c>
      <c r="H7" s="23">
        <v>3.2</v>
      </c>
      <c r="I7" s="24">
        <v>1.701514</v>
      </c>
      <c r="J7" s="24">
        <v>13.612112</v>
      </c>
      <c r="K7" s="66">
        <v>272.24223999999998</v>
      </c>
      <c r="L7" s="22" t="s">
        <v>685</v>
      </c>
      <c r="M7" s="22" t="s">
        <v>132</v>
      </c>
    </row>
    <row r="8" spans="1:13" ht="27.6">
      <c r="A8" s="22" t="s">
        <v>684</v>
      </c>
      <c r="B8" s="22" t="s">
        <v>311</v>
      </c>
      <c r="C8" s="22" t="s">
        <v>312</v>
      </c>
      <c r="D8" s="22">
        <v>4</v>
      </c>
      <c r="E8" s="22">
        <v>80</v>
      </c>
      <c r="F8" s="23">
        <v>1.57</v>
      </c>
      <c r="G8" s="23">
        <v>6.28</v>
      </c>
      <c r="H8" s="23">
        <v>125.60000000000001</v>
      </c>
      <c r="I8" s="24">
        <v>133.568849</v>
      </c>
      <c r="J8" s="24">
        <v>534.275396</v>
      </c>
      <c r="K8" s="66">
        <v>10685.50792</v>
      </c>
      <c r="L8" s="22" t="s">
        <v>686</v>
      </c>
      <c r="M8" s="22" t="s">
        <v>317</v>
      </c>
    </row>
    <row r="9" spans="1:13" ht="27.6">
      <c r="A9" s="22" t="s">
        <v>684</v>
      </c>
      <c r="B9" s="22" t="s">
        <v>687</v>
      </c>
      <c r="C9" s="22" t="s">
        <v>688</v>
      </c>
      <c r="D9" s="22">
        <v>1</v>
      </c>
      <c r="E9" s="22">
        <v>20</v>
      </c>
      <c r="F9" s="23">
        <v>8</v>
      </c>
      <c r="G9" s="23">
        <v>8</v>
      </c>
      <c r="H9" s="23">
        <v>160</v>
      </c>
      <c r="I9" s="24">
        <v>680.60559999999998</v>
      </c>
      <c r="J9" s="24">
        <v>680.60559999999998</v>
      </c>
      <c r="K9" s="66">
        <v>13612.111999999999</v>
      </c>
      <c r="L9" s="22" t="s">
        <v>689</v>
      </c>
      <c r="M9" s="22" t="s">
        <v>132</v>
      </c>
    </row>
    <row r="10" spans="1:13" ht="27.6">
      <c r="A10" s="22" t="s">
        <v>684</v>
      </c>
      <c r="B10" s="22" t="s">
        <v>290</v>
      </c>
      <c r="C10" s="22" t="s">
        <v>292</v>
      </c>
      <c r="D10" s="22">
        <v>1</v>
      </c>
      <c r="E10" s="22">
        <v>20</v>
      </c>
      <c r="F10" s="23">
        <v>0.25</v>
      </c>
      <c r="G10" s="23">
        <v>0.25</v>
      </c>
      <c r="H10" s="23">
        <v>5</v>
      </c>
      <c r="I10" s="24">
        <v>21.268924999999999</v>
      </c>
      <c r="J10" s="24">
        <v>21.268924999999999</v>
      </c>
      <c r="K10" s="66">
        <v>425.37849999999997</v>
      </c>
      <c r="L10" s="22" t="s">
        <v>685</v>
      </c>
      <c r="M10" s="22" t="s">
        <v>132</v>
      </c>
    </row>
    <row r="11" spans="1:13" ht="27.6">
      <c r="A11" s="22" t="s">
        <v>684</v>
      </c>
      <c r="B11" s="22" t="s">
        <v>231</v>
      </c>
      <c r="C11" s="22" t="s">
        <v>233</v>
      </c>
      <c r="D11" s="22">
        <v>1</v>
      </c>
      <c r="E11" s="22">
        <v>20</v>
      </c>
      <c r="F11" s="23">
        <v>13.3</v>
      </c>
      <c r="G11" s="23">
        <v>13.3</v>
      </c>
      <c r="H11" s="23">
        <v>266</v>
      </c>
      <c r="I11" s="24">
        <v>1131.5068100000001</v>
      </c>
      <c r="J11" s="24">
        <v>1131.5068100000001</v>
      </c>
      <c r="K11" s="66">
        <v>22630.136200000001</v>
      </c>
      <c r="L11" s="22" t="s">
        <v>686</v>
      </c>
      <c r="M11" s="22" t="s">
        <v>238</v>
      </c>
    </row>
    <row r="12" spans="1:13" ht="27.6">
      <c r="A12" s="22" t="s">
        <v>684</v>
      </c>
      <c r="B12" s="22" t="s">
        <v>239</v>
      </c>
      <c r="C12" s="22" t="s">
        <v>241</v>
      </c>
      <c r="D12" s="22">
        <v>1</v>
      </c>
      <c r="E12" s="22">
        <v>20</v>
      </c>
      <c r="F12" s="23">
        <v>1.5</v>
      </c>
      <c r="G12" s="23">
        <v>1.5</v>
      </c>
      <c r="H12" s="23">
        <v>30</v>
      </c>
      <c r="I12" s="24">
        <v>127.61355</v>
      </c>
      <c r="J12" s="24">
        <v>127.61355</v>
      </c>
      <c r="K12" s="66">
        <v>2552.2709999999997</v>
      </c>
      <c r="L12" s="22" t="s">
        <v>686</v>
      </c>
      <c r="M12" s="22" t="s">
        <v>246</v>
      </c>
    </row>
    <row r="13" spans="1:13" ht="27.6">
      <c r="A13" s="22" t="s">
        <v>684</v>
      </c>
      <c r="B13" s="22" t="s">
        <v>282</v>
      </c>
      <c r="C13" s="22" t="s">
        <v>284</v>
      </c>
      <c r="D13" s="22">
        <v>1</v>
      </c>
      <c r="E13" s="22">
        <v>20</v>
      </c>
      <c r="F13" s="23">
        <v>0.1</v>
      </c>
      <c r="G13" s="23">
        <v>0.1</v>
      </c>
      <c r="H13" s="23">
        <v>2</v>
      </c>
      <c r="I13" s="24">
        <v>8.5075699999999994</v>
      </c>
      <c r="J13" s="24">
        <v>8.5075699999999994</v>
      </c>
      <c r="K13" s="66">
        <v>170.1514</v>
      </c>
      <c r="L13" s="22" t="s">
        <v>685</v>
      </c>
      <c r="M13" s="22" t="s">
        <v>132</v>
      </c>
    </row>
    <row r="14" spans="1:13" ht="27.6">
      <c r="A14" s="22" t="s">
        <v>684</v>
      </c>
      <c r="B14" s="22" t="s">
        <v>272</v>
      </c>
      <c r="C14" s="22" t="s">
        <v>274</v>
      </c>
      <c r="D14" s="22">
        <v>1</v>
      </c>
      <c r="E14" s="22">
        <v>20</v>
      </c>
      <c r="F14" s="23">
        <v>0.5</v>
      </c>
      <c r="G14" s="23">
        <v>0.5</v>
      </c>
      <c r="H14" s="23">
        <v>10</v>
      </c>
      <c r="I14" s="24">
        <v>42.537849999999999</v>
      </c>
      <c r="J14" s="24">
        <v>42.537849999999999</v>
      </c>
      <c r="K14" s="66">
        <v>850.75699999999995</v>
      </c>
      <c r="L14" s="22" t="s">
        <v>685</v>
      </c>
      <c r="M14" s="22" t="s">
        <v>132</v>
      </c>
    </row>
    <row r="15" spans="1:13" ht="27.6">
      <c r="A15" s="22" t="s">
        <v>684</v>
      </c>
      <c r="B15" s="22" t="s">
        <v>264</v>
      </c>
      <c r="C15" s="22" t="s">
        <v>265</v>
      </c>
      <c r="D15" s="22">
        <v>1</v>
      </c>
      <c r="E15" s="22">
        <v>20</v>
      </c>
      <c r="F15" s="23">
        <v>0.61</v>
      </c>
      <c r="G15" s="23">
        <v>0.61</v>
      </c>
      <c r="H15" s="23">
        <v>12.2</v>
      </c>
      <c r="I15" s="24">
        <v>51.896176999999994</v>
      </c>
      <c r="J15" s="24">
        <v>51.896176999999994</v>
      </c>
      <c r="K15" s="66">
        <v>1037.92354</v>
      </c>
      <c r="L15" s="22" t="s">
        <v>686</v>
      </c>
      <c r="M15" s="22" t="s">
        <v>270</v>
      </c>
    </row>
    <row r="16" spans="1:13" ht="27.6">
      <c r="A16" s="22" t="s">
        <v>684</v>
      </c>
      <c r="B16" s="22" t="s">
        <v>247</v>
      </c>
      <c r="C16" s="22" t="s">
        <v>248</v>
      </c>
      <c r="D16" s="22">
        <v>1</v>
      </c>
      <c r="E16" s="22">
        <v>20</v>
      </c>
      <c r="F16" s="23">
        <v>2.64</v>
      </c>
      <c r="G16" s="23">
        <v>2.64</v>
      </c>
      <c r="H16" s="23">
        <v>52.800000000000004</v>
      </c>
      <c r="I16" s="24">
        <v>224.59984800000001</v>
      </c>
      <c r="J16" s="24">
        <v>224.59984800000001</v>
      </c>
      <c r="K16" s="66">
        <v>4491.9969600000004</v>
      </c>
      <c r="L16" s="22" t="s">
        <v>686</v>
      </c>
      <c r="M16" s="22" t="s">
        <v>253</v>
      </c>
    </row>
    <row r="17" spans="1:13" ht="27.6">
      <c r="A17" s="22" t="s">
        <v>684</v>
      </c>
      <c r="B17" s="22" t="s">
        <v>254</v>
      </c>
      <c r="C17" s="22" t="s">
        <v>255</v>
      </c>
      <c r="D17" s="22">
        <v>1</v>
      </c>
      <c r="E17" s="22">
        <v>20</v>
      </c>
      <c r="F17" s="23">
        <v>2.64</v>
      </c>
      <c r="G17" s="23">
        <v>2.64</v>
      </c>
      <c r="H17" s="23">
        <v>52.800000000000004</v>
      </c>
      <c r="I17" s="24">
        <v>224.59984800000001</v>
      </c>
      <c r="J17" s="24">
        <v>224.59984800000001</v>
      </c>
      <c r="K17" s="66">
        <v>4491.9969600000004</v>
      </c>
      <c r="L17" s="22" t="s">
        <v>686</v>
      </c>
      <c r="M17" s="22" t="s">
        <v>253</v>
      </c>
    </row>
    <row r="18" spans="1:13" ht="55.2">
      <c r="A18" s="22" t="s">
        <v>684</v>
      </c>
      <c r="B18" s="22" t="s">
        <v>257</v>
      </c>
      <c r="C18" s="22" t="s">
        <v>258</v>
      </c>
      <c r="D18" s="22">
        <v>1</v>
      </c>
      <c r="E18" s="22">
        <v>20</v>
      </c>
      <c r="F18" s="23">
        <v>0.21</v>
      </c>
      <c r="G18" s="23">
        <v>0.21</v>
      </c>
      <c r="H18" s="23">
        <v>4.2</v>
      </c>
      <c r="I18" s="24">
        <v>17.865897</v>
      </c>
      <c r="J18" s="24">
        <v>17.865897</v>
      </c>
      <c r="K18" s="66">
        <v>357.31794000000002</v>
      </c>
      <c r="L18" s="22" t="s">
        <v>686</v>
      </c>
      <c r="M18" s="22" t="s">
        <v>263</v>
      </c>
    </row>
    <row r="19" spans="1:13" ht="27.6">
      <c r="A19" s="22" t="s">
        <v>684</v>
      </c>
      <c r="B19" s="22" t="s">
        <v>98</v>
      </c>
      <c r="C19" s="22" t="s">
        <v>99</v>
      </c>
      <c r="D19" s="22">
        <v>1</v>
      </c>
      <c r="E19" s="22">
        <v>20</v>
      </c>
      <c r="F19" s="23">
        <v>14.45</v>
      </c>
      <c r="G19" s="23">
        <v>14.45</v>
      </c>
      <c r="H19" s="23">
        <v>289</v>
      </c>
      <c r="I19" s="24">
        <v>1229.3438649999998</v>
      </c>
      <c r="J19" s="24">
        <v>1229.3438649999998</v>
      </c>
      <c r="K19" s="66">
        <v>24586.8773</v>
      </c>
      <c r="L19" s="22" t="s">
        <v>686</v>
      </c>
      <c r="M19" s="22" t="s">
        <v>104</v>
      </c>
    </row>
    <row r="20" spans="1:13" ht="27.6">
      <c r="A20" s="22" t="s">
        <v>684</v>
      </c>
      <c r="B20" s="22" t="s">
        <v>172</v>
      </c>
      <c r="C20" s="22" t="s">
        <v>173</v>
      </c>
      <c r="D20" s="22">
        <v>1</v>
      </c>
      <c r="E20" s="22">
        <v>20</v>
      </c>
      <c r="F20" s="23">
        <v>4.5999999999999996</v>
      </c>
      <c r="G20" s="23">
        <v>4.5999999999999996</v>
      </c>
      <c r="H20" s="23">
        <v>92</v>
      </c>
      <c r="I20" s="24">
        <v>391.34821999999997</v>
      </c>
      <c r="J20" s="24">
        <v>391.34821999999997</v>
      </c>
      <c r="K20" s="66">
        <v>7826.9643999999998</v>
      </c>
      <c r="L20" s="22" t="s">
        <v>686</v>
      </c>
      <c r="M20" s="22" t="s">
        <v>179</v>
      </c>
    </row>
    <row r="21" spans="1:13" ht="27.6">
      <c r="A21" s="22" t="s">
        <v>684</v>
      </c>
      <c r="B21" s="22" t="s">
        <v>180</v>
      </c>
      <c r="C21" s="22" t="s">
        <v>181</v>
      </c>
      <c r="D21" s="22">
        <v>1</v>
      </c>
      <c r="E21" s="22">
        <v>20</v>
      </c>
      <c r="F21" s="23">
        <v>6.86</v>
      </c>
      <c r="G21" s="23">
        <v>6.86</v>
      </c>
      <c r="H21" s="23">
        <v>137.20000000000002</v>
      </c>
      <c r="I21" s="24">
        <v>583.61930200000006</v>
      </c>
      <c r="J21" s="24">
        <v>583.61930200000006</v>
      </c>
      <c r="K21" s="66">
        <v>11672.386040000001</v>
      </c>
      <c r="L21" s="22" t="s">
        <v>686</v>
      </c>
      <c r="M21" s="22" t="s">
        <v>186</v>
      </c>
    </row>
    <row r="22" spans="1:13" ht="27.6">
      <c r="A22" s="22" t="s">
        <v>684</v>
      </c>
      <c r="B22" s="22" t="s">
        <v>188</v>
      </c>
      <c r="C22" s="22" t="s">
        <v>189</v>
      </c>
      <c r="D22" s="22">
        <v>1</v>
      </c>
      <c r="E22" s="22">
        <v>20</v>
      </c>
      <c r="F22" s="23">
        <v>5</v>
      </c>
      <c r="G22" s="23">
        <v>5</v>
      </c>
      <c r="H22" s="23">
        <v>100</v>
      </c>
      <c r="I22" s="24">
        <v>425.37849999999997</v>
      </c>
      <c r="J22" s="24">
        <v>425.37849999999997</v>
      </c>
      <c r="K22" s="66">
        <v>8507.57</v>
      </c>
      <c r="L22" s="22" t="s">
        <v>685</v>
      </c>
      <c r="M22" s="22" t="s">
        <v>192</v>
      </c>
    </row>
    <row r="23" spans="1:13" ht="41.4">
      <c r="A23" s="22" t="s">
        <v>684</v>
      </c>
      <c r="B23" s="22" t="s">
        <v>153</v>
      </c>
      <c r="C23" s="22" t="s">
        <v>154</v>
      </c>
      <c r="D23" s="22">
        <v>1</v>
      </c>
      <c r="E23" s="22">
        <v>20</v>
      </c>
      <c r="F23" s="23">
        <v>0.68</v>
      </c>
      <c r="G23" s="23">
        <v>0.68</v>
      </c>
      <c r="H23" s="23">
        <v>13.600000000000001</v>
      </c>
      <c r="I23" s="24">
        <v>57.851476000000005</v>
      </c>
      <c r="J23" s="24">
        <v>57.851476000000005</v>
      </c>
      <c r="K23" s="66">
        <v>1157.02952</v>
      </c>
      <c r="L23" s="22" t="s">
        <v>686</v>
      </c>
      <c r="M23" s="22" t="s">
        <v>160</v>
      </c>
    </row>
    <row r="24" spans="1:13" ht="27.6">
      <c r="A24" s="22" t="s">
        <v>684</v>
      </c>
      <c r="B24" s="22" t="s">
        <v>162</v>
      </c>
      <c r="C24" s="22" t="s">
        <v>164</v>
      </c>
      <c r="D24" s="22">
        <v>2</v>
      </c>
      <c r="E24" s="22">
        <v>40</v>
      </c>
      <c r="F24" s="23">
        <v>0.15</v>
      </c>
      <c r="G24" s="23">
        <v>0.3</v>
      </c>
      <c r="H24" s="23">
        <v>6</v>
      </c>
      <c r="I24" s="24">
        <v>12.761355</v>
      </c>
      <c r="J24" s="24">
        <v>25.52271</v>
      </c>
      <c r="K24" s="66">
        <v>510.45420000000001</v>
      </c>
      <c r="L24" s="22" t="s">
        <v>685</v>
      </c>
      <c r="M24" s="22" t="s">
        <v>132</v>
      </c>
    </row>
    <row r="25" spans="1:13" ht="27.6">
      <c r="A25" s="22" t="s">
        <v>684</v>
      </c>
      <c r="B25" s="22" t="s">
        <v>105</v>
      </c>
      <c r="C25" s="22" t="s">
        <v>106</v>
      </c>
      <c r="D25" s="22">
        <v>1</v>
      </c>
      <c r="E25" s="22">
        <v>20</v>
      </c>
      <c r="F25" s="23">
        <v>8.76</v>
      </c>
      <c r="G25" s="23">
        <v>8.76</v>
      </c>
      <c r="H25" s="23">
        <v>175.2</v>
      </c>
      <c r="I25" s="24">
        <v>745.26313199999993</v>
      </c>
      <c r="J25" s="24">
        <v>745.26313199999993</v>
      </c>
      <c r="K25" s="66">
        <v>14905.262639999999</v>
      </c>
      <c r="L25" s="22" t="s">
        <v>686</v>
      </c>
      <c r="M25" s="22" t="s">
        <v>111</v>
      </c>
    </row>
    <row r="26" spans="1:13" ht="55.2">
      <c r="A26" s="22" t="s">
        <v>684</v>
      </c>
      <c r="B26" s="22" t="s">
        <v>113</v>
      </c>
      <c r="C26" s="22" t="s">
        <v>114</v>
      </c>
      <c r="D26" s="22">
        <v>1</v>
      </c>
      <c r="E26" s="22">
        <v>20</v>
      </c>
      <c r="F26" s="23">
        <v>0.91</v>
      </c>
      <c r="G26" s="23">
        <v>0.91</v>
      </c>
      <c r="H26" s="23">
        <v>18.2</v>
      </c>
      <c r="I26" s="24">
        <v>77.418886999999998</v>
      </c>
      <c r="J26" s="24">
        <v>77.418886999999998</v>
      </c>
      <c r="K26" s="66">
        <v>1548.3777399999999</v>
      </c>
      <c r="L26" s="22" t="s">
        <v>686</v>
      </c>
      <c r="M26" s="22" t="s">
        <v>118</v>
      </c>
    </row>
    <row r="27" spans="1:13" ht="41.4">
      <c r="A27" s="22" t="s">
        <v>684</v>
      </c>
      <c r="B27" s="22" t="s">
        <v>120</v>
      </c>
      <c r="C27" s="22" t="s">
        <v>121</v>
      </c>
      <c r="D27" s="22">
        <v>1</v>
      </c>
      <c r="E27" s="22">
        <v>20</v>
      </c>
      <c r="F27" s="23">
        <v>1.53</v>
      </c>
      <c r="G27" s="23">
        <v>1.53</v>
      </c>
      <c r="H27" s="23">
        <v>30.6</v>
      </c>
      <c r="I27" s="24">
        <v>130.16582099999999</v>
      </c>
      <c r="J27" s="24">
        <v>130.16582099999999</v>
      </c>
      <c r="K27" s="66">
        <v>2603.3164200000001</v>
      </c>
      <c r="L27" s="22" t="s">
        <v>686</v>
      </c>
      <c r="M27" s="22" t="s">
        <v>126</v>
      </c>
    </row>
    <row r="28" spans="1:13" ht="27.6">
      <c r="A28" s="22" t="s">
        <v>684</v>
      </c>
      <c r="B28" s="22" t="s">
        <v>128</v>
      </c>
      <c r="C28" s="22" t="s">
        <v>129</v>
      </c>
      <c r="D28" s="22">
        <v>1</v>
      </c>
      <c r="E28" s="22">
        <v>20</v>
      </c>
      <c r="F28" s="23">
        <v>0.35</v>
      </c>
      <c r="G28" s="23">
        <v>0.35</v>
      </c>
      <c r="H28" s="23">
        <v>7</v>
      </c>
      <c r="I28" s="24">
        <v>29.776494999999997</v>
      </c>
      <c r="J28" s="24">
        <v>29.776494999999997</v>
      </c>
      <c r="K28" s="66">
        <v>595.5299</v>
      </c>
      <c r="L28" s="22" t="s">
        <v>685</v>
      </c>
      <c r="M28" s="22" t="s">
        <v>132</v>
      </c>
    </row>
    <row r="29" spans="1:13" ht="27.6">
      <c r="A29" s="22" t="s">
        <v>684</v>
      </c>
      <c r="B29" s="22" t="s">
        <v>134</v>
      </c>
      <c r="C29" s="22" t="s">
        <v>135</v>
      </c>
      <c r="D29" s="22">
        <v>1</v>
      </c>
      <c r="E29" s="22">
        <v>20</v>
      </c>
      <c r="F29" s="23">
        <v>9.33</v>
      </c>
      <c r="G29" s="23">
        <v>9.33</v>
      </c>
      <c r="H29" s="23">
        <v>186.6</v>
      </c>
      <c r="I29" s="24">
        <v>793.75628099999994</v>
      </c>
      <c r="J29" s="24">
        <v>793.75628099999994</v>
      </c>
      <c r="K29" s="66">
        <v>15875.125619999999</v>
      </c>
      <c r="L29" s="22" t="s">
        <v>690</v>
      </c>
      <c r="M29" s="22" t="s">
        <v>141</v>
      </c>
    </row>
    <row r="30" spans="1:13" ht="27.6">
      <c r="A30" s="22" t="s">
        <v>684</v>
      </c>
      <c r="B30" s="22" t="s">
        <v>166</v>
      </c>
      <c r="C30" s="22" t="s">
        <v>167</v>
      </c>
      <c r="D30" s="22">
        <v>1</v>
      </c>
      <c r="E30" s="22">
        <v>20</v>
      </c>
      <c r="F30" s="23">
        <v>10.6</v>
      </c>
      <c r="G30" s="23">
        <v>10.6</v>
      </c>
      <c r="H30" s="23">
        <v>212</v>
      </c>
      <c r="I30" s="24">
        <v>901.80241999999998</v>
      </c>
      <c r="J30" s="24">
        <v>901.80241999999998</v>
      </c>
      <c r="K30" s="66">
        <v>18036.0484</v>
      </c>
      <c r="L30" s="22" t="s">
        <v>686</v>
      </c>
      <c r="M30" s="22" t="s">
        <v>171</v>
      </c>
    </row>
    <row r="31" spans="1:13" ht="41.4">
      <c r="A31" s="22" t="s">
        <v>684</v>
      </c>
      <c r="B31" s="22" t="s">
        <v>223</v>
      </c>
      <c r="C31" s="22" t="s">
        <v>224</v>
      </c>
      <c r="D31" s="22">
        <v>1</v>
      </c>
      <c r="E31" s="22">
        <v>20</v>
      </c>
      <c r="F31" s="23">
        <v>1.1200000000000001</v>
      </c>
      <c r="G31" s="23">
        <v>1.1200000000000001</v>
      </c>
      <c r="H31" s="23">
        <v>22.400000000000002</v>
      </c>
      <c r="I31" s="24">
        <v>95.284784000000002</v>
      </c>
      <c r="J31" s="24">
        <v>95.284784000000002</v>
      </c>
      <c r="K31" s="66">
        <v>1905.69568</v>
      </c>
      <c r="L31" s="22" t="s">
        <v>686</v>
      </c>
      <c r="M31" s="22" t="s">
        <v>230</v>
      </c>
    </row>
    <row r="32" spans="1:13" ht="27.6">
      <c r="A32" s="22" t="s">
        <v>691</v>
      </c>
      <c r="B32" s="22" t="s">
        <v>83</v>
      </c>
      <c r="C32" s="22" t="s">
        <v>85</v>
      </c>
      <c r="D32" s="22">
        <v>1</v>
      </c>
      <c r="E32" s="22">
        <v>20</v>
      </c>
      <c r="F32" s="23">
        <v>12</v>
      </c>
      <c r="G32" s="23">
        <v>12</v>
      </c>
      <c r="H32" s="23">
        <v>240</v>
      </c>
      <c r="I32" s="24">
        <v>1020.9084</v>
      </c>
      <c r="J32" s="24">
        <v>1020.9084</v>
      </c>
      <c r="K32" s="66">
        <v>20418.167999999998</v>
      </c>
      <c r="L32" s="22" t="s">
        <v>692</v>
      </c>
      <c r="M32" s="22" t="s">
        <v>91</v>
      </c>
    </row>
    <row r="33" spans="1:13" ht="27.6">
      <c r="A33" s="22" t="s">
        <v>691</v>
      </c>
      <c r="B33" s="22" t="s">
        <v>303</v>
      </c>
      <c r="C33" s="22" t="s">
        <v>304</v>
      </c>
      <c r="D33" s="22">
        <v>4</v>
      </c>
      <c r="E33" s="22">
        <v>80</v>
      </c>
      <c r="F33" s="23">
        <v>4</v>
      </c>
      <c r="G33" s="23">
        <v>16</v>
      </c>
      <c r="H33" s="23">
        <v>320</v>
      </c>
      <c r="I33" s="24">
        <v>340.30279999999999</v>
      </c>
      <c r="J33" s="24">
        <v>1361.2112</v>
      </c>
      <c r="K33" s="66">
        <v>27224.223999999998</v>
      </c>
      <c r="L33" s="22" t="s">
        <v>692</v>
      </c>
      <c r="M33" s="22" t="s">
        <v>91</v>
      </c>
    </row>
    <row r="34" spans="1:13" ht="27.6">
      <c r="A34" s="22" t="s">
        <v>691</v>
      </c>
      <c r="B34" s="22" t="s">
        <v>297</v>
      </c>
      <c r="C34" s="22" t="s">
        <v>298</v>
      </c>
      <c r="D34" s="22">
        <v>1</v>
      </c>
      <c r="E34" s="22">
        <v>20</v>
      </c>
      <c r="F34" s="23">
        <v>8</v>
      </c>
      <c r="G34" s="23">
        <v>8</v>
      </c>
      <c r="H34" s="23">
        <v>160</v>
      </c>
      <c r="I34" s="24">
        <v>680.60559999999998</v>
      </c>
      <c r="J34" s="24">
        <v>680.60559999999998</v>
      </c>
      <c r="K34" s="66">
        <v>13612.111999999999</v>
      </c>
      <c r="L34" s="22" t="s">
        <v>692</v>
      </c>
      <c r="M34" s="22" t="s">
        <v>91</v>
      </c>
    </row>
    <row r="35" spans="1:13" ht="27.6">
      <c r="A35" s="22" t="s">
        <v>691</v>
      </c>
      <c r="B35" s="22" t="s">
        <v>7</v>
      </c>
      <c r="C35" s="22" t="s">
        <v>93</v>
      </c>
      <c r="D35" s="22">
        <v>1</v>
      </c>
      <c r="E35" s="22">
        <v>20</v>
      </c>
      <c r="F35" s="23">
        <v>5</v>
      </c>
      <c r="G35" s="23">
        <v>5</v>
      </c>
      <c r="H35" s="23">
        <v>100</v>
      </c>
      <c r="I35" s="24">
        <v>425.37849999999997</v>
      </c>
      <c r="J35" s="24">
        <v>425.37849999999997</v>
      </c>
      <c r="K35" s="66">
        <v>8507.57</v>
      </c>
      <c r="L35" s="22" t="s">
        <v>692</v>
      </c>
      <c r="M35" s="22" t="s">
        <v>91</v>
      </c>
    </row>
    <row r="36" spans="1:13" ht="27.6">
      <c r="A36" s="22" t="s">
        <v>691</v>
      </c>
      <c r="B36" s="22" t="s">
        <v>9</v>
      </c>
      <c r="C36" s="22" t="s">
        <v>307</v>
      </c>
      <c r="D36" s="22">
        <v>4</v>
      </c>
      <c r="E36" s="22">
        <v>80</v>
      </c>
      <c r="F36" s="23">
        <v>1.5</v>
      </c>
      <c r="G36" s="23">
        <v>6</v>
      </c>
      <c r="H36" s="23">
        <v>120</v>
      </c>
      <c r="I36" s="24">
        <v>127.61355</v>
      </c>
      <c r="J36" s="24">
        <v>510.45420000000001</v>
      </c>
      <c r="K36" s="66">
        <v>10209.083999999999</v>
      </c>
      <c r="L36" s="22" t="s">
        <v>692</v>
      </c>
      <c r="M36" s="22" t="s">
        <v>91</v>
      </c>
    </row>
    <row r="37" spans="1:13" ht="27.6">
      <c r="A37" s="22" t="s">
        <v>691</v>
      </c>
      <c r="B37" s="22" t="s">
        <v>8</v>
      </c>
      <c r="C37" s="22" t="s">
        <v>301</v>
      </c>
      <c r="D37" s="22">
        <v>1</v>
      </c>
      <c r="E37" s="22">
        <v>20</v>
      </c>
      <c r="F37" s="23">
        <v>3</v>
      </c>
      <c r="G37" s="23">
        <v>3</v>
      </c>
      <c r="H37" s="23">
        <v>60</v>
      </c>
      <c r="I37" s="24">
        <v>255.22710000000001</v>
      </c>
      <c r="J37" s="24">
        <v>255.22710000000001</v>
      </c>
      <c r="K37" s="66">
        <v>5104.5419999999995</v>
      </c>
      <c r="L37" s="22" t="s">
        <v>692</v>
      </c>
      <c r="M37" s="22" t="s">
        <v>91</v>
      </c>
    </row>
    <row r="38" spans="1:13" ht="41.4">
      <c r="A38" s="22" t="s">
        <v>693</v>
      </c>
      <c r="B38" s="22" t="s">
        <v>370</v>
      </c>
      <c r="C38" s="22" t="s">
        <v>371</v>
      </c>
      <c r="D38" s="22">
        <v>1</v>
      </c>
      <c r="E38" s="22">
        <v>20</v>
      </c>
      <c r="F38" s="23">
        <v>16.61</v>
      </c>
      <c r="G38" s="23">
        <v>16.61</v>
      </c>
      <c r="H38" s="23">
        <v>332.2</v>
      </c>
      <c r="I38" s="24">
        <v>1413.1073769999998</v>
      </c>
      <c r="J38" s="24">
        <v>1413.1073769999998</v>
      </c>
      <c r="K38" s="66">
        <v>28262.147539999998</v>
      </c>
      <c r="L38" s="22" t="s">
        <v>685</v>
      </c>
      <c r="M38" s="22" t="s">
        <v>375</v>
      </c>
    </row>
    <row r="39" spans="1:13" ht="27.6">
      <c r="A39" s="22" t="s">
        <v>693</v>
      </c>
      <c r="B39" s="22" t="s">
        <v>324</v>
      </c>
      <c r="C39" s="22" t="s">
        <v>326</v>
      </c>
      <c r="D39" s="22">
        <v>4</v>
      </c>
      <c r="E39" s="22">
        <v>80</v>
      </c>
      <c r="F39" s="23">
        <v>0.26</v>
      </c>
      <c r="G39" s="23">
        <v>1.04</v>
      </c>
      <c r="H39" s="23">
        <v>20.8</v>
      </c>
      <c r="I39" s="24">
        <v>22.119682000000001</v>
      </c>
      <c r="J39" s="24">
        <v>88.478728000000004</v>
      </c>
      <c r="K39" s="66">
        <v>1769.57456</v>
      </c>
      <c r="L39" s="22" t="s">
        <v>686</v>
      </c>
      <c r="M39" s="22" t="s">
        <v>331</v>
      </c>
    </row>
    <row r="40" spans="1:13" ht="27.6">
      <c r="A40" s="22" t="s">
        <v>693</v>
      </c>
      <c r="B40" s="22" t="s">
        <v>198</v>
      </c>
      <c r="C40" s="22" t="s">
        <v>200</v>
      </c>
      <c r="D40" s="22">
        <v>1</v>
      </c>
      <c r="E40" s="22">
        <v>20</v>
      </c>
      <c r="F40" s="23">
        <v>2.5</v>
      </c>
      <c r="G40" s="23">
        <v>2.5</v>
      </c>
      <c r="H40" s="23">
        <v>50</v>
      </c>
      <c r="I40" s="24">
        <v>212.68924999999999</v>
      </c>
      <c r="J40" s="24">
        <v>212.68924999999999</v>
      </c>
      <c r="K40" s="66">
        <v>4253.7849999999999</v>
      </c>
      <c r="L40" s="22" t="s">
        <v>685</v>
      </c>
      <c r="M40" s="22" t="s">
        <v>132</v>
      </c>
    </row>
    <row r="41" spans="1:13" ht="27.6">
      <c r="A41" s="22" t="s">
        <v>693</v>
      </c>
      <c r="B41" s="22" t="s">
        <v>278</v>
      </c>
      <c r="C41" s="22" t="s">
        <v>280</v>
      </c>
      <c r="D41" s="22">
        <v>1</v>
      </c>
      <c r="E41" s="22">
        <v>20</v>
      </c>
      <c r="F41" s="23">
        <v>2.5</v>
      </c>
      <c r="G41" s="23">
        <v>2.5</v>
      </c>
      <c r="H41" s="23">
        <v>50</v>
      </c>
      <c r="I41" s="24">
        <v>212.68924999999999</v>
      </c>
      <c r="J41" s="24">
        <v>212.68924999999999</v>
      </c>
      <c r="K41" s="66">
        <v>4253.7849999999999</v>
      </c>
      <c r="L41" s="22" t="s">
        <v>685</v>
      </c>
      <c r="M41" s="22" t="s">
        <v>132</v>
      </c>
    </row>
    <row r="42" spans="1:13">
      <c r="A42" s="22" t="s">
        <v>693</v>
      </c>
      <c r="B42" s="22" t="s">
        <v>207</v>
      </c>
      <c r="C42" s="22" t="s">
        <v>209</v>
      </c>
      <c r="D42" s="22">
        <v>1</v>
      </c>
      <c r="E42" s="22">
        <v>20</v>
      </c>
      <c r="F42" s="23">
        <v>0.5</v>
      </c>
      <c r="G42" s="23">
        <v>0.5</v>
      </c>
      <c r="H42" s="23">
        <v>10</v>
      </c>
      <c r="I42" s="24">
        <v>42.537849999999999</v>
      </c>
      <c r="J42" s="24">
        <v>42.537849999999999</v>
      </c>
      <c r="K42" s="66">
        <v>850.75699999999995</v>
      </c>
      <c r="L42" s="22" t="s">
        <v>685</v>
      </c>
      <c r="M42" s="22" t="s">
        <v>192</v>
      </c>
    </row>
    <row r="43" spans="1:13">
      <c r="A43" s="22" t="s">
        <v>693</v>
      </c>
      <c r="B43" s="22" t="s">
        <v>214</v>
      </c>
      <c r="C43" s="22" t="s">
        <v>216</v>
      </c>
      <c r="D43" s="22">
        <v>1</v>
      </c>
      <c r="E43" s="22">
        <v>20</v>
      </c>
      <c r="F43" s="23">
        <v>0.5</v>
      </c>
      <c r="G43" s="23">
        <v>0.5</v>
      </c>
      <c r="H43" s="23">
        <v>10</v>
      </c>
      <c r="I43" s="24">
        <v>42.537849999999999</v>
      </c>
      <c r="J43" s="24">
        <v>42.537849999999999</v>
      </c>
      <c r="K43" s="66">
        <v>850.75699999999995</v>
      </c>
      <c r="L43" s="22" t="s">
        <v>685</v>
      </c>
      <c r="M43" s="22" t="s">
        <v>192</v>
      </c>
    </row>
    <row r="44" spans="1:13">
      <c r="A44" s="22" t="s">
        <v>693</v>
      </c>
      <c r="B44" s="22" t="s">
        <v>218</v>
      </c>
      <c r="C44" s="22" t="s">
        <v>220</v>
      </c>
      <c r="D44" s="22">
        <v>1</v>
      </c>
      <c r="E44" s="22">
        <v>20</v>
      </c>
      <c r="F44" s="23">
        <v>0.5</v>
      </c>
      <c r="G44" s="23">
        <v>0.5</v>
      </c>
      <c r="H44" s="23">
        <v>10</v>
      </c>
      <c r="I44" s="24">
        <v>42.537849999999999</v>
      </c>
      <c r="J44" s="24">
        <v>42.537849999999999</v>
      </c>
      <c r="K44" s="66">
        <v>850.75699999999995</v>
      </c>
      <c r="L44" s="22" t="s">
        <v>685</v>
      </c>
      <c r="M44" s="22" t="s">
        <v>192</v>
      </c>
    </row>
    <row r="45" spans="1:13">
      <c r="A45" s="22" t="s">
        <v>693</v>
      </c>
      <c r="B45" s="22" t="s">
        <v>194</v>
      </c>
      <c r="C45" s="22" t="s">
        <v>196</v>
      </c>
      <c r="D45" s="22">
        <v>1</v>
      </c>
      <c r="E45" s="22">
        <v>20</v>
      </c>
      <c r="F45" s="23">
        <v>0.35</v>
      </c>
      <c r="G45" s="23">
        <v>0.35</v>
      </c>
      <c r="H45" s="23">
        <v>7</v>
      </c>
      <c r="I45" s="24">
        <v>29.776494999999997</v>
      </c>
      <c r="J45" s="24">
        <v>29.776494999999997</v>
      </c>
      <c r="K45" s="66">
        <v>595.5299</v>
      </c>
      <c r="L45" s="22" t="s">
        <v>685</v>
      </c>
      <c r="M45" s="22" t="s">
        <v>132</v>
      </c>
    </row>
    <row r="46" spans="1:13">
      <c r="A46" s="22" t="s">
        <v>693</v>
      </c>
      <c r="B46" s="22" t="s">
        <v>143</v>
      </c>
      <c r="C46" s="22" t="s">
        <v>145</v>
      </c>
      <c r="D46" s="22">
        <v>1</v>
      </c>
      <c r="E46" s="22">
        <v>20</v>
      </c>
      <c r="F46" s="23">
        <v>0.25</v>
      </c>
      <c r="G46" s="23">
        <v>0.25</v>
      </c>
      <c r="H46" s="23">
        <v>5</v>
      </c>
      <c r="I46" s="24">
        <v>21.268924999999999</v>
      </c>
      <c r="J46" s="24">
        <v>21.268924999999999</v>
      </c>
      <c r="K46" s="66">
        <v>425.37849999999997</v>
      </c>
      <c r="L46" s="22" t="s">
        <v>685</v>
      </c>
      <c r="M46" s="22" t="s">
        <v>132</v>
      </c>
    </row>
    <row r="47" spans="1:13">
      <c r="A47" s="22" t="s">
        <v>693</v>
      </c>
      <c r="B47" s="22" t="s">
        <v>149</v>
      </c>
      <c r="C47" s="22" t="s">
        <v>151</v>
      </c>
      <c r="D47" s="22">
        <v>1</v>
      </c>
      <c r="E47" s="22">
        <v>20</v>
      </c>
      <c r="F47" s="23">
        <v>0.25</v>
      </c>
      <c r="G47" s="23">
        <v>0.25</v>
      </c>
      <c r="H47" s="23">
        <v>5</v>
      </c>
      <c r="I47" s="24">
        <v>21.268924999999999</v>
      </c>
      <c r="J47" s="24">
        <v>21.268924999999999</v>
      </c>
      <c r="K47" s="66">
        <v>425.37849999999997</v>
      </c>
      <c r="L47" s="22" t="s">
        <v>685</v>
      </c>
      <c r="M47" s="22" t="s">
        <v>132</v>
      </c>
    </row>
    <row r="48" spans="1:13" ht="27.6">
      <c r="A48" s="22" t="s">
        <v>694</v>
      </c>
      <c r="B48" s="22" t="s">
        <v>353</v>
      </c>
      <c r="C48" s="22" t="s">
        <v>355</v>
      </c>
      <c r="D48" s="22">
        <v>1</v>
      </c>
      <c r="E48" s="22">
        <v>20</v>
      </c>
      <c r="F48" s="23">
        <v>7</v>
      </c>
      <c r="G48" s="23">
        <v>7</v>
      </c>
      <c r="H48" s="23">
        <v>140</v>
      </c>
      <c r="I48" s="24">
        <v>595.5299</v>
      </c>
      <c r="J48" s="24">
        <v>595.5299</v>
      </c>
      <c r="K48" s="66">
        <v>11910.598</v>
      </c>
      <c r="L48" s="22" t="s">
        <v>690</v>
      </c>
      <c r="M48" s="22" t="s">
        <v>358</v>
      </c>
    </row>
    <row r="49" spans="1:13" ht="27.6">
      <c r="A49" s="22" t="s">
        <v>694</v>
      </c>
      <c r="B49" s="22" t="s">
        <v>359</v>
      </c>
      <c r="C49" s="22" t="s">
        <v>361</v>
      </c>
      <c r="D49" s="22">
        <v>1</v>
      </c>
      <c r="E49" s="22">
        <v>20</v>
      </c>
      <c r="F49" s="23">
        <v>3</v>
      </c>
      <c r="G49" s="23">
        <v>3</v>
      </c>
      <c r="H49" s="23">
        <v>60</v>
      </c>
      <c r="I49" s="24">
        <v>255.22710000000001</v>
      </c>
      <c r="J49" s="24">
        <v>255.22710000000001</v>
      </c>
      <c r="K49" s="66">
        <v>5104.5419999999995</v>
      </c>
      <c r="L49" s="22" t="s">
        <v>690</v>
      </c>
      <c r="M49" s="22" t="s">
        <v>363</v>
      </c>
    </row>
    <row r="50" spans="1:13" ht="27.6">
      <c r="A50" s="22" t="s">
        <v>694</v>
      </c>
      <c r="B50" s="22" t="s">
        <v>364</v>
      </c>
      <c r="C50" s="22" t="s">
        <v>366</v>
      </c>
      <c r="D50" s="22">
        <v>1</v>
      </c>
      <c r="E50" s="22">
        <v>20</v>
      </c>
      <c r="F50" s="23">
        <v>12</v>
      </c>
      <c r="G50" s="23">
        <v>12</v>
      </c>
      <c r="H50" s="23">
        <v>240</v>
      </c>
      <c r="I50" s="24">
        <v>1020.9084</v>
      </c>
      <c r="J50" s="24">
        <v>1020.9084</v>
      </c>
      <c r="K50" s="66">
        <v>20418.167999999998</v>
      </c>
      <c r="L50" s="22" t="s">
        <v>690</v>
      </c>
      <c r="M50" s="22" t="s">
        <v>368</v>
      </c>
    </row>
    <row r="51" spans="1:13" ht="27.6">
      <c r="A51" s="22" t="s">
        <v>694</v>
      </c>
      <c r="B51" s="22" t="s">
        <v>333</v>
      </c>
      <c r="C51" s="22" t="s">
        <v>335</v>
      </c>
      <c r="D51" s="22">
        <v>1</v>
      </c>
      <c r="E51" s="22">
        <v>20</v>
      </c>
      <c r="F51" s="23">
        <v>65</v>
      </c>
      <c r="G51" s="23">
        <v>65</v>
      </c>
      <c r="H51" s="23">
        <v>1300</v>
      </c>
      <c r="I51" s="24">
        <v>5529.9205000000002</v>
      </c>
      <c r="J51" s="24">
        <v>5529.9205000000002</v>
      </c>
      <c r="K51" s="66">
        <v>110598.41</v>
      </c>
      <c r="L51" s="22" t="s">
        <v>690</v>
      </c>
      <c r="M51" s="22" t="s">
        <v>338</v>
      </c>
    </row>
    <row r="52" spans="1:13">
      <c r="A52" s="22" t="s">
        <v>694</v>
      </c>
      <c r="B52" s="22" t="s">
        <v>381</v>
      </c>
      <c r="C52" s="22" t="s">
        <v>382</v>
      </c>
      <c r="D52" s="22">
        <v>0</v>
      </c>
      <c r="E52" s="22">
        <v>0</v>
      </c>
      <c r="F52" s="23">
        <v>0</v>
      </c>
      <c r="G52" s="23">
        <v>0</v>
      </c>
      <c r="H52" s="23">
        <v>0</v>
      </c>
      <c r="I52" s="24">
        <v>0</v>
      </c>
      <c r="J52" s="24">
        <v>0</v>
      </c>
      <c r="K52" s="66">
        <v>0</v>
      </c>
      <c r="L52" s="22" t="s">
        <v>685</v>
      </c>
      <c r="M52" s="22" t="s">
        <v>192</v>
      </c>
    </row>
    <row r="53" spans="1:13" ht="27.6">
      <c r="A53" s="22" t="s">
        <v>694</v>
      </c>
      <c r="B53" s="22" t="s">
        <v>385</v>
      </c>
      <c r="C53" s="22" t="s">
        <v>386</v>
      </c>
      <c r="D53" s="22">
        <v>0</v>
      </c>
      <c r="E53" s="22">
        <v>0</v>
      </c>
      <c r="F53" s="23">
        <v>0</v>
      </c>
      <c r="G53" s="23">
        <v>0</v>
      </c>
      <c r="H53" s="23">
        <v>0</v>
      </c>
      <c r="I53" s="24">
        <v>0</v>
      </c>
      <c r="J53" s="24">
        <v>0</v>
      </c>
      <c r="K53" s="66">
        <v>0</v>
      </c>
      <c r="L53" s="22" t="s">
        <v>685</v>
      </c>
      <c r="M53" s="22" t="s">
        <v>192</v>
      </c>
    </row>
    <row r="54" spans="1:13" ht="27.6">
      <c r="A54" s="22" t="s">
        <v>694</v>
      </c>
      <c r="B54" s="22" t="s">
        <v>376</v>
      </c>
      <c r="C54" s="22" t="s">
        <v>378</v>
      </c>
      <c r="D54" s="22">
        <v>1</v>
      </c>
      <c r="E54" s="22">
        <v>20</v>
      </c>
      <c r="F54" s="23">
        <v>35</v>
      </c>
      <c r="G54" s="23">
        <v>35</v>
      </c>
      <c r="H54" s="23">
        <v>700</v>
      </c>
      <c r="I54" s="24">
        <v>2977.6495</v>
      </c>
      <c r="J54" s="24">
        <v>2977.6495</v>
      </c>
      <c r="K54" s="66">
        <v>59552.99</v>
      </c>
      <c r="L54" s="22" t="s">
        <v>690</v>
      </c>
      <c r="M54" s="22" t="s">
        <v>380</v>
      </c>
    </row>
    <row r="55" spans="1:13" ht="27.6">
      <c r="A55" s="22" t="s">
        <v>694</v>
      </c>
      <c r="B55" s="22" t="s">
        <v>346</v>
      </c>
      <c r="C55" s="22" t="s">
        <v>348</v>
      </c>
      <c r="D55" s="22">
        <v>1</v>
      </c>
      <c r="E55" s="22">
        <v>20</v>
      </c>
      <c r="F55" s="23">
        <v>20</v>
      </c>
      <c r="G55" s="23">
        <v>20</v>
      </c>
      <c r="H55" s="23">
        <v>400</v>
      </c>
      <c r="I55" s="24">
        <v>1701.5139999999999</v>
      </c>
      <c r="J55" s="24">
        <v>1701.5139999999999</v>
      </c>
      <c r="K55" s="66">
        <v>34030.28</v>
      </c>
      <c r="L55" s="22" t="s">
        <v>690</v>
      </c>
      <c r="M55" s="22" t="s">
        <v>351</v>
      </c>
    </row>
    <row r="56" spans="1:13" ht="27.6">
      <c r="A56" s="22" t="s">
        <v>694</v>
      </c>
      <c r="B56" s="22" t="s">
        <v>340</v>
      </c>
      <c r="C56" s="22" t="s">
        <v>341</v>
      </c>
      <c r="D56" s="22">
        <v>1</v>
      </c>
      <c r="E56" s="22">
        <v>20</v>
      </c>
      <c r="F56" s="23">
        <v>12.5</v>
      </c>
      <c r="G56" s="23">
        <v>12.5</v>
      </c>
      <c r="H56" s="23">
        <v>250</v>
      </c>
      <c r="I56" s="24">
        <v>1063.44625</v>
      </c>
      <c r="J56" s="24">
        <v>1063.44625</v>
      </c>
      <c r="K56" s="66">
        <v>21268.924999999999</v>
      </c>
      <c r="L56" s="22" t="s">
        <v>690</v>
      </c>
      <c r="M56" s="22" t="s">
        <v>344</v>
      </c>
    </row>
    <row r="57" spans="1:13" ht="20.399999999999999">
      <c r="A57" s="71" t="s">
        <v>809</v>
      </c>
      <c r="G57" s="70">
        <f>SUM(G7:G56)</f>
        <v>330.18</v>
      </c>
      <c r="H57" s="70">
        <f>SUM(H7:H56)</f>
        <v>6603.6</v>
      </c>
      <c r="J57" s="69">
        <f>SUM(J7:J56)</f>
        <v>28090.294626000003</v>
      </c>
      <c r="K57" s="68">
        <f>SUM(K7:K56)</f>
        <v>561805.89251999988</v>
      </c>
    </row>
  </sheetData>
  <mergeCells count="1">
    <mergeCell ref="A1:M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16" workbookViewId="0">
      <selection sqref="A1:H2"/>
    </sheetView>
  </sheetViews>
  <sheetFormatPr defaultRowHeight="13.8"/>
  <cols>
    <col min="1" max="1" width="20" customWidth="1"/>
    <col min="2" max="2" width="38" customWidth="1"/>
    <col min="3" max="3" width="3" customWidth="1"/>
    <col min="4" max="8" width="14" customWidth="1"/>
    <col min="10" max="10" width="26" customWidth="1"/>
    <col min="11" max="11" width="12" customWidth="1"/>
  </cols>
  <sheetData>
    <row r="1" spans="1:11" ht="20.85" customHeight="1">
      <c r="A1" s="42" t="s">
        <v>0</v>
      </c>
      <c r="B1" s="42"/>
      <c r="C1" s="42"/>
      <c r="D1" s="42"/>
      <c r="E1" s="42"/>
      <c r="F1" s="42"/>
      <c r="G1" s="42"/>
      <c r="H1" s="42"/>
    </row>
    <row r="2" spans="1:11" ht="20.85" customHeight="1">
      <c r="A2" s="42"/>
      <c r="B2" s="42"/>
      <c r="C2" s="42"/>
      <c r="D2" s="42"/>
      <c r="E2" s="42"/>
      <c r="F2" s="42"/>
      <c r="G2" s="42"/>
      <c r="H2" s="42"/>
    </row>
    <row r="3" spans="1:11">
      <c r="A3" s="43" t="s">
        <v>1</v>
      </c>
      <c r="B3" s="43"/>
      <c r="C3" s="43"/>
      <c r="D3" s="43"/>
      <c r="E3" s="43"/>
      <c r="F3" s="43"/>
      <c r="G3" s="43"/>
      <c r="H3" s="43"/>
    </row>
    <row r="4" spans="1:11">
      <c r="J4" s="2" t="s">
        <v>2</v>
      </c>
      <c r="K4" s="2" t="s">
        <v>3</v>
      </c>
    </row>
    <row r="5" spans="1:11">
      <c r="A5" s="3" t="s">
        <v>4</v>
      </c>
      <c r="B5" s="3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J5" s="5" t="s">
        <v>11</v>
      </c>
      <c r="K5" s="9">
        <v>18</v>
      </c>
    </row>
    <row r="6" spans="1:11" ht="17.399999999999999">
      <c r="A6" s="4" t="s">
        <v>12</v>
      </c>
      <c r="B6" s="5" t="s">
        <v>13</v>
      </c>
      <c r="D6" s="7">
        <v>49</v>
      </c>
      <c r="E6" s="7">
        <v>22</v>
      </c>
      <c r="F6" s="7">
        <v>12</v>
      </c>
      <c r="G6" s="7">
        <v>5</v>
      </c>
      <c r="H6" s="7">
        <v>10</v>
      </c>
      <c r="J6" s="5" t="s">
        <v>14</v>
      </c>
      <c r="K6" s="9">
        <v>14</v>
      </c>
    </row>
    <row r="7" spans="1:11" ht="27.6">
      <c r="A7" s="4" t="s">
        <v>15</v>
      </c>
      <c r="B7" s="5" t="s">
        <v>16</v>
      </c>
      <c r="J7" s="5" t="s">
        <v>17</v>
      </c>
      <c r="K7" s="9">
        <v>10</v>
      </c>
    </row>
    <row r="8" spans="1:11">
      <c r="A8" s="4" t="s">
        <v>18</v>
      </c>
      <c r="B8" s="5" t="s">
        <v>19</v>
      </c>
      <c r="D8" s="1" t="s">
        <v>20</v>
      </c>
      <c r="E8" s="1" t="s">
        <v>7</v>
      </c>
      <c r="F8" s="1" t="s">
        <v>8</v>
      </c>
      <c r="G8" s="1" t="s">
        <v>9</v>
      </c>
      <c r="H8" s="1" t="s">
        <v>21</v>
      </c>
      <c r="J8" s="5" t="s">
        <v>22</v>
      </c>
      <c r="K8" s="9">
        <v>5</v>
      </c>
    </row>
    <row r="9" spans="1:11">
      <c r="A9" s="4" t="s">
        <v>23</v>
      </c>
      <c r="B9" s="5" t="s">
        <v>24</v>
      </c>
      <c r="D9" s="8" t="s">
        <v>25</v>
      </c>
      <c r="E9" s="8">
        <v>1</v>
      </c>
      <c r="F9" s="8">
        <v>1</v>
      </c>
      <c r="G9" s="8">
        <v>4</v>
      </c>
      <c r="H9" s="8" t="s">
        <v>26</v>
      </c>
      <c r="J9" s="5" t="s">
        <v>27</v>
      </c>
      <c r="K9" s="9">
        <v>2</v>
      </c>
    </row>
    <row r="10" spans="1:11" ht="27.6">
      <c r="A10" s="4" t="s">
        <v>28</v>
      </c>
      <c r="B10" s="5" t="s">
        <v>29</v>
      </c>
    </row>
    <row r="12" spans="1:11">
      <c r="A12" s="44" t="s">
        <v>30</v>
      </c>
      <c r="B12" s="44"/>
      <c r="C12" s="44"/>
      <c r="D12" s="44"/>
      <c r="E12" s="44"/>
      <c r="F12" s="44"/>
      <c r="G12" s="44"/>
      <c r="H12" s="44"/>
    </row>
    <row r="13" spans="1:11">
      <c r="A13" s="44"/>
      <c r="B13" s="44"/>
      <c r="C13" s="44"/>
      <c r="D13" s="44"/>
      <c r="E13" s="44"/>
      <c r="F13" s="44"/>
      <c r="G13" s="44"/>
      <c r="H13" s="44"/>
    </row>
    <row r="14" spans="1:11">
      <c r="A14" s="44"/>
      <c r="B14" s="44"/>
      <c r="C14" s="44"/>
      <c r="D14" s="44"/>
      <c r="E14" s="44"/>
      <c r="F14" s="44"/>
      <c r="G14" s="44"/>
      <c r="H14" s="44"/>
    </row>
    <row r="16" spans="1:11">
      <c r="A16" s="45" t="s">
        <v>31</v>
      </c>
      <c r="B16" s="45"/>
      <c r="C16" s="45"/>
      <c r="D16" s="45"/>
      <c r="E16" s="45"/>
      <c r="F16" s="45"/>
      <c r="G16" s="45"/>
      <c r="H16" s="45"/>
    </row>
    <row r="17" spans="1:8" ht="41.4">
      <c r="A17" s="11" t="s">
        <v>32</v>
      </c>
      <c r="B17" s="5" t="s">
        <v>33</v>
      </c>
      <c r="C17" s="11" t="s">
        <v>34</v>
      </c>
      <c r="D17" s="5" t="s">
        <v>35</v>
      </c>
      <c r="E17" s="11" t="s">
        <v>36</v>
      </c>
      <c r="F17" s="5" t="s">
        <v>37</v>
      </c>
      <c r="G17" s="11" t="s">
        <v>38</v>
      </c>
      <c r="H17" s="5" t="s">
        <v>39</v>
      </c>
    </row>
    <row r="18" spans="1:8" ht="110.4">
      <c r="A18" s="11" t="s">
        <v>40</v>
      </c>
      <c r="B18" s="5" t="s">
        <v>41</v>
      </c>
      <c r="C18" s="11" t="s">
        <v>42</v>
      </c>
      <c r="D18" s="5" t="s">
        <v>43</v>
      </c>
      <c r="E18" s="11" t="s">
        <v>44</v>
      </c>
      <c r="F18" s="5" t="s">
        <v>45</v>
      </c>
      <c r="G18" s="11" t="s">
        <v>46</v>
      </c>
      <c r="H18" s="5" t="s">
        <v>47</v>
      </c>
    </row>
    <row r="19" spans="1:8" ht="124.2">
      <c r="A19" s="11" t="s">
        <v>48</v>
      </c>
      <c r="B19" s="5" t="s">
        <v>49</v>
      </c>
      <c r="C19" s="11" t="s">
        <v>50</v>
      </c>
      <c r="D19" s="5" t="s">
        <v>51</v>
      </c>
      <c r="E19" s="11" t="s">
        <v>52</v>
      </c>
      <c r="F19" s="5" t="s">
        <v>53</v>
      </c>
      <c r="G19" s="11" t="s">
        <v>21</v>
      </c>
      <c r="H19" s="5" t="s">
        <v>26</v>
      </c>
    </row>
    <row r="20" spans="1:8" ht="27.6">
      <c r="A20" s="11" t="s">
        <v>54</v>
      </c>
      <c r="B20" s="5" t="s">
        <v>55</v>
      </c>
      <c r="C20" s="11"/>
      <c r="D20" s="5"/>
      <c r="E20" s="11"/>
      <c r="F20" s="5"/>
      <c r="G20" s="11"/>
      <c r="H20" s="5"/>
    </row>
    <row r="22" spans="1:8">
      <c r="A22" s="2" t="s">
        <v>56</v>
      </c>
      <c r="B22" s="46" t="s">
        <v>57</v>
      </c>
      <c r="C22" s="46"/>
      <c r="D22" s="46"/>
      <c r="E22" s="46"/>
      <c r="F22" s="46"/>
      <c r="G22" s="46"/>
      <c r="H22" s="46"/>
    </row>
    <row r="23" spans="1:8">
      <c r="A23" s="10" t="s">
        <v>58</v>
      </c>
      <c r="B23" s="47" t="s">
        <v>59</v>
      </c>
      <c r="C23" s="48"/>
      <c r="D23" s="48"/>
      <c r="E23" s="48"/>
      <c r="F23" s="48"/>
      <c r="G23" s="48"/>
      <c r="H23" s="48"/>
    </row>
    <row r="24" spans="1:8">
      <c r="A24" s="10" t="s">
        <v>60</v>
      </c>
      <c r="B24" s="47" t="s">
        <v>61</v>
      </c>
      <c r="C24" s="48"/>
      <c r="D24" s="48"/>
      <c r="E24" s="48"/>
      <c r="F24" s="48"/>
      <c r="G24" s="48"/>
      <c r="H24" s="48"/>
    </row>
    <row r="25" spans="1:8">
      <c r="A25" s="10" t="s">
        <v>15</v>
      </c>
      <c r="B25" s="47" t="s">
        <v>62</v>
      </c>
      <c r="C25" s="48"/>
      <c r="D25" s="48"/>
      <c r="E25" s="48"/>
      <c r="F25" s="48"/>
      <c r="G25" s="48"/>
      <c r="H25" s="48"/>
    </row>
    <row r="27" spans="1:8">
      <c r="A27" s="49" t="s">
        <v>63</v>
      </c>
      <c r="B27" s="49"/>
      <c r="C27" s="49"/>
      <c r="D27" s="49"/>
      <c r="E27" s="49"/>
      <c r="F27" s="49"/>
      <c r="G27" s="49"/>
      <c r="H27" s="49"/>
    </row>
    <row r="28" spans="1:8">
      <c r="A28" s="49"/>
      <c r="B28" s="49"/>
      <c r="C28" s="49"/>
      <c r="D28" s="49"/>
      <c r="E28" s="49"/>
      <c r="F28" s="49"/>
      <c r="G28" s="49"/>
      <c r="H28" s="49"/>
    </row>
    <row r="29" spans="1:8">
      <c r="A29" s="49"/>
      <c r="B29" s="49"/>
      <c r="C29" s="49"/>
      <c r="D29" s="49"/>
      <c r="E29" s="49"/>
      <c r="F29" s="49"/>
      <c r="G29" s="49"/>
      <c r="H29" s="49"/>
    </row>
  </sheetData>
  <mergeCells count="9">
    <mergeCell ref="B23:H23"/>
    <mergeCell ref="B24:H24"/>
    <mergeCell ref="B25:H25"/>
    <mergeCell ref="A27:H29"/>
    <mergeCell ref="A1:H2"/>
    <mergeCell ref="A3:H3"/>
    <mergeCell ref="A12:H14"/>
    <mergeCell ref="A16:H16"/>
    <mergeCell ref="B22:H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opLeftCell="A22" workbookViewId="0">
      <selection sqref="A1:S2"/>
    </sheetView>
  </sheetViews>
  <sheetFormatPr defaultRowHeight="13.8"/>
  <cols>
    <col min="1" max="1" width="5" customWidth="1"/>
    <col min="2" max="2" width="12" customWidth="1"/>
    <col min="3" max="3" width="16" customWidth="1"/>
    <col min="4" max="4" width="17" customWidth="1"/>
    <col min="5" max="5" width="12" customWidth="1"/>
    <col min="6" max="6" width="38" customWidth="1"/>
    <col min="7" max="7" width="22" customWidth="1"/>
    <col min="8" max="8" width="26" customWidth="1"/>
    <col min="9" max="9" width="25" customWidth="1"/>
    <col min="10" max="10" width="11" customWidth="1"/>
    <col min="11" max="11" width="10" customWidth="1"/>
    <col min="12" max="12" width="8" customWidth="1"/>
    <col min="13" max="13" width="10" customWidth="1"/>
    <col min="14" max="14" width="22" customWidth="1"/>
    <col min="15" max="15" width="34" customWidth="1"/>
    <col min="16" max="16" width="42" customWidth="1"/>
    <col min="17" max="17" width="17" customWidth="1"/>
    <col min="18" max="18" width="20" customWidth="1"/>
    <col min="19" max="19" width="34" customWidth="1"/>
  </cols>
  <sheetData>
    <row r="1" spans="1:19" ht="20.85" customHeight="1">
      <c r="A1" s="50" t="s">
        <v>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20.8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9.2" customHeight="1">
      <c r="A3" s="51" t="s">
        <v>65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19" ht="19.2" customHeight="1">
      <c r="A4" s="13" t="s">
        <v>66</v>
      </c>
      <c r="B4" s="13" t="s">
        <v>67</v>
      </c>
      <c r="C4" s="13" t="s">
        <v>68</v>
      </c>
      <c r="D4" s="13" t="s">
        <v>69</v>
      </c>
      <c r="E4" s="13" t="s">
        <v>70</v>
      </c>
      <c r="F4" s="13" t="s">
        <v>71</v>
      </c>
      <c r="G4" s="13" t="s">
        <v>72</v>
      </c>
      <c r="H4" s="13" t="s">
        <v>73</v>
      </c>
      <c r="I4" s="13" t="s">
        <v>74</v>
      </c>
      <c r="J4" s="13" t="s">
        <v>75</v>
      </c>
      <c r="K4" s="13" t="s">
        <v>76</v>
      </c>
      <c r="L4" s="13" t="s">
        <v>77</v>
      </c>
      <c r="M4" s="13" t="s">
        <v>78</v>
      </c>
      <c r="N4" s="13" t="s">
        <v>2</v>
      </c>
      <c r="O4" s="13" t="s">
        <v>79</v>
      </c>
      <c r="P4" s="13" t="s">
        <v>54</v>
      </c>
      <c r="Q4" s="13" t="s">
        <v>80</v>
      </c>
      <c r="R4" s="13" t="s">
        <v>81</v>
      </c>
      <c r="S4" s="13" t="s">
        <v>12</v>
      </c>
    </row>
    <row r="5" spans="1:19" ht="27.6">
      <c r="A5" s="14">
        <v>1</v>
      </c>
      <c r="B5" s="14" t="s">
        <v>7</v>
      </c>
      <c r="C5" s="14" t="s">
        <v>82</v>
      </c>
      <c r="D5" s="14" t="s">
        <v>83</v>
      </c>
      <c r="E5" s="14" t="s">
        <v>84</v>
      </c>
      <c r="F5" s="14" t="s">
        <v>85</v>
      </c>
      <c r="G5" s="14" t="s">
        <v>86</v>
      </c>
      <c r="H5" s="14" t="s">
        <v>87</v>
      </c>
      <c r="I5" s="14" t="s">
        <v>88</v>
      </c>
      <c r="J5" s="15">
        <v>1</v>
      </c>
      <c r="K5" s="15">
        <v>20</v>
      </c>
      <c r="L5" s="15">
        <v>2</v>
      </c>
      <c r="M5" s="15">
        <v>22</v>
      </c>
      <c r="N5" s="14" t="s">
        <v>14</v>
      </c>
      <c r="O5" s="14" t="s">
        <v>89</v>
      </c>
      <c r="P5" s="14" t="s">
        <v>90</v>
      </c>
      <c r="Q5" s="16">
        <v>1020.9084</v>
      </c>
      <c r="R5" s="16">
        <v>22459.984800000002</v>
      </c>
      <c r="S5" s="14" t="s">
        <v>91</v>
      </c>
    </row>
    <row r="6" spans="1:19" ht="27.6">
      <c r="A6" s="14">
        <v>2</v>
      </c>
      <c r="B6" s="14" t="s">
        <v>7</v>
      </c>
      <c r="C6" s="14" t="s">
        <v>92</v>
      </c>
      <c r="D6" s="14" t="s">
        <v>7</v>
      </c>
      <c r="E6" s="14" t="s">
        <v>84</v>
      </c>
      <c r="F6" s="14" t="s">
        <v>93</v>
      </c>
      <c r="G6" s="14" t="s">
        <v>94</v>
      </c>
      <c r="H6" s="14" t="s">
        <v>87</v>
      </c>
      <c r="I6" s="14" t="s">
        <v>95</v>
      </c>
      <c r="J6" s="15">
        <v>1</v>
      </c>
      <c r="K6" s="15">
        <v>20</v>
      </c>
      <c r="L6" s="15">
        <v>5</v>
      </c>
      <c r="M6" s="15">
        <v>25</v>
      </c>
      <c r="N6" s="14" t="s">
        <v>14</v>
      </c>
      <c r="O6" s="14" t="s">
        <v>89</v>
      </c>
      <c r="P6" s="14" t="s">
        <v>96</v>
      </c>
      <c r="Q6" s="16">
        <v>425.37849999999997</v>
      </c>
      <c r="R6" s="16">
        <v>10634.4625</v>
      </c>
      <c r="S6" s="14" t="s">
        <v>91</v>
      </c>
    </row>
    <row r="7" spans="1:19" ht="27.6">
      <c r="A7" s="14">
        <v>3</v>
      </c>
      <c r="B7" s="14" t="s">
        <v>7</v>
      </c>
      <c r="C7" s="14" t="s">
        <v>97</v>
      </c>
      <c r="D7" s="14" t="s">
        <v>98</v>
      </c>
      <c r="E7" s="14" t="s">
        <v>98</v>
      </c>
      <c r="F7" s="14" t="s">
        <v>99</v>
      </c>
      <c r="G7" s="14" t="s">
        <v>100</v>
      </c>
      <c r="H7" s="14" t="s">
        <v>33</v>
      </c>
      <c r="I7" s="14" t="s">
        <v>101</v>
      </c>
      <c r="J7" s="15">
        <v>1</v>
      </c>
      <c r="K7" s="15">
        <v>20</v>
      </c>
      <c r="L7" s="15">
        <v>5</v>
      </c>
      <c r="M7" s="15">
        <v>25</v>
      </c>
      <c r="N7" s="14" t="s">
        <v>11</v>
      </c>
      <c r="O7" s="14" t="s">
        <v>102</v>
      </c>
      <c r="P7" s="14" t="s">
        <v>103</v>
      </c>
      <c r="Q7" s="16">
        <v>1229.3438649999998</v>
      </c>
      <c r="R7" s="16">
        <v>30733.596624999995</v>
      </c>
      <c r="S7" s="14" t="s">
        <v>104</v>
      </c>
    </row>
    <row r="8" spans="1:19" ht="27.6">
      <c r="A8" s="14">
        <v>4</v>
      </c>
      <c r="B8" s="14" t="s">
        <v>7</v>
      </c>
      <c r="C8" s="14" t="s">
        <v>44</v>
      </c>
      <c r="D8" s="14" t="s">
        <v>105</v>
      </c>
      <c r="E8" s="14" t="s">
        <v>105</v>
      </c>
      <c r="F8" s="14" t="s">
        <v>106</v>
      </c>
      <c r="G8" s="14" t="s">
        <v>107</v>
      </c>
      <c r="H8" s="14" t="s">
        <v>108</v>
      </c>
      <c r="I8" s="14" t="s">
        <v>109</v>
      </c>
      <c r="J8" s="15">
        <v>1</v>
      </c>
      <c r="K8" s="15">
        <v>20</v>
      </c>
      <c r="L8" s="15">
        <v>5</v>
      </c>
      <c r="M8" s="15">
        <v>25</v>
      </c>
      <c r="N8" s="14" t="s">
        <v>11</v>
      </c>
      <c r="O8" s="14" t="s">
        <v>102</v>
      </c>
      <c r="P8" s="14" t="s">
        <v>110</v>
      </c>
      <c r="Q8" s="16">
        <v>745.26313199999993</v>
      </c>
      <c r="R8" s="16">
        <v>18631.578299999997</v>
      </c>
      <c r="S8" s="14" t="s">
        <v>111</v>
      </c>
    </row>
    <row r="9" spans="1:19" ht="55.2">
      <c r="A9" s="14">
        <v>5</v>
      </c>
      <c r="B9" s="14" t="s">
        <v>7</v>
      </c>
      <c r="C9" s="14" t="s">
        <v>112</v>
      </c>
      <c r="D9" s="14" t="s">
        <v>113</v>
      </c>
      <c r="E9" s="14" t="s">
        <v>113</v>
      </c>
      <c r="F9" s="14" t="s">
        <v>114</v>
      </c>
      <c r="G9" s="14" t="s">
        <v>100</v>
      </c>
      <c r="H9" s="14" t="s">
        <v>115</v>
      </c>
      <c r="I9" s="14" t="s">
        <v>116</v>
      </c>
      <c r="J9" s="15">
        <v>1</v>
      </c>
      <c r="K9" s="15">
        <v>20</v>
      </c>
      <c r="L9" s="15">
        <v>5</v>
      </c>
      <c r="M9" s="15">
        <v>25</v>
      </c>
      <c r="N9" s="14" t="s">
        <v>11</v>
      </c>
      <c r="O9" s="14" t="s">
        <v>102</v>
      </c>
      <c r="P9" s="14" t="s">
        <v>117</v>
      </c>
      <c r="Q9" s="16">
        <v>77.418886999999998</v>
      </c>
      <c r="R9" s="16">
        <v>1935.4721749999999</v>
      </c>
      <c r="S9" s="14" t="s">
        <v>118</v>
      </c>
    </row>
    <row r="10" spans="1:19" ht="55.2">
      <c r="A10" s="14">
        <v>6</v>
      </c>
      <c r="B10" s="14" t="s">
        <v>7</v>
      </c>
      <c r="C10" s="14" t="s">
        <v>119</v>
      </c>
      <c r="D10" s="14" t="s">
        <v>120</v>
      </c>
      <c r="E10" s="14" t="s">
        <v>120</v>
      </c>
      <c r="F10" s="14" t="s">
        <v>121</v>
      </c>
      <c r="G10" s="14" t="s">
        <v>100</v>
      </c>
      <c r="H10" s="14" t="s">
        <v>122</v>
      </c>
      <c r="I10" s="14" t="s">
        <v>123</v>
      </c>
      <c r="J10" s="15">
        <v>1</v>
      </c>
      <c r="K10" s="15">
        <v>20</v>
      </c>
      <c r="L10" s="15">
        <v>5</v>
      </c>
      <c r="M10" s="15">
        <v>25</v>
      </c>
      <c r="N10" s="14" t="s">
        <v>11</v>
      </c>
      <c r="O10" s="14" t="s">
        <v>124</v>
      </c>
      <c r="P10" s="14" t="s">
        <v>125</v>
      </c>
      <c r="Q10" s="16">
        <v>130.16582099999999</v>
      </c>
      <c r="R10" s="16">
        <v>3254.1455249999999</v>
      </c>
      <c r="S10" s="14" t="s">
        <v>126</v>
      </c>
    </row>
    <row r="11" spans="1:19" ht="27.6">
      <c r="A11" s="14">
        <v>7</v>
      </c>
      <c r="B11" s="14" t="s">
        <v>7</v>
      </c>
      <c r="C11" s="14" t="s">
        <v>127</v>
      </c>
      <c r="D11" s="14" t="s">
        <v>128</v>
      </c>
      <c r="E11" s="14" t="s">
        <v>128</v>
      </c>
      <c r="F11" s="14" t="s">
        <v>129</v>
      </c>
      <c r="G11" s="14" t="s">
        <v>87</v>
      </c>
      <c r="H11" s="14" t="s">
        <v>87</v>
      </c>
      <c r="I11" s="14" t="s">
        <v>87</v>
      </c>
      <c r="J11" s="15">
        <v>1</v>
      </c>
      <c r="K11" s="15">
        <v>20</v>
      </c>
      <c r="L11" s="15">
        <v>5</v>
      </c>
      <c r="M11" s="15">
        <v>25</v>
      </c>
      <c r="N11" s="14" t="s">
        <v>17</v>
      </c>
      <c r="O11" s="14" t="s">
        <v>130</v>
      </c>
      <c r="P11" s="14" t="s">
        <v>131</v>
      </c>
      <c r="Q11" s="16">
        <v>29.776494999999997</v>
      </c>
      <c r="R11" s="16">
        <v>744.41237499999988</v>
      </c>
      <c r="S11" s="14" t="s">
        <v>132</v>
      </c>
    </row>
    <row r="12" spans="1:19" ht="27.6">
      <c r="A12" s="14">
        <v>8</v>
      </c>
      <c r="B12" s="14" t="s">
        <v>7</v>
      </c>
      <c r="C12" s="14" t="s">
        <v>133</v>
      </c>
      <c r="D12" s="14" t="s">
        <v>134</v>
      </c>
      <c r="E12" s="14" t="s">
        <v>134</v>
      </c>
      <c r="F12" s="14" t="s">
        <v>135</v>
      </c>
      <c r="G12" s="14" t="s">
        <v>136</v>
      </c>
      <c r="H12" s="14" t="s">
        <v>137</v>
      </c>
      <c r="I12" s="14" t="s">
        <v>138</v>
      </c>
      <c r="J12" s="15">
        <v>1</v>
      </c>
      <c r="K12" s="15">
        <v>20</v>
      </c>
      <c r="L12" s="15">
        <v>5</v>
      </c>
      <c r="M12" s="15">
        <v>25</v>
      </c>
      <c r="N12" s="14" t="s">
        <v>11</v>
      </c>
      <c r="O12" s="14" t="s">
        <v>139</v>
      </c>
      <c r="P12" s="14" t="s">
        <v>140</v>
      </c>
      <c r="Q12" s="16">
        <v>793.75628099999994</v>
      </c>
      <c r="R12" s="16">
        <v>19843.907025</v>
      </c>
      <c r="S12" s="14" t="s">
        <v>141</v>
      </c>
    </row>
    <row r="13" spans="1:19">
      <c r="A13" s="14">
        <v>9</v>
      </c>
      <c r="B13" s="14" t="s">
        <v>7</v>
      </c>
      <c r="C13" s="14" t="s">
        <v>142</v>
      </c>
      <c r="D13" s="14" t="s">
        <v>143</v>
      </c>
      <c r="E13" s="14" t="s">
        <v>144</v>
      </c>
      <c r="F13" s="14" t="s">
        <v>145</v>
      </c>
      <c r="G13" s="14" t="s">
        <v>87</v>
      </c>
      <c r="H13" s="14" t="s">
        <v>87</v>
      </c>
      <c r="I13" s="14" t="s">
        <v>146</v>
      </c>
      <c r="J13" s="15">
        <v>1</v>
      </c>
      <c r="K13" s="15">
        <v>20</v>
      </c>
      <c r="L13" s="15">
        <v>5</v>
      </c>
      <c r="M13" s="15">
        <v>25</v>
      </c>
      <c r="N13" s="14" t="s">
        <v>17</v>
      </c>
      <c r="O13" s="14" t="s">
        <v>147</v>
      </c>
      <c r="P13" s="14" t="s">
        <v>148</v>
      </c>
      <c r="Q13" s="16">
        <v>21.268924999999999</v>
      </c>
      <c r="R13" s="16">
        <v>531.72312499999998</v>
      </c>
      <c r="S13" s="14" t="s">
        <v>132</v>
      </c>
    </row>
    <row r="14" spans="1:19">
      <c r="A14" s="14">
        <v>10</v>
      </c>
      <c r="B14" s="14" t="s">
        <v>7</v>
      </c>
      <c r="C14" s="14" t="s">
        <v>142</v>
      </c>
      <c r="D14" s="14" t="s">
        <v>149</v>
      </c>
      <c r="E14" s="14" t="s">
        <v>150</v>
      </c>
      <c r="F14" s="14" t="s">
        <v>151</v>
      </c>
      <c r="G14" s="14" t="s">
        <v>87</v>
      </c>
      <c r="H14" s="14" t="s">
        <v>87</v>
      </c>
      <c r="I14" s="14" t="s">
        <v>146</v>
      </c>
      <c r="J14" s="15">
        <v>1</v>
      </c>
      <c r="K14" s="15">
        <v>20</v>
      </c>
      <c r="L14" s="15">
        <v>5</v>
      </c>
      <c r="M14" s="15">
        <v>25</v>
      </c>
      <c r="N14" s="14" t="s">
        <v>17</v>
      </c>
      <c r="O14" s="14" t="s">
        <v>147</v>
      </c>
      <c r="P14" s="14" t="s">
        <v>152</v>
      </c>
      <c r="Q14" s="16">
        <v>21.268924999999999</v>
      </c>
      <c r="R14" s="16">
        <v>531.72312499999998</v>
      </c>
      <c r="S14" s="14" t="s">
        <v>132</v>
      </c>
    </row>
    <row r="15" spans="1:19" ht="55.2">
      <c r="A15" s="14">
        <v>11</v>
      </c>
      <c r="B15" s="14" t="s">
        <v>7</v>
      </c>
      <c r="C15" s="14" t="s">
        <v>142</v>
      </c>
      <c r="D15" s="14" t="s">
        <v>153</v>
      </c>
      <c r="E15" s="14" t="s">
        <v>153</v>
      </c>
      <c r="F15" s="14" t="s">
        <v>154</v>
      </c>
      <c r="G15" s="14" t="s">
        <v>155</v>
      </c>
      <c r="H15" s="14" t="s">
        <v>156</v>
      </c>
      <c r="I15" s="14" t="s">
        <v>157</v>
      </c>
      <c r="J15" s="15">
        <v>1</v>
      </c>
      <c r="K15" s="15">
        <v>20</v>
      </c>
      <c r="L15" s="15">
        <v>5</v>
      </c>
      <c r="M15" s="15">
        <v>25</v>
      </c>
      <c r="N15" s="14" t="s">
        <v>22</v>
      </c>
      <c r="O15" s="14" t="s">
        <v>158</v>
      </c>
      <c r="P15" s="14" t="s">
        <v>159</v>
      </c>
      <c r="Q15" s="16">
        <v>57.851476000000005</v>
      </c>
      <c r="R15" s="16">
        <v>1446.2869000000001</v>
      </c>
      <c r="S15" s="14" t="s">
        <v>160</v>
      </c>
    </row>
    <row r="16" spans="1:19" ht="27.6">
      <c r="A16" s="14">
        <v>12</v>
      </c>
      <c r="B16" s="14" t="s">
        <v>7</v>
      </c>
      <c r="C16" s="14" t="s">
        <v>161</v>
      </c>
      <c r="D16" s="14" t="s">
        <v>162</v>
      </c>
      <c r="E16" s="14" t="s">
        <v>163</v>
      </c>
      <c r="F16" s="14" t="s">
        <v>164</v>
      </c>
      <c r="G16" s="14" t="s">
        <v>87</v>
      </c>
      <c r="H16" s="14" t="s">
        <v>87</v>
      </c>
      <c r="I16" s="14" t="s">
        <v>87</v>
      </c>
      <c r="J16" s="15">
        <v>2</v>
      </c>
      <c r="K16" s="15">
        <v>40</v>
      </c>
      <c r="L16" s="15">
        <v>10</v>
      </c>
      <c r="M16" s="15">
        <v>50</v>
      </c>
      <c r="N16" s="14" t="s">
        <v>17</v>
      </c>
      <c r="O16" s="14" t="s">
        <v>130</v>
      </c>
      <c r="P16" s="14" t="s">
        <v>165</v>
      </c>
      <c r="Q16" s="16">
        <v>12.761355</v>
      </c>
      <c r="R16" s="16">
        <v>638.06775000000005</v>
      </c>
      <c r="S16" s="14" t="s">
        <v>132</v>
      </c>
    </row>
    <row r="17" spans="1:19" ht="27.6">
      <c r="A17" s="14">
        <v>13</v>
      </c>
      <c r="B17" s="14" t="s">
        <v>7</v>
      </c>
      <c r="C17" s="14" t="s">
        <v>40</v>
      </c>
      <c r="D17" s="14" t="s">
        <v>166</v>
      </c>
      <c r="E17" s="14" t="s">
        <v>166</v>
      </c>
      <c r="F17" s="14" t="s">
        <v>167</v>
      </c>
      <c r="G17" s="14" t="s">
        <v>168</v>
      </c>
      <c r="H17" s="14" t="s">
        <v>41</v>
      </c>
      <c r="I17" s="14" t="s">
        <v>169</v>
      </c>
      <c r="J17" s="15">
        <v>1</v>
      </c>
      <c r="K17" s="15">
        <v>20</v>
      </c>
      <c r="L17" s="15">
        <v>5</v>
      </c>
      <c r="M17" s="15">
        <v>25</v>
      </c>
      <c r="N17" s="14" t="s">
        <v>11</v>
      </c>
      <c r="O17" s="14" t="s">
        <v>102</v>
      </c>
      <c r="P17" s="14" t="s">
        <v>170</v>
      </c>
      <c r="Q17" s="16">
        <v>901.80241999999998</v>
      </c>
      <c r="R17" s="16">
        <v>22545.0605</v>
      </c>
      <c r="S17" s="14" t="s">
        <v>171</v>
      </c>
    </row>
    <row r="18" spans="1:19" ht="41.4">
      <c r="A18" s="14">
        <v>14</v>
      </c>
      <c r="B18" s="14" t="s">
        <v>7</v>
      </c>
      <c r="C18" s="14" t="s">
        <v>36</v>
      </c>
      <c r="D18" s="14" t="s">
        <v>172</v>
      </c>
      <c r="E18" s="14" t="s">
        <v>172</v>
      </c>
      <c r="F18" s="14" t="s">
        <v>173</v>
      </c>
      <c r="G18" s="14" t="s">
        <v>174</v>
      </c>
      <c r="H18" s="14" t="s">
        <v>175</v>
      </c>
      <c r="I18" s="14" t="s">
        <v>176</v>
      </c>
      <c r="J18" s="15">
        <v>1</v>
      </c>
      <c r="K18" s="15">
        <v>20</v>
      </c>
      <c r="L18" s="15">
        <v>6</v>
      </c>
      <c r="M18" s="15">
        <v>26</v>
      </c>
      <c r="N18" s="14" t="s">
        <v>11</v>
      </c>
      <c r="O18" s="14" t="s">
        <v>177</v>
      </c>
      <c r="P18" s="14" t="s">
        <v>178</v>
      </c>
      <c r="Q18" s="16">
        <v>391.34821999999997</v>
      </c>
      <c r="R18" s="16">
        <v>10175.05372</v>
      </c>
      <c r="S18" s="14" t="s">
        <v>179</v>
      </c>
    </row>
    <row r="19" spans="1:19" ht="55.2">
      <c r="A19" s="14">
        <v>15</v>
      </c>
      <c r="B19" s="14" t="s">
        <v>7</v>
      </c>
      <c r="C19" s="14" t="s">
        <v>38</v>
      </c>
      <c r="D19" s="14" t="s">
        <v>180</v>
      </c>
      <c r="E19" s="14" t="s">
        <v>180</v>
      </c>
      <c r="F19" s="14" t="s">
        <v>181</v>
      </c>
      <c r="G19" s="14" t="s">
        <v>182</v>
      </c>
      <c r="H19" s="14" t="s">
        <v>39</v>
      </c>
      <c r="I19" s="14" t="s">
        <v>183</v>
      </c>
      <c r="J19" s="15">
        <v>1</v>
      </c>
      <c r="K19" s="15">
        <v>20</v>
      </c>
      <c r="L19" s="15">
        <v>5</v>
      </c>
      <c r="M19" s="15">
        <v>25</v>
      </c>
      <c r="N19" s="14" t="s">
        <v>11</v>
      </c>
      <c r="O19" s="14" t="s">
        <v>184</v>
      </c>
      <c r="P19" s="14" t="s">
        <v>185</v>
      </c>
      <c r="Q19" s="16">
        <v>583.61930200000006</v>
      </c>
      <c r="R19" s="16">
        <v>14590.482550000001</v>
      </c>
      <c r="S19" s="14" t="s">
        <v>186</v>
      </c>
    </row>
    <row r="20" spans="1:19" ht="27.6">
      <c r="A20" s="14">
        <v>16</v>
      </c>
      <c r="B20" s="14" t="s">
        <v>7</v>
      </c>
      <c r="C20" s="14" t="s">
        <v>187</v>
      </c>
      <c r="D20" s="14" t="s">
        <v>188</v>
      </c>
      <c r="E20" s="14" t="s">
        <v>188</v>
      </c>
      <c r="F20" s="14" t="s">
        <v>189</v>
      </c>
      <c r="G20" s="14" t="s">
        <v>87</v>
      </c>
      <c r="H20" s="14" t="s">
        <v>87</v>
      </c>
      <c r="I20" s="14" t="s">
        <v>190</v>
      </c>
      <c r="J20" s="15">
        <v>1</v>
      </c>
      <c r="K20" s="15">
        <v>20</v>
      </c>
      <c r="L20" s="15">
        <v>5</v>
      </c>
      <c r="M20" s="15">
        <v>25</v>
      </c>
      <c r="N20" s="14" t="s">
        <v>14</v>
      </c>
      <c r="O20" s="14" t="s">
        <v>89</v>
      </c>
      <c r="P20" s="14" t="s">
        <v>191</v>
      </c>
      <c r="Q20" s="16">
        <v>425.37849999999997</v>
      </c>
      <c r="R20" s="16">
        <v>10634.4625</v>
      </c>
      <c r="S20" s="14" t="s">
        <v>192</v>
      </c>
    </row>
    <row r="21" spans="1:19">
      <c r="A21" s="14">
        <v>17</v>
      </c>
      <c r="B21" s="14" t="s">
        <v>7</v>
      </c>
      <c r="C21" s="14" t="s">
        <v>193</v>
      </c>
      <c r="D21" s="14" t="s">
        <v>194</v>
      </c>
      <c r="E21" s="14" t="s">
        <v>195</v>
      </c>
      <c r="F21" s="14" t="s">
        <v>196</v>
      </c>
      <c r="G21" s="14" t="s">
        <v>87</v>
      </c>
      <c r="H21" s="14" t="s">
        <v>87</v>
      </c>
      <c r="I21" s="14" t="s">
        <v>146</v>
      </c>
      <c r="J21" s="15">
        <v>1</v>
      </c>
      <c r="K21" s="15">
        <v>20</v>
      </c>
      <c r="L21" s="15">
        <v>5</v>
      </c>
      <c r="M21" s="15">
        <v>25</v>
      </c>
      <c r="N21" s="14" t="s">
        <v>17</v>
      </c>
      <c r="O21" s="14" t="s">
        <v>147</v>
      </c>
      <c r="P21" s="14" t="s">
        <v>197</v>
      </c>
      <c r="Q21" s="16">
        <v>29.776494999999997</v>
      </c>
      <c r="R21" s="16">
        <v>744.41237499999988</v>
      </c>
      <c r="S21" s="14" t="s">
        <v>132</v>
      </c>
    </row>
    <row r="22" spans="1:19" ht="27.6">
      <c r="A22" s="14">
        <v>18</v>
      </c>
      <c r="B22" s="14" t="s">
        <v>7</v>
      </c>
      <c r="C22" s="14" t="s">
        <v>193</v>
      </c>
      <c r="D22" s="14" t="s">
        <v>198</v>
      </c>
      <c r="E22" s="14" t="s">
        <v>199</v>
      </c>
      <c r="F22" s="14" t="s">
        <v>200</v>
      </c>
      <c r="G22" s="14" t="s">
        <v>201</v>
      </c>
      <c r="H22" s="14" t="s">
        <v>202</v>
      </c>
      <c r="I22" s="14" t="s">
        <v>203</v>
      </c>
      <c r="J22" s="15">
        <v>1</v>
      </c>
      <c r="K22" s="15">
        <v>20</v>
      </c>
      <c r="L22" s="15">
        <v>5</v>
      </c>
      <c r="M22" s="15">
        <v>25</v>
      </c>
      <c r="N22" s="14" t="s">
        <v>11</v>
      </c>
      <c r="O22" s="14" t="s">
        <v>204</v>
      </c>
      <c r="P22" s="14" t="s">
        <v>205</v>
      </c>
      <c r="Q22" s="16">
        <v>212.68924999999999</v>
      </c>
      <c r="R22" s="16">
        <v>5317.2312499999998</v>
      </c>
      <c r="S22" s="14" t="s">
        <v>132</v>
      </c>
    </row>
    <row r="23" spans="1:19">
      <c r="A23" s="14">
        <v>19</v>
      </c>
      <c r="B23" s="14" t="s">
        <v>7</v>
      </c>
      <c r="C23" s="14" t="s">
        <v>206</v>
      </c>
      <c r="D23" s="14" t="s">
        <v>207</v>
      </c>
      <c r="E23" s="14" t="s">
        <v>208</v>
      </c>
      <c r="F23" s="14" t="s">
        <v>209</v>
      </c>
      <c r="G23" s="14" t="s">
        <v>210</v>
      </c>
      <c r="H23" s="14" t="s">
        <v>87</v>
      </c>
      <c r="I23" s="14" t="s">
        <v>211</v>
      </c>
      <c r="J23" s="15">
        <v>1</v>
      </c>
      <c r="K23" s="15">
        <v>20</v>
      </c>
      <c r="L23" s="15">
        <v>8</v>
      </c>
      <c r="M23" s="15">
        <v>28</v>
      </c>
      <c r="N23" s="14" t="s">
        <v>17</v>
      </c>
      <c r="O23" s="14" t="s">
        <v>212</v>
      </c>
      <c r="P23" s="14" t="s">
        <v>213</v>
      </c>
      <c r="Q23" s="16">
        <v>42.537849999999999</v>
      </c>
      <c r="R23" s="16">
        <v>1191.0598</v>
      </c>
      <c r="S23" s="14" t="s">
        <v>192</v>
      </c>
    </row>
    <row r="24" spans="1:19">
      <c r="A24" s="14">
        <v>20</v>
      </c>
      <c r="B24" s="14" t="s">
        <v>7</v>
      </c>
      <c r="C24" s="14" t="s">
        <v>206</v>
      </c>
      <c r="D24" s="14" t="s">
        <v>214</v>
      </c>
      <c r="E24" s="14" t="s">
        <v>215</v>
      </c>
      <c r="F24" s="14" t="s">
        <v>216</v>
      </c>
      <c r="G24" s="14" t="s">
        <v>210</v>
      </c>
      <c r="H24" s="14" t="s">
        <v>87</v>
      </c>
      <c r="I24" s="14" t="s">
        <v>211</v>
      </c>
      <c r="J24" s="15">
        <v>1</v>
      </c>
      <c r="K24" s="15">
        <v>20</v>
      </c>
      <c r="L24" s="15">
        <v>8</v>
      </c>
      <c r="M24" s="15">
        <v>28</v>
      </c>
      <c r="N24" s="14" t="s">
        <v>17</v>
      </c>
      <c r="O24" s="14" t="s">
        <v>212</v>
      </c>
      <c r="P24" s="14" t="s">
        <v>217</v>
      </c>
      <c r="Q24" s="16">
        <v>42.537849999999999</v>
      </c>
      <c r="R24" s="16">
        <v>1191.0598</v>
      </c>
      <c r="S24" s="14" t="s">
        <v>192</v>
      </c>
    </row>
    <row r="25" spans="1:19">
      <c r="A25" s="14">
        <v>21</v>
      </c>
      <c r="B25" s="14" t="s">
        <v>7</v>
      </c>
      <c r="C25" s="14" t="s">
        <v>206</v>
      </c>
      <c r="D25" s="14" t="s">
        <v>218</v>
      </c>
      <c r="E25" s="14" t="s">
        <v>219</v>
      </c>
      <c r="F25" s="14" t="s">
        <v>220</v>
      </c>
      <c r="G25" s="14" t="s">
        <v>210</v>
      </c>
      <c r="H25" s="14" t="s">
        <v>87</v>
      </c>
      <c r="I25" s="14" t="s">
        <v>211</v>
      </c>
      <c r="J25" s="15">
        <v>1</v>
      </c>
      <c r="K25" s="15">
        <v>20</v>
      </c>
      <c r="L25" s="15">
        <v>8</v>
      </c>
      <c r="M25" s="15">
        <v>28</v>
      </c>
      <c r="N25" s="14" t="s">
        <v>17</v>
      </c>
      <c r="O25" s="14" t="s">
        <v>212</v>
      </c>
      <c r="P25" s="14" t="s">
        <v>221</v>
      </c>
      <c r="Q25" s="16">
        <v>42.537849999999999</v>
      </c>
      <c r="R25" s="16">
        <v>1191.0598</v>
      </c>
      <c r="S25" s="14" t="s">
        <v>192</v>
      </c>
    </row>
    <row r="26" spans="1:19" ht="55.2">
      <c r="A26" s="14">
        <v>22</v>
      </c>
      <c r="B26" s="14" t="s">
        <v>7</v>
      </c>
      <c r="C26" s="14" t="s">
        <v>222</v>
      </c>
      <c r="D26" s="14" t="s">
        <v>223</v>
      </c>
      <c r="E26" s="14" t="s">
        <v>223</v>
      </c>
      <c r="F26" s="14" t="s">
        <v>224</v>
      </c>
      <c r="G26" s="14" t="s">
        <v>225</v>
      </c>
      <c r="H26" s="14" t="s">
        <v>226</v>
      </c>
      <c r="I26" s="14" t="s">
        <v>227</v>
      </c>
      <c r="J26" s="15">
        <v>1</v>
      </c>
      <c r="K26" s="15">
        <v>20</v>
      </c>
      <c r="L26" s="15">
        <v>5</v>
      </c>
      <c r="M26" s="15">
        <v>25</v>
      </c>
      <c r="N26" s="14" t="s">
        <v>22</v>
      </c>
      <c r="O26" s="14" t="s">
        <v>228</v>
      </c>
      <c r="P26" s="14" t="s">
        <v>229</v>
      </c>
      <c r="Q26" s="16">
        <v>95.284784000000002</v>
      </c>
      <c r="R26" s="16">
        <v>2382.1196</v>
      </c>
      <c r="S26" s="14" t="s">
        <v>230</v>
      </c>
    </row>
    <row r="27" spans="1:19" ht="27.6">
      <c r="A27" s="14">
        <v>23</v>
      </c>
      <c r="B27" s="14" t="s">
        <v>8</v>
      </c>
      <c r="C27" s="14" t="s">
        <v>161</v>
      </c>
      <c r="D27" s="14" t="s">
        <v>231</v>
      </c>
      <c r="E27" s="14" t="s">
        <v>232</v>
      </c>
      <c r="F27" s="14" t="s">
        <v>233</v>
      </c>
      <c r="G27" s="14" t="s">
        <v>155</v>
      </c>
      <c r="H27" s="14" t="s">
        <v>234</v>
      </c>
      <c r="I27" s="14" t="s">
        <v>235</v>
      </c>
      <c r="J27" s="15">
        <v>1</v>
      </c>
      <c r="K27" s="15">
        <v>20</v>
      </c>
      <c r="L27" s="15">
        <v>5</v>
      </c>
      <c r="M27" s="15">
        <v>25</v>
      </c>
      <c r="N27" s="14" t="s">
        <v>11</v>
      </c>
      <c r="O27" s="14" t="s">
        <v>236</v>
      </c>
      <c r="P27" s="14" t="s">
        <v>237</v>
      </c>
      <c r="Q27" s="16">
        <v>1131.5068100000001</v>
      </c>
      <c r="R27" s="16">
        <v>28287.670250000003</v>
      </c>
      <c r="S27" s="14" t="s">
        <v>238</v>
      </c>
    </row>
    <row r="28" spans="1:19" ht="41.4">
      <c r="A28" s="14">
        <v>24</v>
      </c>
      <c r="B28" s="14" t="s">
        <v>8</v>
      </c>
      <c r="C28" s="14" t="s">
        <v>161</v>
      </c>
      <c r="D28" s="14" t="s">
        <v>239</v>
      </c>
      <c r="E28" s="14" t="s">
        <v>240</v>
      </c>
      <c r="F28" s="14" t="s">
        <v>241</v>
      </c>
      <c r="G28" s="14" t="s">
        <v>155</v>
      </c>
      <c r="H28" s="14" t="s">
        <v>242</v>
      </c>
      <c r="I28" s="14" t="s">
        <v>243</v>
      </c>
      <c r="J28" s="15">
        <v>1</v>
      </c>
      <c r="K28" s="15">
        <v>20</v>
      </c>
      <c r="L28" s="15">
        <v>5</v>
      </c>
      <c r="M28" s="15">
        <v>25</v>
      </c>
      <c r="N28" s="14" t="s">
        <v>11</v>
      </c>
      <c r="O28" s="14" t="s">
        <v>244</v>
      </c>
      <c r="P28" s="14" t="s">
        <v>245</v>
      </c>
      <c r="Q28" s="16">
        <v>127.61355</v>
      </c>
      <c r="R28" s="16">
        <v>3190.3387499999999</v>
      </c>
      <c r="S28" s="14" t="s">
        <v>246</v>
      </c>
    </row>
    <row r="29" spans="1:19" ht="27.6">
      <c r="A29" s="14">
        <v>25</v>
      </c>
      <c r="B29" s="14" t="s">
        <v>8</v>
      </c>
      <c r="C29" s="14" t="s">
        <v>48</v>
      </c>
      <c r="D29" s="14" t="s">
        <v>247</v>
      </c>
      <c r="E29" s="14" t="s">
        <v>98</v>
      </c>
      <c r="F29" s="14" t="s">
        <v>248</v>
      </c>
      <c r="G29" s="14" t="s">
        <v>155</v>
      </c>
      <c r="H29" s="14" t="s">
        <v>249</v>
      </c>
      <c r="I29" s="14" t="s">
        <v>250</v>
      </c>
      <c r="J29" s="15">
        <v>1</v>
      </c>
      <c r="K29" s="15">
        <v>20</v>
      </c>
      <c r="L29" s="15">
        <v>5</v>
      </c>
      <c r="M29" s="15">
        <v>25</v>
      </c>
      <c r="N29" s="14" t="s">
        <v>11</v>
      </c>
      <c r="O29" s="14" t="s">
        <v>251</v>
      </c>
      <c r="P29" s="14" t="s">
        <v>252</v>
      </c>
      <c r="Q29" s="16">
        <v>224.59984800000001</v>
      </c>
      <c r="R29" s="16">
        <v>5614.9962000000005</v>
      </c>
      <c r="S29" s="14" t="s">
        <v>253</v>
      </c>
    </row>
    <row r="30" spans="1:19" ht="27.6">
      <c r="A30" s="14">
        <v>26</v>
      </c>
      <c r="B30" s="14" t="s">
        <v>8</v>
      </c>
      <c r="C30" s="14" t="s">
        <v>48</v>
      </c>
      <c r="D30" s="14" t="s">
        <v>254</v>
      </c>
      <c r="E30" s="14" t="s">
        <v>105</v>
      </c>
      <c r="F30" s="14" t="s">
        <v>255</v>
      </c>
      <c r="G30" s="14" t="s">
        <v>155</v>
      </c>
      <c r="H30" s="14" t="s">
        <v>249</v>
      </c>
      <c r="I30" s="14" t="s">
        <v>250</v>
      </c>
      <c r="J30" s="15">
        <v>1</v>
      </c>
      <c r="K30" s="15">
        <v>20</v>
      </c>
      <c r="L30" s="15">
        <v>5</v>
      </c>
      <c r="M30" s="15">
        <v>25</v>
      </c>
      <c r="N30" s="14" t="s">
        <v>11</v>
      </c>
      <c r="O30" s="14" t="s">
        <v>251</v>
      </c>
      <c r="P30" s="14" t="s">
        <v>256</v>
      </c>
      <c r="Q30" s="16">
        <v>224.59984800000001</v>
      </c>
      <c r="R30" s="16">
        <v>5614.9962000000005</v>
      </c>
      <c r="S30" s="14" t="s">
        <v>253</v>
      </c>
    </row>
    <row r="31" spans="1:19" ht="69">
      <c r="A31" s="14">
        <v>27</v>
      </c>
      <c r="B31" s="14" t="s">
        <v>8</v>
      </c>
      <c r="C31" s="14" t="s">
        <v>48</v>
      </c>
      <c r="D31" s="14" t="s">
        <v>257</v>
      </c>
      <c r="E31" s="14" t="s">
        <v>113</v>
      </c>
      <c r="F31" s="14" t="s">
        <v>258</v>
      </c>
      <c r="G31" s="14" t="s">
        <v>155</v>
      </c>
      <c r="H31" s="14" t="s">
        <v>259</v>
      </c>
      <c r="I31" s="14" t="s">
        <v>260</v>
      </c>
      <c r="J31" s="15">
        <v>1</v>
      </c>
      <c r="K31" s="15">
        <v>20</v>
      </c>
      <c r="L31" s="15">
        <v>5</v>
      </c>
      <c r="M31" s="15">
        <v>25</v>
      </c>
      <c r="N31" s="14" t="s">
        <v>11</v>
      </c>
      <c r="O31" s="14" t="s">
        <v>261</v>
      </c>
      <c r="P31" s="14" t="s">
        <v>262</v>
      </c>
      <c r="Q31" s="16">
        <v>17.865897</v>
      </c>
      <c r="R31" s="16">
        <v>446.647425</v>
      </c>
      <c r="S31" s="14" t="s">
        <v>263</v>
      </c>
    </row>
    <row r="32" spans="1:19" ht="27.6">
      <c r="A32" s="14">
        <v>28</v>
      </c>
      <c r="B32" s="14" t="s">
        <v>8</v>
      </c>
      <c r="C32" s="14" t="s">
        <v>50</v>
      </c>
      <c r="D32" s="14" t="s">
        <v>264</v>
      </c>
      <c r="E32" s="14" t="s">
        <v>120</v>
      </c>
      <c r="F32" s="14" t="s">
        <v>265</v>
      </c>
      <c r="G32" s="14" t="s">
        <v>155</v>
      </c>
      <c r="H32" s="14" t="s">
        <v>266</v>
      </c>
      <c r="I32" s="14" t="s">
        <v>267</v>
      </c>
      <c r="J32" s="15">
        <v>1</v>
      </c>
      <c r="K32" s="15">
        <v>20</v>
      </c>
      <c r="L32" s="15">
        <v>5</v>
      </c>
      <c r="M32" s="15">
        <v>25</v>
      </c>
      <c r="N32" s="14" t="s">
        <v>11</v>
      </c>
      <c r="O32" s="14" t="s">
        <v>268</v>
      </c>
      <c r="P32" s="14" t="s">
        <v>269</v>
      </c>
      <c r="Q32" s="16">
        <v>51.896176999999994</v>
      </c>
      <c r="R32" s="16">
        <v>1297.4044249999999</v>
      </c>
      <c r="S32" s="14" t="s">
        <v>270</v>
      </c>
    </row>
    <row r="33" spans="1:19" ht="27.6">
      <c r="A33" s="14">
        <v>29</v>
      </c>
      <c r="B33" s="14" t="s">
        <v>8</v>
      </c>
      <c r="C33" s="14" t="s">
        <v>271</v>
      </c>
      <c r="D33" s="14" t="s">
        <v>272</v>
      </c>
      <c r="E33" s="14" t="s">
        <v>273</v>
      </c>
      <c r="F33" s="14" t="s">
        <v>274</v>
      </c>
      <c r="G33" s="14" t="s">
        <v>87</v>
      </c>
      <c r="H33" s="14" t="s">
        <v>87</v>
      </c>
      <c r="I33" s="14" t="s">
        <v>275</v>
      </c>
      <c r="J33" s="15">
        <v>1</v>
      </c>
      <c r="K33" s="15">
        <v>20</v>
      </c>
      <c r="L33" s="15">
        <v>10</v>
      </c>
      <c r="M33" s="15">
        <v>30</v>
      </c>
      <c r="N33" s="14" t="s">
        <v>22</v>
      </c>
      <c r="O33" s="14" t="s">
        <v>276</v>
      </c>
      <c r="P33" s="14" t="s">
        <v>277</v>
      </c>
      <c r="Q33" s="16">
        <v>42.537849999999999</v>
      </c>
      <c r="R33" s="16">
        <v>1276.1354999999999</v>
      </c>
      <c r="S33" s="14" t="s">
        <v>132</v>
      </c>
    </row>
    <row r="34" spans="1:19" ht="27.6">
      <c r="A34" s="14">
        <v>30</v>
      </c>
      <c r="B34" s="14" t="s">
        <v>8</v>
      </c>
      <c r="C34" s="14" t="s">
        <v>193</v>
      </c>
      <c r="D34" s="14" t="s">
        <v>278</v>
      </c>
      <c r="E34" s="14" t="s">
        <v>279</v>
      </c>
      <c r="F34" s="14" t="s">
        <v>280</v>
      </c>
      <c r="G34" s="14" t="s">
        <v>201</v>
      </c>
      <c r="H34" s="14" t="s">
        <v>202</v>
      </c>
      <c r="I34" s="14" t="s">
        <v>203</v>
      </c>
      <c r="J34" s="15">
        <v>1</v>
      </c>
      <c r="K34" s="15">
        <v>20</v>
      </c>
      <c r="L34" s="15">
        <v>5</v>
      </c>
      <c r="M34" s="15">
        <v>25</v>
      </c>
      <c r="N34" s="14" t="s">
        <v>11</v>
      </c>
      <c r="O34" s="14" t="s">
        <v>204</v>
      </c>
      <c r="P34" s="14" t="s">
        <v>281</v>
      </c>
      <c r="Q34" s="16">
        <v>212.68924999999999</v>
      </c>
      <c r="R34" s="16">
        <v>5317.2312499999998</v>
      </c>
      <c r="S34" s="14" t="s">
        <v>132</v>
      </c>
    </row>
    <row r="35" spans="1:19" ht="27.6">
      <c r="A35" s="14">
        <v>31</v>
      </c>
      <c r="B35" s="14" t="s">
        <v>8</v>
      </c>
      <c r="C35" s="14" t="s">
        <v>161</v>
      </c>
      <c r="D35" s="14" t="s">
        <v>282</v>
      </c>
      <c r="E35" s="14" t="s">
        <v>283</v>
      </c>
      <c r="F35" s="14" t="s">
        <v>284</v>
      </c>
      <c r="G35" s="14" t="s">
        <v>285</v>
      </c>
      <c r="H35" s="14" t="s">
        <v>286</v>
      </c>
      <c r="I35" s="14" t="s">
        <v>287</v>
      </c>
      <c r="J35" s="15">
        <v>1</v>
      </c>
      <c r="K35" s="15">
        <v>20</v>
      </c>
      <c r="L35" s="15">
        <v>5</v>
      </c>
      <c r="M35" s="15">
        <v>25</v>
      </c>
      <c r="N35" s="14" t="s">
        <v>22</v>
      </c>
      <c r="O35" s="14" t="s">
        <v>288</v>
      </c>
      <c r="P35" s="14" t="s">
        <v>289</v>
      </c>
      <c r="Q35" s="16">
        <v>8.5075699999999994</v>
      </c>
      <c r="R35" s="16">
        <v>212.68924999999999</v>
      </c>
      <c r="S35" s="14" t="s">
        <v>132</v>
      </c>
    </row>
    <row r="36" spans="1:19" ht="27.6">
      <c r="A36" s="14">
        <v>32</v>
      </c>
      <c r="B36" s="14" t="s">
        <v>8</v>
      </c>
      <c r="C36" s="14" t="s">
        <v>161</v>
      </c>
      <c r="D36" s="14" t="s">
        <v>290</v>
      </c>
      <c r="E36" s="14" t="s">
        <v>291</v>
      </c>
      <c r="F36" s="14" t="s">
        <v>292</v>
      </c>
      <c r="G36" s="14" t="s">
        <v>285</v>
      </c>
      <c r="H36" s="14" t="s">
        <v>293</v>
      </c>
      <c r="I36" s="14" t="s">
        <v>294</v>
      </c>
      <c r="J36" s="15">
        <v>1</v>
      </c>
      <c r="K36" s="15">
        <v>20</v>
      </c>
      <c r="L36" s="15">
        <v>10</v>
      </c>
      <c r="M36" s="15">
        <v>30</v>
      </c>
      <c r="N36" s="14" t="s">
        <v>22</v>
      </c>
      <c r="O36" s="14" t="s">
        <v>295</v>
      </c>
      <c r="P36" s="14" t="s">
        <v>296</v>
      </c>
      <c r="Q36" s="16">
        <v>21.268924999999999</v>
      </c>
      <c r="R36" s="16">
        <v>638.06774999999993</v>
      </c>
      <c r="S36" s="14" t="s">
        <v>132</v>
      </c>
    </row>
    <row r="37" spans="1:19" ht="27.6">
      <c r="A37" s="14">
        <v>33</v>
      </c>
      <c r="B37" s="14" t="s">
        <v>8</v>
      </c>
      <c r="C37" s="14" t="s">
        <v>82</v>
      </c>
      <c r="D37" s="14" t="s">
        <v>297</v>
      </c>
      <c r="E37" s="14" t="s">
        <v>84</v>
      </c>
      <c r="F37" s="14" t="s">
        <v>298</v>
      </c>
      <c r="G37" s="14" t="s">
        <v>86</v>
      </c>
      <c r="H37" s="14" t="s">
        <v>87</v>
      </c>
      <c r="I37" s="14" t="s">
        <v>299</v>
      </c>
      <c r="J37" s="15">
        <v>1</v>
      </c>
      <c r="K37" s="15">
        <v>20</v>
      </c>
      <c r="L37" s="15">
        <v>2</v>
      </c>
      <c r="M37" s="15">
        <v>22</v>
      </c>
      <c r="N37" s="14" t="s">
        <v>14</v>
      </c>
      <c r="O37" s="14" t="s">
        <v>89</v>
      </c>
      <c r="P37" s="14" t="s">
        <v>300</v>
      </c>
      <c r="Q37" s="16">
        <v>680.60559999999998</v>
      </c>
      <c r="R37" s="16">
        <v>14973.323199999999</v>
      </c>
      <c r="S37" s="14" t="s">
        <v>91</v>
      </c>
    </row>
    <row r="38" spans="1:19" ht="27.6">
      <c r="A38" s="14">
        <v>34</v>
      </c>
      <c r="B38" s="14" t="s">
        <v>8</v>
      </c>
      <c r="C38" s="14" t="s">
        <v>92</v>
      </c>
      <c r="D38" s="14" t="s">
        <v>8</v>
      </c>
      <c r="E38" s="14" t="s">
        <v>84</v>
      </c>
      <c r="F38" s="14" t="s">
        <v>301</v>
      </c>
      <c r="G38" s="14" t="s">
        <v>94</v>
      </c>
      <c r="H38" s="14" t="s">
        <v>87</v>
      </c>
      <c r="I38" s="14" t="s">
        <v>299</v>
      </c>
      <c r="J38" s="15">
        <v>1</v>
      </c>
      <c r="K38" s="15">
        <v>20</v>
      </c>
      <c r="L38" s="15">
        <v>5</v>
      </c>
      <c r="M38" s="15">
        <v>25</v>
      </c>
      <c r="N38" s="14" t="s">
        <v>14</v>
      </c>
      <c r="O38" s="14" t="s">
        <v>89</v>
      </c>
      <c r="P38" s="14" t="s">
        <v>302</v>
      </c>
      <c r="Q38" s="16">
        <v>255.22710000000001</v>
      </c>
      <c r="R38" s="16">
        <v>6380.6774999999998</v>
      </c>
      <c r="S38" s="14" t="s">
        <v>91</v>
      </c>
    </row>
    <row r="39" spans="1:19" ht="27.6">
      <c r="A39" s="14">
        <v>35</v>
      </c>
      <c r="B39" s="14" t="s">
        <v>9</v>
      </c>
      <c r="C39" s="14" t="s">
        <v>82</v>
      </c>
      <c r="D39" s="14" t="s">
        <v>303</v>
      </c>
      <c r="E39" s="14" t="s">
        <v>84</v>
      </c>
      <c r="F39" s="14" t="s">
        <v>304</v>
      </c>
      <c r="G39" s="14" t="s">
        <v>86</v>
      </c>
      <c r="H39" s="14" t="s">
        <v>87</v>
      </c>
      <c r="I39" s="14" t="s">
        <v>305</v>
      </c>
      <c r="J39" s="15">
        <v>4</v>
      </c>
      <c r="K39" s="15">
        <v>80</v>
      </c>
      <c r="L39" s="15">
        <v>8</v>
      </c>
      <c r="M39" s="15">
        <v>88</v>
      </c>
      <c r="N39" s="14" t="s">
        <v>14</v>
      </c>
      <c r="O39" s="14" t="s">
        <v>89</v>
      </c>
      <c r="P39" s="14" t="s">
        <v>306</v>
      </c>
      <c r="Q39" s="16">
        <v>340.30279999999999</v>
      </c>
      <c r="R39" s="16">
        <v>29946.646399999998</v>
      </c>
      <c r="S39" s="14" t="s">
        <v>91</v>
      </c>
    </row>
    <row r="40" spans="1:19" ht="27.6">
      <c r="A40" s="14">
        <v>36</v>
      </c>
      <c r="B40" s="14" t="s">
        <v>9</v>
      </c>
      <c r="C40" s="14" t="s">
        <v>92</v>
      </c>
      <c r="D40" s="14" t="s">
        <v>9</v>
      </c>
      <c r="E40" s="14" t="s">
        <v>84</v>
      </c>
      <c r="F40" s="14" t="s">
        <v>307</v>
      </c>
      <c r="G40" s="14" t="s">
        <v>94</v>
      </c>
      <c r="H40" s="14" t="s">
        <v>87</v>
      </c>
      <c r="I40" s="14" t="s">
        <v>308</v>
      </c>
      <c r="J40" s="15">
        <v>4</v>
      </c>
      <c r="K40" s="15">
        <v>80</v>
      </c>
      <c r="L40" s="15">
        <v>20</v>
      </c>
      <c r="M40" s="15">
        <v>100</v>
      </c>
      <c r="N40" s="14" t="s">
        <v>14</v>
      </c>
      <c r="O40" s="14" t="s">
        <v>89</v>
      </c>
      <c r="P40" s="14" t="s">
        <v>309</v>
      </c>
      <c r="Q40" s="16">
        <v>127.61355</v>
      </c>
      <c r="R40" s="16">
        <v>12761.355</v>
      </c>
      <c r="S40" s="14" t="s">
        <v>91</v>
      </c>
    </row>
    <row r="41" spans="1:19" ht="41.4">
      <c r="A41" s="14">
        <v>37</v>
      </c>
      <c r="B41" s="14" t="s">
        <v>9</v>
      </c>
      <c r="C41" s="14" t="s">
        <v>310</v>
      </c>
      <c r="D41" s="14" t="s">
        <v>311</v>
      </c>
      <c r="E41" s="14" t="s">
        <v>311</v>
      </c>
      <c r="F41" s="14" t="s">
        <v>312</v>
      </c>
      <c r="G41" s="14" t="s">
        <v>313</v>
      </c>
      <c r="H41" s="14" t="s">
        <v>314</v>
      </c>
      <c r="I41" s="14" t="s">
        <v>315</v>
      </c>
      <c r="J41" s="15">
        <v>4</v>
      </c>
      <c r="K41" s="15">
        <v>80</v>
      </c>
      <c r="L41" s="15">
        <v>16</v>
      </c>
      <c r="M41" s="15">
        <v>96</v>
      </c>
      <c r="N41" s="14" t="s">
        <v>11</v>
      </c>
      <c r="O41" s="14" t="s">
        <v>102</v>
      </c>
      <c r="P41" s="14" t="s">
        <v>316</v>
      </c>
      <c r="Q41" s="16">
        <v>133.568849</v>
      </c>
      <c r="R41" s="16">
        <v>12822.609504</v>
      </c>
      <c r="S41" s="14" t="s">
        <v>317</v>
      </c>
    </row>
    <row r="42" spans="1:19" ht="27.6">
      <c r="A42" s="14">
        <v>38</v>
      </c>
      <c r="B42" s="14" t="s">
        <v>9</v>
      </c>
      <c r="C42" s="14" t="s">
        <v>318</v>
      </c>
      <c r="D42" s="14" t="s">
        <v>319</v>
      </c>
      <c r="E42" s="14" t="s">
        <v>320</v>
      </c>
      <c r="F42" s="14" t="s">
        <v>321</v>
      </c>
      <c r="G42" s="14" t="s">
        <v>87</v>
      </c>
      <c r="H42" s="14" t="s">
        <v>87</v>
      </c>
      <c r="I42" s="14" t="s">
        <v>322</v>
      </c>
      <c r="J42" s="15">
        <v>8</v>
      </c>
      <c r="K42" s="15">
        <v>160</v>
      </c>
      <c r="L42" s="15">
        <v>40</v>
      </c>
      <c r="M42" s="15">
        <v>200</v>
      </c>
      <c r="N42" s="14" t="s">
        <v>17</v>
      </c>
      <c r="O42" s="14" t="s">
        <v>130</v>
      </c>
      <c r="P42" s="14" t="s">
        <v>323</v>
      </c>
      <c r="Q42" s="16">
        <v>1.701514</v>
      </c>
      <c r="R42" s="16">
        <v>340.30279999999999</v>
      </c>
      <c r="S42" s="14" t="s">
        <v>132</v>
      </c>
    </row>
    <row r="43" spans="1:19" ht="41.4">
      <c r="A43" s="14">
        <v>39</v>
      </c>
      <c r="B43" s="14" t="s">
        <v>9</v>
      </c>
      <c r="C43" s="14" t="s">
        <v>193</v>
      </c>
      <c r="D43" s="14" t="s">
        <v>324</v>
      </c>
      <c r="E43" s="14" t="s">
        <v>325</v>
      </c>
      <c r="F43" s="14" t="s">
        <v>326</v>
      </c>
      <c r="G43" s="14" t="s">
        <v>201</v>
      </c>
      <c r="H43" s="14" t="s">
        <v>327</v>
      </c>
      <c r="I43" s="14" t="s">
        <v>328</v>
      </c>
      <c r="J43" s="15">
        <v>4</v>
      </c>
      <c r="K43" s="15">
        <v>80</v>
      </c>
      <c r="L43" s="15">
        <v>12</v>
      </c>
      <c r="M43" s="15">
        <v>92</v>
      </c>
      <c r="N43" s="14" t="s">
        <v>11</v>
      </c>
      <c r="O43" s="14" t="s">
        <v>329</v>
      </c>
      <c r="P43" s="14" t="s">
        <v>330</v>
      </c>
      <c r="Q43" s="16">
        <v>22.119682000000001</v>
      </c>
      <c r="R43" s="16">
        <v>2035.0107440000002</v>
      </c>
      <c r="S43" s="14" t="s">
        <v>331</v>
      </c>
    </row>
    <row r="44" spans="1:19" ht="27.6">
      <c r="A44" s="14">
        <v>40</v>
      </c>
      <c r="B44" s="14" t="s">
        <v>10</v>
      </c>
      <c r="C44" s="14" t="s">
        <v>332</v>
      </c>
      <c r="D44" s="14" t="s">
        <v>333</v>
      </c>
      <c r="E44" s="14" t="s">
        <v>334</v>
      </c>
      <c r="F44" s="14" t="s">
        <v>335</v>
      </c>
      <c r="G44" s="14" t="s">
        <v>87</v>
      </c>
      <c r="H44" s="14" t="s">
        <v>87</v>
      </c>
      <c r="I44" s="14" t="s">
        <v>336</v>
      </c>
      <c r="J44" s="15">
        <v>1</v>
      </c>
      <c r="K44" s="15">
        <v>20</v>
      </c>
      <c r="L44" s="15">
        <v>1</v>
      </c>
      <c r="M44" s="15">
        <v>21</v>
      </c>
      <c r="N44" s="14" t="s">
        <v>14</v>
      </c>
      <c r="O44" s="14" t="s">
        <v>89</v>
      </c>
      <c r="P44" s="14" t="s">
        <v>337</v>
      </c>
      <c r="Q44" s="16">
        <v>5529.9205000000002</v>
      </c>
      <c r="R44" s="16">
        <v>116128.33050000001</v>
      </c>
      <c r="S44" s="14" t="s">
        <v>338</v>
      </c>
    </row>
    <row r="45" spans="1:19" ht="27.6">
      <c r="A45" s="14">
        <v>41</v>
      </c>
      <c r="B45" s="14" t="s">
        <v>10</v>
      </c>
      <c r="C45" s="14" t="s">
        <v>339</v>
      </c>
      <c r="D45" s="14" t="s">
        <v>340</v>
      </c>
      <c r="E45" s="14" t="s">
        <v>340</v>
      </c>
      <c r="F45" s="14" t="s">
        <v>341</v>
      </c>
      <c r="G45" s="14" t="s">
        <v>87</v>
      </c>
      <c r="H45" s="14" t="s">
        <v>87</v>
      </c>
      <c r="I45" s="14" t="s">
        <v>342</v>
      </c>
      <c r="J45" s="15">
        <v>1</v>
      </c>
      <c r="K45" s="15">
        <v>20</v>
      </c>
      <c r="L45" s="15">
        <v>1</v>
      </c>
      <c r="M45" s="15">
        <v>21</v>
      </c>
      <c r="N45" s="14" t="s">
        <v>14</v>
      </c>
      <c r="O45" s="14" t="s">
        <v>89</v>
      </c>
      <c r="P45" s="14" t="s">
        <v>343</v>
      </c>
      <c r="Q45" s="16">
        <v>1063.44625</v>
      </c>
      <c r="R45" s="16">
        <v>22332.37125</v>
      </c>
      <c r="S45" s="14" t="s">
        <v>344</v>
      </c>
    </row>
    <row r="46" spans="1:19" ht="27.6">
      <c r="A46" s="14">
        <v>42</v>
      </c>
      <c r="B46" s="14" t="s">
        <v>10</v>
      </c>
      <c r="C46" s="14" t="s">
        <v>345</v>
      </c>
      <c r="D46" s="14" t="s">
        <v>346</v>
      </c>
      <c r="E46" s="14" t="s">
        <v>347</v>
      </c>
      <c r="F46" s="14" t="s">
        <v>348</v>
      </c>
      <c r="G46" s="14" t="s">
        <v>87</v>
      </c>
      <c r="H46" s="14" t="s">
        <v>87</v>
      </c>
      <c r="I46" s="14" t="s">
        <v>349</v>
      </c>
      <c r="J46" s="15">
        <v>1</v>
      </c>
      <c r="K46" s="15">
        <v>20</v>
      </c>
      <c r="L46" s="15">
        <v>1</v>
      </c>
      <c r="M46" s="15">
        <v>21</v>
      </c>
      <c r="N46" s="14" t="s">
        <v>14</v>
      </c>
      <c r="O46" s="14" t="s">
        <v>89</v>
      </c>
      <c r="P46" s="14" t="s">
        <v>350</v>
      </c>
      <c r="Q46" s="16">
        <v>1701.5139999999999</v>
      </c>
      <c r="R46" s="16">
        <v>35731.793999999994</v>
      </c>
      <c r="S46" s="14" t="s">
        <v>351</v>
      </c>
    </row>
    <row r="47" spans="1:19" ht="27.6">
      <c r="A47" s="14">
        <v>43</v>
      </c>
      <c r="B47" s="14" t="s">
        <v>10</v>
      </c>
      <c r="C47" s="14" t="s">
        <v>352</v>
      </c>
      <c r="D47" s="14" t="s">
        <v>353</v>
      </c>
      <c r="E47" s="14" t="s">
        <v>354</v>
      </c>
      <c r="F47" s="14" t="s">
        <v>355</v>
      </c>
      <c r="G47" s="14" t="s">
        <v>87</v>
      </c>
      <c r="H47" s="14" t="s">
        <v>87</v>
      </c>
      <c r="I47" s="14" t="s">
        <v>356</v>
      </c>
      <c r="J47" s="15">
        <v>1</v>
      </c>
      <c r="K47" s="15">
        <v>20</v>
      </c>
      <c r="L47" s="15">
        <v>2</v>
      </c>
      <c r="M47" s="15">
        <v>22</v>
      </c>
      <c r="N47" s="14" t="s">
        <v>14</v>
      </c>
      <c r="O47" s="14" t="s">
        <v>89</v>
      </c>
      <c r="P47" s="14" t="s">
        <v>357</v>
      </c>
      <c r="Q47" s="16">
        <v>595.5299</v>
      </c>
      <c r="R47" s="16">
        <v>13101.657800000001</v>
      </c>
      <c r="S47" s="14" t="s">
        <v>358</v>
      </c>
    </row>
    <row r="48" spans="1:19" ht="27.6">
      <c r="A48" s="14">
        <v>44</v>
      </c>
      <c r="B48" s="14" t="s">
        <v>10</v>
      </c>
      <c r="C48" s="14" t="s">
        <v>352</v>
      </c>
      <c r="D48" s="14" t="s">
        <v>359</v>
      </c>
      <c r="E48" s="14" t="s">
        <v>360</v>
      </c>
      <c r="F48" s="14" t="s">
        <v>361</v>
      </c>
      <c r="G48" s="14" t="s">
        <v>87</v>
      </c>
      <c r="H48" s="14" t="s">
        <v>87</v>
      </c>
      <c r="I48" s="14" t="s">
        <v>356</v>
      </c>
      <c r="J48" s="15">
        <v>1</v>
      </c>
      <c r="K48" s="15">
        <v>20</v>
      </c>
      <c r="L48" s="15">
        <v>2</v>
      </c>
      <c r="M48" s="15">
        <v>22</v>
      </c>
      <c r="N48" s="14" t="s">
        <v>14</v>
      </c>
      <c r="O48" s="14" t="s">
        <v>89</v>
      </c>
      <c r="P48" s="14" t="s">
        <v>362</v>
      </c>
      <c r="Q48" s="16">
        <v>255.22710000000001</v>
      </c>
      <c r="R48" s="16">
        <v>5614.9962000000005</v>
      </c>
      <c r="S48" s="14" t="s">
        <v>363</v>
      </c>
    </row>
    <row r="49" spans="1:19" ht="27.6">
      <c r="A49" s="14">
        <v>45</v>
      </c>
      <c r="B49" s="14" t="s">
        <v>10</v>
      </c>
      <c r="C49" s="14" t="s">
        <v>352</v>
      </c>
      <c r="D49" s="14" t="s">
        <v>364</v>
      </c>
      <c r="E49" s="14" t="s">
        <v>365</v>
      </c>
      <c r="F49" s="14" t="s">
        <v>366</v>
      </c>
      <c r="G49" s="14" t="s">
        <v>87</v>
      </c>
      <c r="H49" s="14" t="s">
        <v>87</v>
      </c>
      <c r="I49" s="14" t="s">
        <v>356</v>
      </c>
      <c r="J49" s="15">
        <v>1</v>
      </c>
      <c r="K49" s="15">
        <v>20</v>
      </c>
      <c r="L49" s="15">
        <v>2</v>
      </c>
      <c r="M49" s="15">
        <v>22</v>
      </c>
      <c r="N49" s="14" t="s">
        <v>14</v>
      </c>
      <c r="O49" s="14" t="s">
        <v>89</v>
      </c>
      <c r="P49" s="14" t="s">
        <v>367</v>
      </c>
      <c r="Q49" s="16">
        <v>1020.9084</v>
      </c>
      <c r="R49" s="16">
        <v>22459.984800000002</v>
      </c>
      <c r="S49" s="14" t="s">
        <v>368</v>
      </c>
    </row>
    <row r="50" spans="1:19" ht="55.2">
      <c r="A50" s="14">
        <v>46</v>
      </c>
      <c r="B50" s="14" t="s">
        <v>10</v>
      </c>
      <c r="C50" s="14" t="s">
        <v>369</v>
      </c>
      <c r="D50" s="14" t="s">
        <v>370</v>
      </c>
      <c r="E50" s="14" t="s">
        <v>84</v>
      </c>
      <c r="F50" s="14" t="s">
        <v>371</v>
      </c>
      <c r="G50" s="14" t="s">
        <v>87</v>
      </c>
      <c r="H50" s="14" t="s">
        <v>87</v>
      </c>
      <c r="I50" s="14" t="s">
        <v>372</v>
      </c>
      <c r="J50" s="15">
        <v>1</v>
      </c>
      <c r="K50" s="15">
        <v>20</v>
      </c>
      <c r="L50" s="15">
        <v>2</v>
      </c>
      <c r="M50" s="15">
        <v>22</v>
      </c>
      <c r="N50" s="14" t="s">
        <v>17</v>
      </c>
      <c r="O50" s="14" t="s">
        <v>373</v>
      </c>
      <c r="P50" s="14" t="s">
        <v>374</v>
      </c>
      <c r="Q50" s="16">
        <v>1413.1073769999998</v>
      </c>
      <c r="R50" s="16">
        <v>31088.362293999995</v>
      </c>
      <c r="S50" s="14" t="s">
        <v>375</v>
      </c>
    </row>
    <row r="51" spans="1:19" ht="27.6">
      <c r="A51" s="14">
        <v>47</v>
      </c>
      <c r="B51" s="14" t="s">
        <v>10</v>
      </c>
      <c r="C51" s="14" t="s">
        <v>46</v>
      </c>
      <c r="D51" s="14" t="s">
        <v>376</v>
      </c>
      <c r="E51" s="14" t="s">
        <v>377</v>
      </c>
      <c r="F51" s="14" t="s">
        <v>378</v>
      </c>
      <c r="G51" s="14" t="s">
        <v>87</v>
      </c>
      <c r="H51" s="14" t="s">
        <v>87</v>
      </c>
      <c r="I51" s="14" t="s">
        <v>372</v>
      </c>
      <c r="J51" s="15">
        <v>1</v>
      </c>
      <c r="K51" s="15">
        <v>20</v>
      </c>
      <c r="L51" s="15">
        <v>0</v>
      </c>
      <c r="M51" s="15">
        <v>20</v>
      </c>
      <c r="N51" s="14" t="s">
        <v>14</v>
      </c>
      <c r="O51" s="14" t="s">
        <v>89</v>
      </c>
      <c r="P51" s="14" t="s">
        <v>379</v>
      </c>
      <c r="Q51" s="16">
        <v>2977.6495</v>
      </c>
      <c r="R51" s="16">
        <v>59552.99</v>
      </c>
      <c r="S51" s="14" t="s">
        <v>380</v>
      </c>
    </row>
    <row r="52" spans="1:19" ht="27.6">
      <c r="A52" s="14">
        <v>48</v>
      </c>
      <c r="B52" s="14" t="s">
        <v>10</v>
      </c>
      <c r="C52" s="14" t="s">
        <v>46</v>
      </c>
      <c r="D52" s="14" t="s">
        <v>381</v>
      </c>
      <c r="E52" s="14" t="s">
        <v>377</v>
      </c>
      <c r="F52" s="14" t="s">
        <v>382</v>
      </c>
      <c r="G52" s="14" t="s">
        <v>87</v>
      </c>
      <c r="H52" s="14" t="s">
        <v>87</v>
      </c>
      <c r="I52" s="14" t="s">
        <v>372</v>
      </c>
      <c r="J52" s="15">
        <v>0</v>
      </c>
      <c r="K52" s="15">
        <v>0</v>
      </c>
      <c r="L52" s="15">
        <v>0</v>
      </c>
      <c r="M52" s="15">
        <v>0</v>
      </c>
      <c r="N52" s="14" t="s">
        <v>27</v>
      </c>
      <c r="O52" s="14" t="s">
        <v>383</v>
      </c>
      <c r="P52" s="14" t="s">
        <v>384</v>
      </c>
      <c r="Q52" s="16">
        <v>0</v>
      </c>
      <c r="R52" s="16">
        <v>0</v>
      </c>
      <c r="S52" s="14" t="s">
        <v>192</v>
      </c>
    </row>
    <row r="53" spans="1:19" ht="27.6">
      <c r="A53" s="14">
        <v>49</v>
      </c>
      <c r="B53" s="14" t="s">
        <v>10</v>
      </c>
      <c r="C53" s="14" t="s">
        <v>46</v>
      </c>
      <c r="D53" s="14" t="s">
        <v>385</v>
      </c>
      <c r="E53" s="14" t="s">
        <v>377</v>
      </c>
      <c r="F53" s="14" t="s">
        <v>386</v>
      </c>
      <c r="G53" s="14" t="s">
        <v>87</v>
      </c>
      <c r="H53" s="14" t="s">
        <v>87</v>
      </c>
      <c r="I53" s="14" t="s">
        <v>387</v>
      </c>
      <c r="J53" s="15">
        <v>0</v>
      </c>
      <c r="K53" s="15">
        <v>0</v>
      </c>
      <c r="L53" s="15">
        <v>0</v>
      </c>
      <c r="M53" s="15">
        <v>0</v>
      </c>
      <c r="N53" s="14" t="s">
        <v>27</v>
      </c>
      <c r="O53" s="14" t="s">
        <v>383</v>
      </c>
      <c r="P53" s="14" t="s">
        <v>388</v>
      </c>
      <c r="Q53" s="16">
        <v>0</v>
      </c>
      <c r="R53" s="16">
        <v>0</v>
      </c>
      <c r="S53" s="14" t="s">
        <v>192</v>
      </c>
    </row>
    <row r="54" spans="1:19">
      <c r="A54" s="52" t="s">
        <v>389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</row>
    <row r="55" spans="1:19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</row>
    <row r="56" spans="1:19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</row>
  </sheetData>
  <mergeCells count="3">
    <mergeCell ref="A1:S2"/>
    <mergeCell ref="A3:S3"/>
    <mergeCell ref="A54:S56"/>
  </mergeCells>
  <conditionalFormatting sqref="N5:N53">
    <cfRule type="expression" dxfId="5" priority="1">
      <formula>N5="Выбран / верификация"</formula>
    </cfRule>
    <cfRule type="expression" dxfId="4" priority="2">
      <formula>N5="RFQ / выбор поставщика"</formula>
    </cfRule>
    <cfRule type="expression" dxfId="3" priority="3">
      <formula>N5="Открытая позиция"</formula>
    </cfRule>
    <cfRule type="expression" dxfId="2" priority="4">
      <formula>N5="Кандидат / уточнение"</formula>
    </cfRule>
    <cfRule type="expression" dxfId="1" priority="5">
      <formula>N5="Исходные данные / DFM"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opLeftCell="A7" workbookViewId="0">
      <selection sqref="A1:R2"/>
    </sheetView>
  </sheetViews>
  <sheetFormatPr defaultRowHeight="13.8"/>
  <cols>
    <col min="1" max="4" width="16" customWidth="1"/>
    <col min="5" max="6" width="34" customWidth="1"/>
    <col min="7" max="14" width="16" customWidth="1"/>
    <col min="15" max="18" width="34" customWidth="1"/>
  </cols>
  <sheetData>
    <row r="1" spans="1:18" ht="20.85" customHeight="1">
      <c r="A1" s="53" t="s">
        <v>390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20.8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4" spans="1:18">
      <c r="A4" s="12" t="s">
        <v>391</v>
      </c>
      <c r="B4" s="12" t="s">
        <v>372</v>
      </c>
      <c r="C4" s="12" t="s">
        <v>70</v>
      </c>
      <c r="D4" s="12" t="s">
        <v>392</v>
      </c>
      <c r="E4" s="12" t="s">
        <v>393</v>
      </c>
      <c r="F4" s="12" t="s">
        <v>394</v>
      </c>
      <c r="G4" s="12" t="s">
        <v>73</v>
      </c>
      <c r="H4" s="12" t="s">
        <v>395</v>
      </c>
      <c r="I4" s="12" t="s">
        <v>396</v>
      </c>
      <c r="J4" s="12" t="s">
        <v>397</v>
      </c>
      <c r="K4" s="12" t="s">
        <v>398</v>
      </c>
      <c r="L4" s="12" t="s">
        <v>399</v>
      </c>
      <c r="M4" s="12" t="s">
        <v>400</v>
      </c>
      <c r="N4" s="12" t="s">
        <v>401</v>
      </c>
      <c r="O4" s="12" t="s">
        <v>402</v>
      </c>
      <c r="P4" s="12" t="s">
        <v>403</v>
      </c>
      <c r="Q4" s="12" t="s">
        <v>404</v>
      </c>
      <c r="R4" s="12" t="s">
        <v>405</v>
      </c>
    </row>
    <row r="5" spans="1:18" ht="55.2">
      <c r="A5" s="5" t="s">
        <v>83</v>
      </c>
      <c r="B5" s="5" t="s">
        <v>7</v>
      </c>
      <c r="C5" s="5" t="s">
        <v>84</v>
      </c>
      <c r="D5" s="5" t="s">
        <v>406</v>
      </c>
      <c r="E5" s="5" t="s">
        <v>407</v>
      </c>
      <c r="F5" s="5" t="s">
        <v>86</v>
      </c>
      <c r="G5" s="5" t="s">
        <v>87</v>
      </c>
      <c r="H5" s="5" t="s">
        <v>88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89</v>
      </c>
      <c r="O5" s="5" t="s">
        <v>413</v>
      </c>
      <c r="P5" s="5" t="s">
        <v>414</v>
      </c>
      <c r="Q5" s="5" t="s">
        <v>90</v>
      </c>
      <c r="R5" s="5" t="s">
        <v>59</v>
      </c>
    </row>
    <row r="6" spans="1:18" ht="55.2">
      <c r="A6" s="5" t="s">
        <v>7</v>
      </c>
      <c r="B6" s="5" t="s">
        <v>7</v>
      </c>
      <c r="C6" s="5" t="s">
        <v>84</v>
      </c>
      <c r="D6" s="5" t="s">
        <v>415</v>
      </c>
      <c r="E6" s="5" t="s">
        <v>416</v>
      </c>
      <c r="F6" s="5" t="s">
        <v>94</v>
      </c>
      <c r="G6" s="5" t="s">
        <v>87</v>
      </c>
      <c r="H6" s="5" t="s">
        <v>95</v>
      </c>
      <c r="I6" s="5" t="s">
        <v>408</v>
      </c>
      <c r="J6" s="5" t="s">
        <v>409</v>
      </c>
      <c r="K6" s="5" t="s">
        <v>417</v>
      </c>
      <c r="L6" s="5" t="s">
        <v>418</v>
      </c>
      <c r="M6" s="5" t="s">
        <v>412</v>
      </c>
      <c r="N6" s="5" t="s">
        <v>89</v>
      </c>
      <c r="O6" s="5" t="s">
        <v>419</v>
      </c>
      <c r="P6" s="5" t="s">
        <v>420</v>
      </c>
      <c r="Q6" s="5" t="s">
        <v>96</v>
      </c>
      <c r="R6" s="5" t="s">
        <v>59</v>
      </c>
    </row>
    <row r="7" spans="1:18" ht="55.2">
      <c r="A7" s="5" t="s">
        <v>98</v>
      </c>
      <c r="B7" s="5" t="s">
        <v>7</v>
      </c>
      <c r="C7" s="5" t="s">
        <v>98</v>
      </c>
      <c r="D7" s="5" t="s">
        <v>32</v>
      </c>
      <c r="E7" s="5" t="s">
        <v>421</v>
      </c>
      <c r="F7" s="5" t="s">
        <v>100</v>
      </c>
      <c r="G7" s="5" t="s">
        <v>33</v>
      </c>
      <c r="H7" s="5" t="s">
        <v>101</v>
      </c>
      <c r="I7" s="5" t="s">
        <v>408</v>
      </c>
      <c r="J7" s="5" t="s">
        <v>409</v>
      </c>
      <c r="K7" s="5" t="s">
        <v>417</v>
      </c>
      <c r="L7" s="5" t="s">
        <v>418</v>
      </c>
      <c r="M7" s="5" t="s">
        <v>412</v>
      </c>
      <c r="N7" s="5" t="s">
        <v>102</v>
      </c>
      <c r="O7" s="5" t="s">
        <v>422</v>
      </c>
      <c r="P7" s="5" t="s">
        <v>423</v>
      </c>
      <c r="Q7" s="5" t="s">
        <v>103</v>
      </c>
      <c r="R7" s="5" t="s">
        <v>59</v>
      </c>
    </row>
    <row r="8" spans="1:18" ht="55.2">
      <c r="A8" s="5" t="s">
        <v>105</v>
      </c>
      <c r="B8" s="5" t="s">
        <v>7</v>
      </c>
      <c r="C8" s="5" t="s">
        <v>105</v>
      </c>
      <c r="D8" s="5" t="s">
        <v>424</v>
      </c>
      <c r="E8" s="5" t="s">
        <v>425</v>
      </c>
      <c r="F8" s="5" t="s">
        <v>107</v>
      </c>
      <c r="G8" s="5" t="s">
        <v>108</v>
      </c>
      <c r="H8" s="5" t="s">
        <v>109</v>
      </c>
      <c r="I8" s="5" t="s">
        <v>408</v>
      </c>
      <c r="J8" s="5" t="s">
        <v>409</v>
      </c>
      <c r="K8" s="5" t="s">
        <v>417</v>
      </c>
      <c r="L8" s="5" t="s">
        <v>418</v>
      </c>
      <c r="M8" s="5" t="s">
        <v>412</v>
      </c>
      <c r="N8" s="5" t="s">
        <v>102</v>
      </c>
      <c r="O8" s="5" t="s">
        <v>426</v>
      </c>
      <c r="P8" s="5" t="s">
        <v>427</v>
      </c>
      <c r="Q8" s="5" t="s">
        <v>110</v>
      </c>
      <c r="R8" s="5" t="s">
        <v>59</v>
      </c>
    </row>
    <row r="9" spans="1:18" ht="55.2">
      <c r="A9" s="5" t="s">
        <v>113</v>
      </c>
      <c r="B9" s="5" t="s">
        <v>7</v>
      </c>
      <c r="C9" s="5" t="s">
        <v>113</v>
      </c>
      <c r="D9" s="5" t="s">
        <v>428</v>
      </c>
      <c r="E9" s="5" t="s">
        <v>429</v>
      </c>
      <c r="F9" s="5" t="s">
        <v>100</v>
      </c>
      <c r="G9" s="5" t="s">
        <v>115</v>
      </c>
      <c r="H9" s="5" t="s">
        <v>116</v>
      </c>
      <c r="I9" s="5" t="s">
        <v>408</v>
      </c>
      <c r="J9" s="5" t="s">
        <v>409</v>
      </c>
      <c r="K9" s="5" t="s">
        <v>417</v>
      </c>
      <c r="L9" s="5" t="s">
        <v>418</v>
      </c>
      <c r="M9" s="5" t="s">
        <v>412</v>
      </c>
      <c r="N9" s="5" t="s">
        <v>102</v>
      </c>
      <c r="O9" s="5" t="s">
        <v>430</v>
      </c>
      <c r="P9" s="5" t="s">
        <v>431</v>
      </c>
      <c r="Q9" s="5" t="s">
        <v>117</v>
      </c>
      <c r="R9" s="5" t="s">
        <v>59</v>
      </c>
    </row>
    <row r="10" spans="1:18" ht="55.2">
      <c r="A10" s="5" t="s">
        <v>120</v>
      </c>
      <c r="B10" s="5" t="s">
        <v>7</v>
      </c>
      <c r="C10" s="5" t="s">
        <v>120</v>
      </c>
      <c r="D10" s="5" t="s">
        <v>432</v>
      </c>
      <c r="E10" s="5" t="s">
        <v>433</v>
      </c>
      <c r="F10" s="5" t="s">
        <v>100</v>
      </c>
      <c r="G10" s="5" t="s">
        <v>122</v>
      </c>
      <c r="H10" s="5" t="s">
        <v>123</v>
      </c>
      <c r="I10" s="5" t="s">
        <v>408</v>
      </c>
      <c r="J10" s="5" t="s">
        <v>409</v>
      </c>
      <c r="K10" s="5" t="s">
        <v>417</v>
      </c>
      <c r="L10" s="5" t="s">
        <v>418</v>
      </c>
      <c r="M10" s="5" t="s">
        <v>412</v>
      </c>
      <c r="N10" s="5" t="s">
        <v>124</v>
      </c>
      <c r="O10" s="5" t="s">
        <v>430</v>
      </c>
      <c r="P10" s="5" t="s">
        <v>434</v>
      </c>
      <c r="Q10" s="5" t="s">
        <v>125</v>
      </c>
      <c r="R10" s="5" t="s">
        <v>59</v>
      </c>
    </row>
    <row r="11" spans="1:18" ht="55.2">
      <c r="A11" s="5" t="s">
        <v>128</v>
      </c>
      <c r="B11" s="5" t="s">
        <v>7</v>
      </c>
      <c r="C11" s="5" t="s">
        <v>128</v>
      </c>
      <c r="D11" s="5" t="s">
        <v>435</v>
      </c>
      <c r="E11" s="5" t="s">
        <v>436</v>
      </c>
      <c r="F11" s="5" t="s">
        <v>87</v>
      </c>
      <c r="G11" s="5" t="s">
        <v>87</v>
      </c>
      <c r="H11" s="5" t="s">
        <v>87</v>
      </c>
      <c r="I11" s="5" t="s">
        <v>408</v>
      </c>
      <c r="J11" s="5" t="s">
        <v>409</v>
      </c>
      <c r="K11" s="5" t="s">
        <v>417</v>
      </c>
      <c r="L11" s="5" t="s">
        <v>418</v>
      </c>
      <c r="M11" s="5" t="s">
        <v>412</v>
      </c>
      <c r="N11" s="5" t="s">
        <v>130</v>
      </c>
      <c r="O11" s="5" t="s">
        <v>437</v>
      </c>
      <c r="P11" s="5" t="s">
        <v>438</v>
      </c>
      <c r="Q11" s="5" t="s">
        <v>131</v>
      </c>
      <c r="R11" s="5" t="s">
        <v>59</v>
      </c>
    </row>
    <row r="12" spans="1:18" ht="55.2">
      <c r="A12" s="5" t="s">
        <v>134</v>
      </c>
      <c r="B12" s="5" t="s">
        <v>7</v>
      </c>
      <c r="C12" s="5" t="s">
        <v>134</v>
      </c>
      <c r="D12" s="5" t="s">
        <v>439</v>
      </c>
      <c r="E12" s="5" t="s">
        <v>440</v>
      </c>
      <c r="F12" s="5" t="s">
        <v>136</v>
      </c>
      <c r="G12" s="5" t="s">
        <v>137</v>
      </c>
      <c r="H12" s="5" t="s">
        <v>138</v>
      </c>
      <c r="I12" s="5" t="s">
        <v>408</v>
      </c>
      <c r="J12" s="5" t="s">
        <v>409</v>
      </c>
      <c r="K12" s="5" t="s">
        <v>417</v>
      </c>
      <c r="L12" s="5" t="s">
        <v>418</v>
      </c>
      <c r="M12" s="5" t="s">
        <v>412</v>
      </c>
      <c r="N12" s="5" t="s">
        <v>139</v>
      </c>
      <c r="O12" s="5" t="s">
        <v>441</v>
      </c>
      <c r="P12" s="5" t="s">
        <v>442</v>
      </c>
      <c r="Q12" s="5" t="s">
        <v>140</v>
      </c>
      <c r="R12" s="5" t="s">
        <v>59</v>
      </c>
    </row>
    <row r="13" spans="1:18" ht="55.2">
      <c r="A13" s="5" t="s">
        <v>143</v>
      </c>
      <c r="B13" s="5" t="s">
        <v>7</v>
      </c>
      <c r="C13" s="5" t="s">
        <v>144</v>
      </c>
      <c r="D13" s="5" t="s">
        <v>142</v>
      </c>
      <c r="E13" s="5" t="s">
        <v>443</v>
      </c>
      <c r="F13" s="5" t="s">
        <v>87</v>
      </c>
      <c r="G13" s="5" t="s">
        <v>87</v>
      </c>
      <c r="H13" s="5" t="s">
        <v>146</v>
      </c>
      <c r="I13" s="5" t="s">
        <v>408</v>
      </c>
      <c r="J13" s="5" t="s">
        <v>409</v>
      </c>
      <c r="K13" s="5" t="s">
        <v>417</v>
      </c>
      <c r="L13" s="5" t="s">
        <v>418</v>
      </c>
      <c r="M13" s="5" t="s">
        <v>412</v>
      </c>
      <c r="N13" s="5" t="s">
        <v>147</v>
      </c>
      <c r="O13" s="5" t="s">
        <v>444</v>
      </c>
      <c r="P13" s="5" t="s">
        <v>445</v>
      </c>
      <c r="Q13" s="5" t="s">
        <v>148</v>
      </c>
      <c r="R13" s="5" t="s">
        <v>59</v>
      </c>
    </row>
    <row r="14" spans="1:18" ht="55.2">
      <c r="A14" s="5" t="s">
        <v>149</v>
      </c>
      <c r="B14" s="5" t="s">
        <v>7</v>
      </c>
      <c r="C14" s="5" t="s">
        <v>150</v>
      </c>
      <c r="D14" s="5" t="s">
        <v>142</v>
      </c>
      <c r="E14" s="5" t="s">
        <v>446</v>
      </c>
      <c r="F14" s="5" t="s">
        <v>87</v>
      </c>
      <c r="G14" s="5" t="s">
        <v>87</v>
      </c>
      <c r="H14" s="5" t="s">
        <v>146</v>
      </c>
      <c r="I14" s="5" t="s">
        <v>408</v>
      </c>
      <c r="J14" s="5" t="s">
        <v>409</v>
      </c>
      <c r="K14" s="5" t="s">
        <v>417</v>
      </c>
      <c r="L14" s="5" t="s">
        <v>418</v>
      </c>
      <c r="M14" s="5" t="s">
        <v>412</v>
      </c>
      <c r="N14" s="5" t="s">
        <v>147</v>
      </c>
      <c r="O14" s="5" t="s">
        <v>444</v>
      </c>
      <c r="P14" s="5" t="s">
        <v>445</v>
      </c>
      <c r="Q14" s="5" t="s">
        <v>152</v>
      </c>
      <c r="R14" s="5" t="s">
        <v>59</v>
      </c>
    </row>
    <row r="15" spans="1:18" ht="55.2">
      <c r="A15" s="5" t="s">
        <v>153</v>
      </c>
      <c r="B15" s="5" t="s">
        <v>7</v>
      </c>
      <c r="C15" s="5" t="s">
        <v>153</v>
      </c>
      <c r="D15" s="5" t="s">
        <v>447</v>
      </c>
      <c r="E15" s="5" t="s">
        <v>448</v>
      </c>
      <c r="F15" s="5" t="s">
        <v>155</v>
      </c>
      <c r="G15" s="5" t="s">
        <v>156</v>
      </c>
      <c r="H15" s="5" t="s">
        <v>157</v>
      </c>
      <c r="I15" s="5" t="s">
        <v>408</v>
      </c>
      <c r="J15" s="5" t="s">
        <v>409</v>
      </c>
      <c r="K15" s="5" t="s">
        <v>417</v>
      </c>
      <c r="L15" s="5" t="s">
        <v>418</v>
      </c>
      <c r="M15" s="5" t="s">
        <v>412</v>
      </c>
      <c r="N15" s="5" t="s">
        <v>158</v>
      </c>
      <c r="O15" s="5" t="s">
        <v>449</v>
      </c>
      <c r="P15" s="5" t="s">
        <v>450</v>
      </c>
      <c r="Q15" s="5" t="s">
        <v>159</v>
      </c>
      <c r="R15" s="5" t="s">
        <v>59</v>
      </c>
    </row>
    <row r="16" spans="1:18" ht="55.2">
      <c r="A16" s="5" t="s">
        <v>162</v>
      </c>
      <c r="B16" s="5" t="s">
        <v>7</v>
      </c>
      <c r="C16" s="5" t="s">
        <v>163</v>
      </c>
      <c r="D16" s="5" t="s">
        <v>451</v>
      </c>
      <c r="E16" s="5" t="s">
        <v>452</v>
      </c>
      <c r="F16" s="5" t="s">
        <v>87</v>
      </c>
      <c r="G16" s="5" t="s">
        <v>87</v>
      </c>
      <c r="H16" s="5" t="s">
        <v>87</v>
      </c>
      <c r="I16" s="5" t="s">
        <v>410</v>
      </c>
      <c r="J16" s="5" t="s">
        <v>453</v>
      </c>
      <c r="K16" s="5" t="s">
        <v>454</v>
      </c>
      <c r="L16" s="5" t="s">
        <v>455</v>
      </c>
      <c r="M16" s="5" t="s">
        <v>412</v>
      </c>
      <c r="N16" s="5" t="s">
        <v>130</v>
      </c>
      <c r="O16" s="5" t="s">
        <v>430</v>
      </c>
      <c r="P16" s="5" t="s">
        <v>456</v>
      </c>
      <c r="Q16" s="5" t="s">
        <v>165</v>
      </c>
      <c r="R16" s="5" t="s">
        <v>59</v>
      </c>
    </row>
    <row r="17" spans="1:18" ht="55.2">
      <c r="A17" s="5" t="s">
        <v>166</v>
      </c>
      <c r="B17" s="5" t="s">
        <v>7</v>
      </c>
      <c r="C17" s="5" t="s">
        <v>166</v>
      </c>
      <c r="D17" s="5" t="s">
        <v>40</v>
      </c>
      <c r="E17" s="5" t="s">
        <v>457</v>
      </c>
      <c r="F17" s="5" t="s">
        <v>168</v>
      </c>
      <c r="G17" s="5" t="s">
        <v>41</v>
      </c>
      <c r="H17" s="5" t="s">
        <v>169</v>
      </c>
      <c r="I17" s="5" t="s">
        <v>408</v>
      </c>
      <c r="J17" s="5" t="s">
        <v>409</v>
      </c>
      <c r="K17" s="5" t="s">
        <v>417</v>
      </c>
      <c r="L17" s="5" t="s">
        <v>418</v>
      </c>
      <c r="M17" s="5" t="s">
        <v>412</v>
      </c>
      <c r="N17" s="5" t="s">
        <v>102</v>
      </c>
      <c r="O17" s="5" t="s">
        <v>458</v>
      </c>
      <c r="P17" s="5" t="s">
        <v>459</v>
      </c>
      <c r="Q17" s="5" t="s">
        <v>170</v>
      </c>
      <c r="R17" s="5" t="s">
        <v>59</v>
      </c>
    </row>
    <row r="18" spans="1:18" ht="55.2">
      <c r="A18" s="5" t="s">
        <v>172</v>
      </c>
      <c r="B18" s="5" t="s">
        <v>7</v>
      </c>
      <c r="C18" s="5" t="s">
        <v>172</v>
      </c>
      <c r="D18" s="5" t="s">
        <v>36</v>
      </c>
      <c r="E18" s="5" t="s">
        <v>460</v>
      </c>
      <c r="F18" s="5" t="s">
        <v>174</v>
      </c>
      <c r="G18" s="5" t="s">
        <v>175</v>
      </c>
      <c r="H18" s="5" t="s">
        <v>176</v>
      </c>
      <c r="I18" s="5" t="s">
        <v>408</v>
      </c>
      <c r="J18" s="5" t="s">
        <v>409</v>
      </c>
      <c r="K18" s="5" t="s">
        <v>461</v>
      </c>
      <c r="L18" s="5" t="s">
        <v>462</v>
      </c>
      <c r="M18" s="5" t="s">
        <v>463</v>
      </c>
      <c r="N18" s="5" t="s">
        <v>177</v>
      </c>
      <c r="O18" s="5" t="s">
        <v>464</v>
      </c>
      <c r="P18" s="5" t="s">
        <v>465</v>
      </c>
      <c r="Q18" s="5" t="s">
        <v>178</v>
      </c>
      <c r="R18" s="5" t="s">
        <v>59</v>
      </c>
    </row>
    <row r="19" spans="1:18" ht="69">
      <c r="A19" s="5" t="s">
        <v>180</v>
      </c>
      <c r="B19" s="5" t="s">
        <v>7</v>
      </c>
      <c r="C19" s="5" t="s">
        <v>180</v>
      </c>
      <c r="D19" s="5" t="s">
        <v>38</v>
      </c>
      <c r="E19" s="5" t="s">
        <v>466</v>
      </c>
      <c r="F19" s="5" t="s">
        <v>182</v>
      </c>
      <c r="G19" s="5" t="s">
        <v>39</v>
      </c>
      <c r="H19" s="5" t="s">
        <v>183</v>
      </c>
      <c r="I19" s="5" t="s">
        <v>408</v>
      </c>
      <c r="J19" s="5" t="s">
        <v>409</v>
      </c>
      <c r="K19" s="5" t="s">
        <v>417</v>
      </c>
      <c r="L19" s="5" t="s">
        <v>418</v>
      </c>
      <c r="M19" s="5" t="s">
        <v>412</v>
      </c>
      <c r="N19" s="5" t="s">
        <v>184</v>
      </c>
      <c r="O19" s="5" t="s">
        <v>467</v>
      </c>
      <c r="P19" s="5" t="s">
        <v>468</v>
      </c>
      <c r="Q19" s="5" t="s">
        <v>185</v>
      </c>
      <c r="R19" s="5" t="s">
        <v>59</v>
      </c>
    </row>
    <row r="20" spans="1:18" ht="55.2">
      <c r="A20" s="5" t="s">
        <v>188</v>
      </c>
      <c r="B20" s="5" t="s">
        <v>7</v>
      </c>
      <c r="C20" s="5" t="s">
        <v>188</v>
      </c>
      <c r="D20" s="5" t="s">
        <v>469</v>
      </c>
      <c r="E20" s="5" t="s">
        <v>470</v>
      </c>
      <c r="F20" s="5" t="s">
        <v>87</v>
      </c>
      <c r="G20" s="5" t="s">
        <v>87</v>
      </c>
      <c r="H20" s="5" t="s">
        <v>190</v>
      </c>
      <c r="I20" s="5" t="s">
        <v>408</v>
      </c>
      <c r="J20" s="5" t="s">
        <v>409</v>
      </c>
      <c r="K20" s="5" t="s">
        <v>417</v>
      </c>
      <c r="L20" s="5" t="s">
        <v>418</v>
      </c>
      <c r="M20" s="5" t="s">
        <v>412</v>
      </c>
      <c r="N20" s="5" t="s">
        <v>89</v>
      </c>
      <c r="O20" s="5" t="s">
        <v>471</v>
      </c>
      <c r="P20" s="5" t="s">
        <v>472</v>
      </c>
      <c r="Q20" s="5" t="s">
        <v>191</v>
      </c>
      <c r="R20" s="5" t="s">
        <v>59</v>
      </c>
    </row>
    <row r="21" spans="1:18" ht="55.2">
      <c r="A21" s="5" t="s">
        <v>194</v>
      </c>
      <c r="B21" s="5" t="s">
        <v>7</v>
      </c>
      <c r="C21" s="5" t="s">
        <v>195</v>
      </c>
      <c r="D21" s="5" t="s">
        <v>473</v>
      </c>
      <c r="E21" s="5" t="s">
        <v>474</v>
      </c>
      <c r="F21" s="5" t="s">
        <v>87</v>
      </c>
      <c r="G21" s="5" t="s">
        <v>87</v>
      </c>
      <c r="H21" s="5" t="s">
        <v>146</v>
      </c>
      <c r="I21" s="5" t="s">
        <v>408</v>
      </c>
      <c r="J21" s="5" t="s">
        <v>409</v>
      </c>
      <c r="K21" s="5" t="s">
        <v>417</v>
      </c>
      <c r="L21" s="5" t="s">
        <v>418</v>
      </c>
      <c r="M21" s="5" t="s">
        <v>412</v>
      </c>
      <c r="N21" s="5" t="s">
        <v>147</v>
      </c>
      <c r="O21" s="5" t="s">
        <v>444</v>
      </c>
      <c r="P21" s="5" t="s">
        <v>475</v>
      </c>
      <c r="Q21" s="5" t="s">
        <v>197</v>
      </c>
      <c r="R21" s="5" t="s">
        <v>59</v>
      </c>
    </row>
    <row r="22" spans="1:18" ht="55.2">
      <c r="A22" s="5" t="s">
        <v>198</v>
      </c>
      <c r="B22" s="5" t="s">
        <v>7</v>
      </c>
      <c r="C22" s="5" t="s">
        <v>199</v>
      </c>
      <c r="D22" s="5" t="s">
        <v>473</v>
      </c>
      <c r="E22" s="5" t="s">
        <v>476</v>
      </c>
      <c r="F22" s="5" t="s">
        <v>201</v>
      </c>
      <c r="G22" s="5" t="s">
        <v>202</v>
      </c>
      <c r="H22" s="5" t="s">
        <v>203</v>
      </c>
      <c r="I22" s="5" t="s">
        <v>408</v>
      </c>
      <c r="J22" s="5" t="s">
        <v>409</v>
      </c>
      <c r="K22" s="5" t="s">
        <v>417</v>
      </c>
      <c r="L22" s="5" t="s">
        <v>418</v>
      </c>
      <c r="M22" s="5" t="s">
        <v>412</v>
      </c>
      <c r="N22" s="5" t="s">
        <v>204</v>
      </c>
      <c r="O22" s="5" t="s">
        <v>477</v>
      </c>
      <c r="P22" s="5" t="s">
        <v>478</v>
      </c>
      <c r="Q22" s="5" t="s">
        <v>205</v>
      </c>
      <c r="R22" s="5" t="s">
        <v>59</v>
      </c>
    </row>
    <row r="23" spans="1:18" ht="55.2">
      <c r="A23" s="5" t="s">
        <v>207</v>
      </c>
      <c r="B23" s="5" t="s">
        <v>7</v>
      </c>
      <c r="C23" s="5" t="s">
        <v>208</v>
      </c>
      <c r="D23" s="5" t="s">
        <v>479</v>
      </c>
      <c r="E23" s="5" t="s">
        <v>480</v>
      </c>
      <c r="F23" s="5" t="s">
        <v>210</v>
      </c>
      <c r="G23" s="5" t="s">
        <v>87</v>
      </c>
      <c r="H23" s="5" t="s">
        <v>211</v>
      </c>
      <c r="I23" s="5" t="s">
        <v>408</v>
      </c>
      <c r="J23" s="5" t="s">
        <v>409</v>
      </c>
      <c r="K23" s="5" t="s">
        <v>481</v>
      </c>
      <c r="L23" s="5" t="s">
        <v>482</v>
      </c>
      <c r="M23" s="5" t="s">
        <v>412</v>
      </c>
      <c r="N23" s="5" t="s">
        <v>212</v>
      </c>
      <c r="O23" s="5" t="s">
        <v>483</v>
      </c>
      <c r="P23" s="5" t="s">
        <v>484</v>
      </c>
      <c r="Q23" s="5" t="s">
        <v>213</v>
      </c>
      <c r="R23" s="5" t="s">
        <v>59</v>
      </c>
    </row>
    <row r="24" spans="1:18" ht="55.2">
      <c r="A24" s="5" t="s">
        <v>214</v>
      </c>
      <c r="B24" s="5" t="s">
        <v>7</v>
      </c>
      <c r="C24" s="5" t="s">
        <v>215</v>
      </c>
      <c r="D24" s="5" t="s">
        <v>479</v>
      </c>
      <c r="E24" s="5" t="s">
        <v>485</v>
      </c>
      <c r="F24" s="5" t="s">
        <v>210</v>
      </c>
      <c r="G24" s="5" t="s">
        <v>87</v>
      </c>
      <c r="H24" s="5" t="s">
        <v>211</v>
      </c>
      <c r="I24" s="5" t="s">
        <v>408</v>
      </c>
      <c r="J24" s="5" t="s">
        <v>409</v>
      </c>
      <c r="K24" s="5" t="s">
        <v>481</v>
      </c>
      <c r="L24" s="5" t="s">
        <v>482</v>
      </c>
      <c r="M24" s="5" t="s">
        <v>412</v>
      </c>
      <c r="N24" s="5" t="s">
        <v>212</v>
      </c>
      <c r="O24" s="5" t="s">
        <v>483</v>
      </c>
      <c r="P24" s="5" t="s">
        <v>484</v>
      </c>
      <c r="Q24" s="5" t="s">
        <v>217</v>
      </c>
      <c r="R24" s="5" t="s">
        <v>59</v>
      </c>
    </row>
    <row r="25" spans="1:18" ht="55.2">
      <c r="A25" s="5" t="s">
        <v>218</v>
      </c>
      <c r="B25" s="5" t="s">
        <v>7</v>
      </c>
      <c r="C25" s="5" t="s">
        <v>219</v>
      </c>
      <c r="D25" s="5" t="s">
        <v>479</v>
      </c>
      <c r="E25" s="5" t="s">
        <v>486</v>
      </c>
      <c r="F25" s="5" t="s">
        <v>210</v>
      </c>
      <c r="G25" s="5" t="s">
        <v>87</v>
      </c>
      <c r="H25" s="5" t="s">
        <v>211</v>
      </c>
      <c r="I25" s="5" t="s">
        <v>408</v>
      </c>
      <c r="J25" s="5" t="s">
        <v>409</v>
      </c>
      <c r="K25" s="5" t="s">
        <v>481</v>
      </c>
      <c r="L25" s="5" t="s">
        <v>482</v>
      </c>
      <c r="M25" s="5" t="s">
        <v>463</v>
      </c>
      <c r="N25" s="5" t="s">
        <v>212</v>
      </c>
      <c r="O25" s="5" t="s">
        <v>483</v>
      </c>
      <c r="P25" s="5" t="s">
        <v>484</v>
      </c>
      <c r="Q25" s="5" t="s">
        <v>221</v>
      </c>
      <c r="R25" s="5" t="s">
        <v>59</v>
      </c>
    </row>
    <row r="26" spans="1:18" ht="55.2">
      <c r="A26" s="5" t="s">
        <v>223</v>
      </c>
      <c r="B26" s="5" t="s">
        <v>7</v>
      </c>
      <c r="C26" s="5" t="s">
        <v>223</v>
      </c>
      <c r="D26" s="5" t="s">
        <v>487</v>
      </c>
      <c r="E26" s="5" t="s">
        <v>488</v>
      </c>
      <c r="F26" s="5" t="s">
        <v>225</v>
      </c>
      <c r="G26" s="5" t="s">
        <v>226</v>
      </c>
      <c r="H26" s="5" t="s">
        <v>227</v>
      </c>
      <c r="I26" s="5" t="s">
        <v>408</v>
      </c>
      <c r="J26" s="5" t="s">
        <v>409</v>
      </c>
      <c r="K26" s="5" t="s">
        <v>417</v>
      </c>
      <c r="L26" s="5" t="s">
        <v>418</v>
      </c>
      <c r="M26" s="5" t="s">
        <v>412</v>
      </c>
      <c r="N26" s="5" t="s">
        <v>228</v>
      </c>
      <c r="O26" s="5" t="s">
        <v>430</v>
      </c>
      <c r="P26" s="5" t="s">
        <v>489</v>
      </c>
      <c r="Q26" s="5" t="s">
        <v>229</v>
      </c>
      <c r="R26" s="5" t="s">
        <v>59</v>
      </c>
    </row>
    <row r="27" spans="1:18" ht="55.2">
      <c r="A27" s="5" t="s">
        <v>231</v>
      </c>
      <c r="B27" s="5" t="s">
        <v>8</v>
      </c>
      <c r="C27" s="5" t="s">
        <v>232</v>
      </c>
      <c r="D27" s="5" t="s">
        <v>490</v>
      </c>
      <c r="E27" s="5" t="s">
        <v>491</v>
      </c>
      <c r="F27" s="5" t="s">
        <v>155</v>
      </c>
      <c r="G27" s="5" t="s">
        <v>234</v>
      </c>
      <c r="H27" s="5" t="s">
        <v>235</v>
      </c>
      <c r="I27" s="5" t="s">
        <v>408</v>
      </c>
      <c r="J27" s="5" t="s">
        <v>409</v>
      </c>
      <c r="K27" s="5" t="s">
        <v>417</v>
      </c>
      <c r="L27" s="5" t="s">
        <v>418</v>
      </c>
      <c r="M27" s="5" t="s">
        <v>412</v>
      </c>
      <c r="N27" s="5" t="s">
        <v>236</v>
      </c>
      <c r="O27" s="5" t="s">
        <v>430</v>
      </c>
      <c r="P27" s="5" t="s">
        <v>492</v>
      </c>
      <c r="Q27" s="5" t="s">
        <v>237</v>
      </c>
      <c r="R27" s="5" t="s">
        <v>59</v>
      </c>
    </row>
    <row r="28" spans="1:18" ht="55.2">
      <c r="A28" s="5" t="s">
        <v>239</v>
      </c>
      <c r="B28" s="5" t="s">
        <v>8</v>
      </c>
      <c r="C28" s="5" t="s">
        <v>240</v>
      </c>
      <c r="D28" s="5" t="s">
        <v>490</v>
      </c>
      <c r="E28" s="5" t="s">
        <v>493</v>
      </c>
      <c r="F28" s="5" t="s">
        <v>155</v>
      </c>
      <c r="G28" s="5" t="s">
        <v>242</v>
      </c>
      <c r="H28" s="5" t="s">
        <v>243</v>
      </c>
      <c r="I28" s="5" t="s">
        <v>408</v>
      </c>
      <c r="J28" s="5" t="s">
        <v>409</v>
      </c>
      <c r="K28" s="5" t="s">
        <v>417</v>
      </c>
      <c r="L28" s="5" t="s">
        <v>418</v>
      </c>
      <c r="M28" s="5" t="s">
        <v>412</v>
      </c>
      <c r="N28" s="5" t="s">
        <v>244</v>
      </c>
      <c r="O28" s="5" t="s">
        <v>430</v>
      </c>
      <c r="P28" s="5" t="s">
        <v>494</v>
      </c>
      <c r="Q28" s="5" t="s">
        <v>245</v>
      </c>
      <c r="R28" s="5" t="s">
        <v>59</v>
      </c>
    </row>
    <row r="29" spans="1:18" ht="55.2">
      <c r="A29" s="5" t="s">
        <v>247</v>
      </c>
      <c r="B29" s="5" t="s">
        <v>8</v>
      </c>
      <c r="C29" s="5" t="s">
        <v>98</v>
      </c>
      <c r="D29" s="5" t="s">
        <v>495</v>
      </c>
      <c r="E29" s="5" t="s">
        <v>496</v>
      </c>
      <c r="F29" s="5" t="s">
        <v>155</v>
      </c>
      <c r="G29" s="5" t="s">
        <v>249</v>
      </c>
      <c r="H29" s="5" t="s">
        <v>250</v>
      </c>
      <c r="I29" s="5" t="s">
        <v>408</v>
      </c>
      <c r="J29" s="5" t="s">
        <v>409</v>
      </c>
      <c r="K29" s="5" t="s">
        <v>417</v>
      </c>
      <c r="L29" s="5" t="s">
        <v>418</v>
      </c>
      <c r="M29" s="5" t="s">
        <v>412</v>
      </c>
      <c r="N29" s="5" t="s">
        <v>251</v>
      </c>
      <c r="O29" s="5" t="s">
        <v>430</v>
      </c>
      <c r="P29" s="5" t="s">
        <v>497</v>
      </c>
      <c r="Q29" s="5" t="s">
        <v>252</v>
      </c>
      <c r="R29" s="5" t="s">
        <v>59</v>
      </c>
    </row>
    <row r="30" spans="1:18" ht="55.2">
      <c r="A30" s="5" t="s">
        <v>254</v>
      </c>
      <c r="B30" s="5" t="s">
        <v>8</v>
      </c>
      <c r="C30" s="5" t="s">
        <v>105</v>
      </c>
      <c r="D30" s="5" t="s">
        <v>495</v>
      </c>
      <c r="E30" s="5" t="s">
        <v>498</v>
      </c>
      <c r="F30" s="5" t="s">
        <v>155</v>
      </c>
      <c r="G30" s="5" t="s">
        <v>249</v>
      </c>
      <c r="H30" s="5" t="s">
        <v>250</v>
      </c>
      <c r="I30" s="5" t="s">
        <v>408</v>
      </c>
      <c r="J30" s="5" t="s">
        <v>409</v>
      </c>
      <c r="K30" s="5" t="s">
        <v>417</v>
      </c>
      <c r="L30" s="5" t="s">
        <v>418</v>
      </c>
      <c r="M30" s="5" t="s">
        <v>412</v>
      </c>
      <c r="N30" s="5" t="s">
        <v>251</v>
      </c>
      <c r="O30" s="5" t="s">
        <v>430</v>
      </c>
      <c r="P30" s="5" t="s">
        <v>499</v>
      </c>
      <c r="Q30" s="5" t="s">
        <v>256</v>
      </c>
      <c r="R30" s="5" t="s">
        <v>59</v>
      </c>
    </row>
    <row r="31" spans="1:18" ht="55.2">
      <c r="A31" s="5" t="s">
        <v>257</v>
      </c>
      <c r="B31" s="5" t="s">
        <v>8</v>
      </c>
      <c r="C31" s="5" t="s">
        <v>113</v>
      </c>
      <c r="D31" s="5" t="s">
        <v>495</v>
      </c>
      <c r="E31" s="5" t="s">
        <v>500</v>
      </c>
      <c r="F31" s="5" t="s">
        <v>155</v>
      </c>
      <c r="G31" s="5" t="s">
        <v>259</v>
      </c>
      <c r="H31" s="5" t="s">
        <v>260</v>
      </c>
      <c r="I31" s="5" t="s">
        <v>408</v>
      </c>
      <c r="J31" s="5" t="s">
        <v>409</v>
      </c>
      <c r="K31" s="5" t="s">
        <v>417</v>
      </c>
      <c r="L31" s="5" t="s">
        <v>418</v>
      </c>
      <c r="M31" s="5" t="s">
        <v>412</v>
      </c>
      <c r="N31" s="5" t="s">
        <v>261</v>
      </c>
      <c r="O31" s="5" t="s">
        <v>430</v>
      </c>
      <c r="P31" s="5" t="s">
        <v>501</v>
      </c>
      <c r="Q31" s="5" t="s">
        <v>262</v>
      </c>
      <c r="R31" s="5" t="s">
        <v>59</v>
      </c>
    </row>
    <row r="32" spans="1:18" ht="55.2">
      <c r="A32" s="5" t="s">
        <v>264</v>
      </c>
      <c r="B32" s="5" t="s">
        <v>8</v>
      </c>
      <c r="C32" s="5" t="s">
        <v>120</v>
      </c>
      <c r="D32" s="5" t="s">
        <v>502</v>
      </c>
      <c r="E32" s="5" t="s">
        <v>503</v>
      </c>
      <c r="F32" s="5" t="s">
        <v>155</v>
      </c>
      <c r="G32" s="5" t="s">
        <v>266</v>
      </c>
      <c r="H32" s="5" t="s">
        <v>267</v>
      </c>
      <c r="I32" s="5" t="s">
        <v>408</v>
      </c>
      <c r="J32" s="5" t="s">
        <v>409</v>
      </c>
      <c r="K32" s="5" t="s">
        <v>417</v>
      </c>
      <c r="L32" s="5" t="s">
        <v>418</v>
      </c>
      <c r="M32" s="5" t="s">
        <v>412</v>
      </c>
      <c r="N32" s="5" t="s">
        <v>268</v>
      </c>
      <c r="O32" s="5" t="s">
        <v>430</v>
      </c>
      <c r="P32" s="5" t="s">
        <v>504</v>
      </c>
      <c r="Q32" s="5" t="s">
        <v>269</v>
      </c>
      <c r="R32" s="5" t="s">
        <v>59</v>
      </c>
    </row>
    <row r="33" spans="1:18" ht="55.2">
      <c r="A33" s="5" t="s">
        <v>272</v>
      </c>
      <c r="B33" s="5" t="s">
        <v>8</v>
      </c>
      <c r="C33" s="5" t="s">
        <v>273</v>
      </c>
      <c r="D33" s="5" t="s">
        <v>505</v>
      </c>
      <c r="E33" s="5" t="s">
        <v>506</v>
      </c>
      <c r="F33" s="5" t="s">
        <v>87</v>
      </c>
      <c r="G33" s="5" t="s">
        <v>87</v>
      </c>
      <c r="H33" s="5" t="s">
        <v>275</v>
      </c>
      <c r="I33" s="5" t="s">
        <v>408</v>
      </c>
      <c r="J33" s="5" t="s">
        <v>409</v>
      </c>
      <c r="K33" s="5" t="s">
        <v>454</v>
      </c>
      <c r="L33" s="5" t="s">
        <v>507</v>
      </c>
      <c r="M33" s="5" t="s">
        <v>412</v>
      </c>
      <c r="N33" s="5" t="s">
        <v>276</v>
      </c>
      <c r="O33" s="5" t="s">
        <v>508</v>
      </c>
      <c r="P33" s="5" t="s">
        <v>509</v>
      </c>
      <c r="Q33" s="5" t="s">
        <v>277</v>
      </c>
      <c r="R33" s="5" t="s">
        <v>59</v>
      </c>
    </row>
    <row r="34" spans="1:18" ht="55.2">
      <c r="A34" s="5" t="s">
        <v>278</v>
      </c>
      <c r="B34" s="5" t="s">
        <v>8</v>
      </c>
      <c r="C34" s="5" t="s">
        <v>279</v>
      </c>
      <c r="D34" s="5" t="s">
        <v>473</v>
      </c>
      <c r="E34" s="5" t="s">
        <v>476</v>
      </c>
      <c r="F34" s="5" t="s">
        <v>201</v>
      </c>
      <c r="G34" s="5" t="s">
        <v>202</v>
      </c>
      <c r="H34" s="5" t="s">
        <v>203</v>
      </c>
      <c r="I34" s="5" t="s">
        <v>408</v>
      </c>
      <c r="J34" s="5" t="s">
        <v>409</v>
      </c>
      <c r="K34" s="5" t="s">
        <v>417</v>
      </c>
      <c r="L34" s="5" t="s">
        <v>418</v>
      </c>
      <c r="M34" s="5" t="s">
        <v>412</v>
      </c>
      <c r="N34" s="5" t="s">
        <v>204</v>
      </c>
      <c r="O34" s="5" t="s">
        <v>477</v>
      </c>
      <c r="P34" s="5" t="s">
        <v>478</v>
      </c>
      <c r="Q34" s="5" t="s">
        <v>281</v>
      </c>
      <c r="R34" s="5" t="s">
        <v>59</v>
      </c>
    </row>
    <row r="35" spans="1:18" ht="55.2">
      <c r="A35" s="5" t="s">
        <v>282</v>
      </c>
      <c r="B35" s="5" t="s">
        <v>8</v>
      </c>
      <c r="C35" s="5" t="s">
        <v>283</v>
      </c>
      <c r="D35" s="5" t="s">
        <v>490</v>
      </c>
      <c r="E35" s="5" t="s">
        <v>510</v>
      </c>
      <c r="F35" s="5" t="s">
        <v>285</v>
      </c>
      <c r="G35" s="5" t="s">
        <v>286</v>
      </c>
      <c r="H35" s="5" t="s">
        <v>287</v>
      </c>
      <c r="I35" s="5" t="s">
        <v>408</v>
      </c>
      <c r="J35" s="5" t="s">
        <v>409</v>
      </c>
      <c r="K35" s="5" t="s">
        <v>417</v>
      </c>
      <c r="L35" s="5" t="s">
        <v>418</v>
      </c>
      <c r="M35" s="5" t="s">
        <v>412</v>
      </c>
      <c r="N35" s="5" t="s">
        <v>288</v>
      </c>
      <c r="O35" s="5" t="s">
        <v>430</v>
      </c>
      <c r="P35" s="5" t="s">
        <v>511</v>
      </c>
      <c r="Q35" s="5" t="s">
        <v>289</v>
      </c>
      <c r="R35" s="5" t="s">
        <v>59</v>
      </c>
    </row>
    <row r="36" spans="1:18" ht="55.2">
      <c r="A36" s="5" t="s">
        <v>290</v>
      </c>
      <c r="B36" s="5" t="s">
        <v>8</v>
      </c>
      <c r="C36" s="5" t="s">
        <v>291</v>
      </c>
      <c r="D36" s="5" t="s">
        <v>490</v>
      </c>
      <c r="E36" s="5" t="s">
        <v>512</v>
      </c>
      <c r="F36" s="5" t="s">
        <v>285</v>
      </c>
      <c r="G36" s="5" t="s">
        <v>293</v>
      </c>
      <c r="H36" s="5" t="s">
        <v>294</v>
      </c>
      <c r="I36" s="5" t="s">
        <v>408</v>
      </c>
      <c r="J36" s="5" t="s">
        <v>409</v>
      </c>
      <c r="K36" s="5" t="s">
        <v>454</v>
      </c>
      <c r="L36" s="5" t="s">
        <v>507</v>
      </c>
      <c r="M36" s="5" t="s">
        <v>412</v>
      </c>
      <c r="N36" s="5" t="s">
        <v>295</v>
      </c>
      <c r="O36" s="5" t="s">
        <v>430</v>
      </c>
      <c r="P36" s="5" t="s">
        <v>513</v>
      </c>
      <c r="Q36" s="5" t="s">
        <v>296</v>
      </c>
      <c r="R36" s="5" t="s">
        <v>59</v>
      </c>
    </row>
    <row r="37" spans="1:18" ht="55.2">
      <c r="A37" s="5" t="s">
        <v>297</v>
      </c>
      <c r="B37" s="5" t="s">
        <v>8</v>
      </c>
      <c r="C37" s="5" t="s">
        <v>84</v>
      </c>
      <c r="D37" s="5" t="s">
        <v>406</v>
      </c>
      <c r="E37" s="5" t="s">
        <v>514</v>
      </c>
      <c r="F37" s="5" t="s">
        <v>86</v>
      </c>
      <c r="G37" s="5" t="s">
        <v>87</v>
      </c>
      <c r="H37" s="5" t="s">
        <v>299</v>
      </c>
      <c r="I37" s="5" t="s">
        <v>408</v>
      </c>
      <c r="J37" s="5" t="s">
        <v>409</v>
      </c>
      <c r="K37" s="5" t="s">
        <v>410</v>
      </c>
      <c r="L37" s="5" t="s">
        <v>411</v>
      </c>
      <c r="M37" s="5" t="s">
        <v>412</v>
      </c>
      <c r="N37" s="5" t="s">
        <v>89</v>
      </c>
      <c r="O37" s="5" t="s">
        <v>413</v>
      </c>
      <c r="P37" s="5" t="s">
        <v>515</v>
      </c>
      <c r="Q37" s="5" t="s">
        <v>300</v>
      </c>
      <c r="R37" s="5" t="s">
        <v>59</v>
      </c>
    </row>
    <row r="38" spans="1:18" ht="55.2">
      <c r="A38" s="5" t="s">
        <v>8</v>
      </c>
      <c r="B38" s="5" t="s">
        <v>8</v>
      </c>
      <c r="C38" s="5" t="s">
        <v>84</v>
      </c>
      <c r="D38" s="5" t="s">
        <v>415</v>
      </c>
      <c r="E38" s="5" t="s">
        <v>516</v>
      </c>
      <c r="F38" s="5" t="s">
        <v>94</v>
      </c>
      <c r="G38" s="5" t="s">
        <v>87</v>
      </c>
      <c r="H38" s="5" t="s">
        <v>299</v>
      </c>
      <c r="I38" s="5" t="s">
        <v>408</v>
      </c>
      <c r="J38" s="5" t="s">
        <v>409</v>
      </c>
      <c r="K38" s="5" t="s">
        <v>417</v>
      </c>
      <c r="L38" s="5" t="s">
        <v>418</v>
      </c>
      <c r="M38" s="5" t="s">
        <v>412</v>
      </c>
      <c r="N38" s="5" t="s">
        <v>89</v>
      </c>
      <c r="O38" s="5" t="s">
        <v>419</v>
      </c>
      <c r="P38" s="5" t="s">
        <v>517</v>
      </c>
      <c r="Q38" s="5" t="s">
        <v>302</v>
      </c>
      <c r="R38" s="5" t="s">
        <v>59</v>
      </c>
    </row>
    <row r="39" spans="1:18" ht="55.2">
      <c r="A39" s="5" t="s">
        <v>303</v>
      </c>
      <c r="B39" s="5" t="s">
        <v>9</v>
      </c>
      <c r="C39" s="5" t="s">
        <v>84</v>
      </c>
      <c r="D39" s="5" t="s">
        <v>406</v>
      </c>
      <c r="E39" s="5" t="s">
        <v>518</v>
      </c>
      <c r="F39" s="5" t="s">
        <v>86</v>
      </c>
      <c r="G39" s="5" t="s">
        <v>87</v>
      </c>
      <c r="H39" s="5" t="s">
        <v>305</v>
      </c>
      <c r="I39" s="5" t="s">
        <v>519</v>
      </c>
      <c r="J39" s="5" t="s">
        <v>520</v>
      </c>
      <c r="K39" s="5" t="s">
        <v>481</v>
      </c>
      <c r="L39" s="5" t="s">
        <v>521</v>
      </c>
      <c r="M39" s="5" t="s">
        <v>412</v>
      </c>
      <c r="N39" s="5" t="s">
        <v>89</v>
      </c>
      <c r="O39" s="5" t="s">
        <v>413</v>
      </c>
      <c r="P39" s="5" t="s">
        <v>522</v>
      </c>
      <c r="Q39" s="5" t="s">
        <v>306</v>
      </c>
      <c r="R39" s="5" t="s">
        <v>59</v>
      </c>
    </row>
    <row r="40" spans="1:18" ht="55.2">
      <c r="A40" s="5" t="s">
        <v>9</v>
      </c>
      <c r="B40" s="5" t="s">
        <v>9</v>
      </c>
      <c r="C40" s="5" t="s">
        <v>84</v>
      </c>
      <c r="D40" s="5" t="s">
        <v>415</v>
      </c>
      <c r="E40" s="5" t="s">
        <v>523</v>
      </c>
      <c r="F40" s="5" t="s">
        <v>94</v>
      </c>
      <c r="G40" s="5" t="s">
        <v>87</v>
      </c>
      <c r="H40" s="5" t="s">
        <v>308</v>
      </c>
      <c r="I40" s="5" t="s">
        <v>519</v>
      </c>
      <c r="J40" s="5" t="s">
        <v>520</v>
      </c>
      <c r="K40" s="5" t="s">
        <v>409</v>
      </c>
      <c r="L40" s="5" t="s">
        <v>524</v>
      </c>
      <c r="M40" s="5" t="s">
        <v>412</v>
      </c>
      <c r="N40" s="5" t="s">
        <v>89</v>
      </c>
      <c r="O40" s="5" t="s">
        <v>419</v>
      </c>
      <c r="P40" s="5" t="s">
        <v>525</v>
      </c>
      <c r="Q40" s="5" t="s">
        <v>309</v>
      </c>
      <c r="R40" s="5" t="s">
        <v>59</v>
      </c>
    </row>
    <row r="41" spans="1:18" ht="55.2">
      <c r="A41" s="5" t="s">
        <v>311</v>
      </c>
      <c r="B41" s="5" t="s">
        <v>9</v>
      </c>
      <c r="C41" s="5" t="s">
        <v>311</v>
      </c>
      <c r="D41" s="5" t="s">
        <v>526</v>
      </c>
      <c r="E41" s="5" t="s">
        <v>527</v>
      </c>
      <c r="F41" s="5" t="s">
        <v>313</v>
      </c>
      <c r="G41" s="5" t="s">
        <v>314</v>
      </c>
      <c r="H41" s="5" t="s">
        <v>315</v>
      </c>
      <c r="I41" s="5" t="s">
        <v>519</v>
      </c>
      <c r="J41" s="5" t="s">
        <v>520</v>
      </c>
      <c r="K41" s="5" t="s">
        <v>528</v>
      </c>
      <c r="L41" s="5" t="s">
        <v>529</v>
      </c>
      <c r="M41" s="5" t="s">
        <v>412</v>
      </c>
      <c r="N41" s="5" t="s">
        <v>102</v>
      </c>
      <c r="O41" s="5" t="s">
        <v>530</v>
      </c>
      <c r="P41" s="5" t="s">
        <v>531</v>
      </c>
      <c r="Q41" s="5" t="s">
        <v>316</v>
      </c>
      <c r="R41" s="5" t="s">
        <v>59</v>
      </c>
    </row>
    <row r="42" spans="1:18" ht="55.2">
      <c r="A42" s="5" t="s">
        <v>319</v>
      </c>
      <c r="B42" s="5" t="s">
        <v>9</v>
      </c>
      <c r="C42" s="5" t="s">
        <v>320</v>
      </c>
      <c r="D42" s="5" t="s">
        <v>532</v>
      </c>
      <c r="E42" s="5" t="s">
        <v>533</v>
      </c>
      <c r="F42" s="5" t="s">
        <v>87</v>
      </c>
      <c r="G42" s="5" t="s">
        <v>87</v>
      </c>
      <c r="H42" s="5" t="s">
        <v>322</v>
      </c>
      <c r="I42" s="5" t="s">
        <v>481</v>
      </c>
      <c r="J42" s="5" t="s">
        <v>534</v>
      </c>
      <c r="K42" s="5" t="s">
        <v>453</v>
      </c>
      <c r="L42" s="5" t="s">
        <v>535</v>
      </c>
      <c r="M42" s="5" t="s">
        <v>412</v>
      </c>
      <c r="N42" s="5" t="s">
        <v>130</v>
      </c>
      <c r="O42" s="5" t="s">
        <v>536</v>
      </c>
      <c r="P42" s="5" t="s">
        <v>537</v>
      </c>
      <c r="Q42" s="5" t="s">
        <v>323</v>
      </c>
      <c r="R42" s="5" t="s">
        <v>59</v>
      </c>
    </row>
    <row r="43" spans="1:18" ht="55.2">
      <c r="A43" s="5" t="s">
        <v>324</v>
      </c>
      <c r="B43" s="5" t="s">
        <v>9</v>
      </c>
      <c r="C43" s="5" t="s">
        <v>325</v>
      </c>
      <c r="D43" s="5" t="s">
        <v>473</v>
      </c>
      <c r="E43" s="5" t="s">
        <v>538</v>
      </c>
      <c r="F43" s="5" t="s">
        <v>201</v>
      </c>
      <c r="G43" s="5" t="s">
        <v>327</v>
      </c>
      <c r="H43" s="5" t="s">
        <v>328</v>
      </c>
      <c r="I43" s="5" t="s">
        <v>519</v>
      </c>
      <c r="J43" s="5" t="s">
        <v>520</v>
      </c>
      <c r="K43" s="5" t="s">
        <v>539</v>
      </c>
      <c r="L43" s="5" t="s">
        <v>540</v>
      </c>
      <c r="M43" s="5" t="s">
        <v>412</v>
      </c>
      <c r="N43" s="5" t="s">
        <v>329</v>
      </c>
      <c r="O43" s="5" t="s">
        <v>477</v>
      </c>
      <c r="P43" s="5" t="s">
        <v>541</v>
      </c>
      <c r="Q43" s="5" t="s">
        <v>330</v>
      </c>
      <c r="R43" s="5" t="s">
        <v>59</v>
      </c>
    </row>
    <row r="44" spans="1:18" ht="55.2">
      <c r="A44" s="5" t="s">
        <v>333</v>
      </c>
      <c r="B44" s="5" t="s">
        <v>10</v>
      </c>
      <c r="C44" s="5" t="s">
        <v>334</v>
      </c>
      <c r="D44" s="5" t="s">
        <v>542</v>
      </c>
      <c r="E44" s="5" t="s">
        <v>543</v>
      </c>
      <c r="F44" s="5" t="s">
        <v>87</v>
      </c>
      <c r="G44" s="5" t="s">
        <v>87</v>
      </c>
      <c r="H44" s="5" t="s">
        <v>336</v>
      </c>
      <c r="I44" s="5" t="s">
        <v>408</v>
      </c>
      <c r="J44" s="5" t="s">
        <v>409</v>
      </c>
      <c r="K44" s="5" t="s">
        <v>408</v>
      </c>
      <c r="L44" s="5" t="s">
        <v>544</v>
      </c>
      <c r="M44" s="5" t="s">
        <v>412</v>
      </c>
      <c r="N44" s="5" t="s">
        <v>89</v>
      </c>
      <c r="O44" s="5" t="s">
        <v>545</v>
      </c>
      <c r="P44" s="5" t="s">
        <v>546</v>
      </c>
      <c r="Q44" s="5" t="s">
        <v>337</v>
      </c>
      <c r="R44" s="5" t="s">
        <v>59</v>
      </c>
    </row>
    <row r="45" spans="1:18" ht="55.2">
      <c r="A45" s="5" t="s">
        <v>340</v>
      </c>
      <c r="B45" s="5" t="s">
        <v>10</v>
      </c>
      <c r="C45" s="5" t="s">
        <v>340</v>
      </c>
      <c r="D45" s="5" t="s">
        <v>547</v>
      </c>
      <c r="E45" s="5" t="s">
        <v>548</v>
      </c>
      <c r="F45" s="5" t="s">
        <v>87</v>
      </c>
      <c r="G45" s="5" t="s">
        <v>87</v>
      </c>
      <c r="H45" s="5" t="s">
        <v>342</v>
      </c>
      <c r="I45" s="5" t="s">
        <v>408</v>
      </c>
      <c r="J45" s="5" t="s">
        <v>409</v>
      </c>
      <c r="K45" s="5" t="s">
        <v>408</v>
      </c>
      <c r="L45" s="5" t="s">
        <v>544</v>
      </c>
      <c r="M45" s="5" t="s">
        <v>412</v>
      </c>
      <c r="N45" s="5" t="s">
        <v>89</v>
      </c>
      <c r="O45" s="5" t="s">
        <v>549</v>
      </c>
      <c r="P45" s="5" t="s">
        <v>550</v>
      </c>
      <c r="Q45" s="5" t="s">
        <v>343</v>
      </c>
      <c r="R45" s="5" t="s">
        <v>59</v>
      </c>
    </row>
    <row r="46" spans="1:18" ht="55.2">
      <c r="A46" s="5" t="s">
        <v>346</v>
      </c>
      <c r="B46" s="5" t="s">
        <v>10</v>
      </c>
      <c r="C46" s="5" t="s">
        <v>347</v>
      </c>
      <c r="D46" s="5" t="s">
        <v>551</v>
      </c>
      <c r="E46" s="5" t="s">
        <v>552</v>
      </c>
      <c r="F46" s="5" t="s">
        <v>87</v>
      </c>
      <c r="G46" s="5" t="s">
        <v>87</v>
      </c>
      <c r="H46" s="5" t="s">
        <v>349</v>
      </c>
      <c r="I46" s="5" t="s">
        <v>408</v>
      </c>
      <c r="J46" s="5" t="s">
        <v>409</v>
      </c>
      <c r="K46" s="5" t="s">
        <v>408</v>
      </c>
      <c r="L46" s="5" t="s">
        <v>544</v>
      </c>
      <c r="M46" s="5" t="s">
        <v>412</v>
      </c>
      <c r="N46" s="5" t="s">
        <v>89</v>
      </c>
      <c r="O46" s="5" t="s">
        <v>553</v>
      </c>
      <c r="P46" s="5" t="s">
        <v>554</v>
      </c>
      <c r="Q46" s="5" t="s">
        <v>350</v>
      </c>
      <c r="R46" s="5" t="s">
        <v>59</v>
      </c>
    </row>
    <row r="47" spans="1:18" ht="55.2">
      <c r="A47" s="5" t="s">
        <v>353</v>
      </c>
      <c r="B47" s="5" t="s">
        <v>10</v>
      </c>
      <c r="C47" s="5" t="s">
        <v>354</v>
      </c>
      <c r="D47" s="5" t="s">
        <v>555</v>
      </c>
      <c r="E47" s="5" t="s">
        <v>556</v>
      </c>
      <c r="F47" s="5" t="s">
        <v>87</v>
      </c>
      <c r="G47" s="5" t="s">
        <v>87</v>
      </c>
      <c r="H47" s="5" t="s">
        <v>356</v>
      </c>
      <c r="I47" s="5" t="s">
        <v>408</v>
      </c>
      <c r="J47" s="5" t="s">
        <v>409</v>
      </c>
      <c r="K47" s="5" t="s">
        <v>410</v>
      </c>
      <c r="L47" s="5" t="s">
        <v>411</v>
      </c>
      <c r="M47" s="5" t="s">
        <v>412</v>
      </c>
      <c r="N47" s="5" t="s">
        <v>89</v>
      </c>
      <c r="O47" s="5" t="s">
        <v>557</v>
      </c>
      <c r="P47" s="5" t="s">
        <v>558</v>
      </c>
      <c r="Q47" s="5" t="s">
        <v>357</v>
      </c>
      <c r="R47" s="5" t="s">
        <v>59</v>
      </c>
    </row>
    <row r="48" spans="1:18" ht="55.2">
      <c r="A48" s="5" t="s">
        <v>359</v>
      </c>
      <c r="B48" s="5" t="s">
        <v>10</v>
      </c>
      <c r="C48" s="5" t="s">
        <v>360</v>
      </c>
      <c r="D48" s="5" t="s">
        <v>555</v>
      </c>
      <c r="E48" s="5" t="s">
        <v>559</v>
      </c>
      <c r="F48" s="5" t="s">
        <v>87</v>
      </c>
      <c r="G48" s="5" t="s">
        <v>87</v>
      </c>
      <c r="H48" s="5" t="s">
        <v>356</v>
      </c>
      <c r="I48" s="5" t="s">
        <v>408</v>
      </c>
      <c r="J48" s="5" t="s">
        <v>409</v>
      </c>
      <c r="K48" s="5" t="s">
        <v>410</v>
      </c>
      <c r="L48" s="5" t="s">
        <v>411</v>
      </c>
      <c r="M48" s="5" t="s">
        <v>412</v>
      </c>
      <c r="N48" s="5" t="s">
        <v>89</v>
      </c>
      <c r="O48" s="5" t="s">
        <v>557</v>
      </c>
      <c r="P48" s="5" t="s">
        <v>560</v>
      </c>
      <c r="Q48" s="5" t="s">
        <v>362</v>
      </c>
      <c r="R48" s="5" t="s">
        <v>59</v>
      </c>
    </row>
    <row r="49" spans="1:18" ht="55.2">
      <c r="A49" s="5" t="s">
        <v>364</v>
      </c>
      <c r="B49" s="5" t="s">
        <v>10</v>
      </c>
      <c r="C49" s="5" t="s">
        <v>365</v>
      </c>
      <c r="D49" s="5" t="s">
        <v>555</v>
      </c>
      <c r="E49" s="5" t="s">
        <v>561</v>
      </c>
      <c r="F49" s="5" t="s">
        <v>87</v>
      </c>
      <c r="G49" s="5" t="s">
        <v>87</v>
      </c>
      <c r="H49" s="5" t="s">
        <v>356</v>
      </c>
      <c r="I49" s="5" t="s">
        <v>408</v>
      </c>
      <c r="J49" s="5" t="s">
        <v>409</v>
      </c>
      <c r="K49" s="5" t="s">
        <v>410</v>
      </c>
      <c r="L49" s="5" t="s">
        <v>411</v>
      </c>
      <c r="M49" s="5" t="s">
        <v>463</v>
      </c>
      <c r="N49" s="5" t="s">
        <v>89</v>
      </c>
      <c r="O49" s="5" t="s">
        <v>557</v>
      </c>
      <c r="P49" s="5" t="s">
        <v>562</v>
      </c>
      <c r="Q49" s="5" t="s">
        <v>367</v>
      </c>
      <c r="R49" s="5" t="s">
        <v>59</v>
      </c>
    </row>
    <row r="50" spans="1:18" ht="55.2">
      <c r="A50" s="5" t="s">
        <v>370</v>
      </c>
      <c r="B50" s="5" t="s">
        <v>10</v>
      </c>
      <c r="C50" s="5" t="s">
        <v>84</v>
      </c>
      <c r="D50" s="5" t="s">
        <v>563</v>
      </c>
      <c r="E50" s="5" t="s">
        <v>564</v>
      </c>
      <c r="F50" s="5" t="s">
        <v>87</v>
      </c>
      <c r="G50" s="5" t="s">
        <v>87</v>
      </c>
      <c r="H50" s="5" t="s">
        <v>372</v>
      </c>
      <c r="I50" s="5" t="s">
        <v>408</v>
      </c>
      <c r="J50" s="5" t="s">
        <v>409</v>
      </c>
      <c r="K50" s="5" t="s">
        <v>410</v>
      </c>
      <c r="L50" s="5" t="s">
        <v>411</v>
      </c>
      <c r="M50" s="5" t="s">
        <v>412</v>
      </c>
      <c r="N50" s="5" t="s">
        <v>373</v>
      </c>
      <c r="O50" s="5" t="s">
        <v>565</v>
      </c>
      <c r="P50" s="5" t="s">
        <v>566</v>
      </c>
      <c r="Q50" s="5" t="s">
        <v>374</v>
      </c>
      <c r="R50" s="5" t="s">
        <v>59</v>
      </c>
    </row>
    <row r="51" spans="1:18" ht="55.2">
      <c r="A51" s="5" t="s">
        <v>376</v>
      </c>
      <c r="B51" s="5" t="s">
        <v>10</v>
      </c>
      <c r="C51" s="5" t="s">
        <v>377</v>
      </c>
      <c r="D51" s="5" t="s">
        <v>567</v>
      </c>
      <c r="E51" s="5" t="s">
        <v>568</v>
      </c>
      <c r="F51" s="5" t="s">
        <v>87</v>
      </c>
      <c r="G51" s="5" t="s">
        <v>87</v>
      </c>
      <c r="H51" s="5" t="s">
        <v>372</v>
      </c>
      <c r="I51" s="5" t="s">
        <v>408</v>
      </c>
      <c r="J51" s="5" t="s">
        <v>409</v>
      </c>
      <c r="K51" s="5" t="s">
        <v>569</v>
      </c>
      <c r="L51" s="5" t="s">
        <v>409</v>
      </c>
      <c r="M51" s="5" t="s">
        <v>570</v>
      </c>
      <c r="N51" s="5" t="s">
        <v>89</v>
      </c>
      <c r="O51" s="5" t="s">
        <v>571</v>
      </c>
      <c r="P51" s="5" t="s">
        <v>572</v>
      </c>
      <c r="Q51" s="5" t="s">
        <v>379</v>
      </c>
      <c r="R51" s="5" t="s">
        <v>59</v>
      </c>
    </row>
    <row r="52" spans="1:18" ht="55.2">
      <c r="A52" s="5" t="s">
        <v>381</v>
      </c>
      <c r="B52" s="5" t="s">
        <v>10</v>
      </c>
      <c r="C52" s="5" t="s">
        <v>377</v>
      </c>
      <c r="D52" s="5" t="s">
        <v>567</v>
      </c>
      <c r="E52" s="5" t="s">
        <v>573</v>
      </c>
      <c r="F52" s="5" t="s">
        <v>87</v>
      </c>
      <c r="G52" s="5" t="s">
        <v>87</v>
      </c>
      <c r="H52" s="5" t="s">
        <v>372</v>
      </c>
      <c r="I52" s="5" t="s">
        <v>569</v>
      </c>
      <c r="J52" s="5" t="s">
        <v>569</v>
      </c>
      <c r="K52" s="5" t="s">
        <v>569</v>
      </c>
      <c r="L52" s="5" t="s">
        <v>569</v>
      </c>
      <c r="M52" s="5" t="s">
        <v>574</v>
      </c>
      <c r="N52" s="5" t="s">
        <v>383</v>
      </c>
      <c r="O52" s="5" t="s">
        <v>575</v>
      </c>
      <c r="P52" s="5" t="s">
        <v>576</v>
      </c>
      <c r="Q52" s="5" t="s">
        <v>384</v>
      </c>
      <c r="R52" s="5" t="s">
        <v>59</v>
      </c>
    </row>
    <row r="53" spans="1:18" ht="55.2">
      <c r="A53" s="5" t="s">
        <v>385</v>
      </c>
      <c r="B53" s="5" t="s">
        <v>10</v>
      </c>
      <c r="C53" s="5" t="s">
        <v>377</v>
      </c>
      <c r="D53" s="5" t="s">
        <v>567</v>
      </c>
      <c r="E53" s="5" t="s">
        <v>577</v>
      </c>
      <c r="F53" s="5" t="s">
        <v>87</v>
      </c>
      <c r="G53" s="5" t="s">
        <v>87</v>
      </c>
      <c r="H53" s="5" t="s">
        <v>387</v>
      </c>
      <c r="I53" s="5" t="s">
        <v>569</v>
      </c>
      <c r="J53" s="5" t="s">
        <v>569</v>
      </c>
      <c r="K53" s="5" t="s">
        <v>569</v>
      </c>
      <c r="L53" s="5" t="s">
        <v>569</v>
      </c>
      <c r="M53" s="5" t="s">
        <v>578</v>
      </c>
      <c r="N53" s="5" t="s">
        <v>383</v>
      </c>
      <c r="O53" s="5" t="s">
        <v>579</v>
      </c>
      <c r="P53" s="5" t="s">
        <v>580</v>
      </c>
      <c r="Q53" s="5" t="s">
        <v>388</v>
      </c>
      <c r="R53" s="5" t="s">
        <v>59</v>
      </c>
    </row>
  </sheetData>
  <mergeCells count="1">
    <mergeCell ref="A1:R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F2"/>
    </sheetView>
  </sheetViews>
  <sheetFormatPr defaultRowHeight="13.8"/>
  <cols>
    <col min="1" max="1" width="16" customWidth="1"/>
    <col min="2" max="2" width="30" customWidth="1"/>
    <col min="3" max="4" width="14" customWidth="1"/>
    <col min="5" max="5" width="55" customWidth="1"/>
    <col min="6" max="6" width="24" customWidth="1"/>
  </cols>
  <sheetData>
    <row r="1" spans="1:6" ht="20.85" customHeight="1">
      <c r="A1" s="50" t="s">
        <v>581</v>
      </c>
      <c r="B1" s="50"/>
      <c r="C1" s="50"/>
      <c r="D1" s="50"/>
      <c r="E1" s="50"/>
      <c r="F1" s="50"/>
    </row>
    <row r="2" spans="1:6" ht="20.85" customHeight="1">
      <c r="A2" s="50"/>
      <c r="B2" s="50"/>
      <c r="C2" s="50"/>
      <c r="D2" s="50"/>
      <c r="E2" s="50"/>
      <c r="F2" s="50"/>
    </row>
    <row r="4" spans="1:6" ht="27.6">
      <c r="A4" s="3" t="s">
        <v>582</v>
      </c>
      <c r="B4" s="3" t="s">
        <v>583</v>
      </c>
      <c r="C4" s="3" t="s">
        <v>75</v>
      </c>
      <c r="D4" s="3" t="s">
        <v>584</v>
      </c>
      <c r="E4" s="3" t="s">
        <v>585</v>
      </c>
      <c r="F4" s="3" t="s">
        <v>23</v>
      </c>
    </row>
    <row r="5" spans="1:6" ht="27.6">
      <c r="A5" s="5" t="s">
        <v>7</v>
      </c>
      <c r="B5" s="5" t="s">
        <v>586</v>
      </c>
      <c r="C5" s="5">
        <v>1</v>
      </c>
      <c r="D5" s="5">
        <v>20</v>
      </c>
      <c r="E5" s="5" t="s">
        <v>587</v>
      </c>
      <c r="F5" s="5" t="s">
        <v>14</v>
      </c>
    </row>
    <row r="6" spans="1:6">
      <c r="A6" s="5" t="s">
        <v>8</v>
      </c>
      <c r="B6" s="5" t="s">
        <v>588</v>
      </c>
      <c r="C6" s="5">
        <v>1</v>
      </c>
      <c r="D6" s="5">
        <v>20</v>
      </c>
      <c r="E6" s="5" t="s">
        <v>589</v>
      </c>
      <c r="F6" s="5" t="s">
        <v>14</v>
      </c>
    </row>
    <row r="7" spans="1:6">
      <c r="A7" s="5" t="s">
        <v>9</v>
      </c>
      <c r="B7" s="5" t="s">
        <v>590</v>
      </c>
      <c r="C7" s="5">
        <v>4</v>
      </c>
      <c r="D7" s="5">
        <v>80</v>
      </c>
      <c r="E7" s="5" t="s">
        <v>591</v>
      </c>
      <c r="F7" s="5" t="s">
        <v>14</v>
      </c>
    </row>
    <row r="8" spans="1:6">
      <c r="A8" s="5" t="s">
        <v>333</v>
      </c>
      <c r="B8" s="5" t="s">
        <v>332</v>
      </c>
      <c r="C8" s="5">
        <v>1</v>
      </c>
      <c r="D8" s="5">
        <v>20</v>
      </c>
      <c r="E8" s="5" t="s">
        <v>592</v>
      </c>
      <c r="F8" s="5" t="s">
        <v>14</v>
      </c>
    </row>
    <row r="9" spans="1:6">
      <c r="A9" s="5" t="s">
        <v>340</v>
      </c>
      <c r="B9" s="5" t="s">
        <v>339</v>
      </c>
      <c r="C9" s="5">
        <v>1</v>
      </c>
      <c r="D9" s="5">
        <v>20</v>
      </c>
      <c r="E9" s="5" t="s">
        <v>593</v>
      </c>
      <c r="F9" s="5" t="s">
        <v>14</v>
      </c>
    </row>
    <row r="10" spans="1:6">
      <c r="A10" s="5" t="s">
        <v>346</v>
      </c>
      <c r="B10" s="5" t="s">
        <v>594</v>
      </c>
      <c r="C10" s="5">
        <v>1</v>
      </c>
      <c r="D10" s="5">
        <v>20</v>
      </c>
      <c r="E10" s="5" t="s">
        <v>595</v>
      </c>
      <c r="F10" s="5" t="s">
        <v>14</v>
      </c>
    </row>
    <row r="11" spans="1:6">
      <c r="A11" s="5" t="s">
        <v>353</v>
      </c>
      <c r="B11" s="5" t="s">
        <v>596</v>
      </c>
      <c r="C11" s="5">
        <v>1</v>
      </c>
      <c r="D11" s="5">
        <v>20</v>
      </c>
      <c r="E11" s="5" t="s">
        <v>597</v>
      </c>
      <c r="F11" s="5" t="s">
        <v>14</v>
      </c>
    </row>
    <row r="12" spans="1:6">
      <c r="A12" s="5" t="s">
        <v>359</v>
      </c>
      <c r="B12" s="5" t="s">
        <v>598</v>
      </c>
      <c r="C12" s="5">
        <v>1</v>
      </c>
      <c r="D12" s="5">
        <v>20</v>
      </c>
      <c r="E12" s="5" t="s">
        <v>599</v>
      </c>
      <c r="F12" s="5" t="s">
        <v>14</v>
      </c>
    </row>
    <row r="13" spans="1:6">
      <c r="A13" s="5" t="s">
        <v>364</v>
      </c>
      <c r="B13" s="5" t="s">
        <v>600</v>
      </c>
      <c r="C13" s="5">
        <v>1</v>
      </c>
      <c r="D13" s="5">
        <v>20</v>
      </c>
      <c r="E13" s="5" t="s">
        <v>601</v>
      </c>
      <c r="F13" s="5" t="s">
        <v>14</v>
      </c>
    </row>
    <row r="14" spans="1:6">
      <c r="A14" s="5" t="s">
        <v>370</v>
      </c>
      <c r="B14" s="5" t="s">
        <v>602</v>
      </c>
      <c r="C14" s="5">
        <v>1</v>
      </c>
      <c r="D14" s="5">
        <v>20</v>
      </c>
      <c r="E14" s="5" t="s">
        <v>603</v>
      </c>
      <c r="F14" s="5" t="s">
        <v>17</v>
      </c>
    </row>
    <row r="15" spans="1:6">
      <c r="A15" s="5" t="s">
        <v>376</v>
      </c>
      <c r="B15" s="5" t="s">
        <v>604</v>
      </c>
      <c r="C15" s="5">
        <v>1</v>
      </c>
      <c r="D15" s="5">
        <v>20</v>
      </c>
      <c r="E15" s="5" t="s">
        <v>605</v>
      </c>
      <c r="F15" s="5" t="s">
        <v>14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A10" workbookViewId="0">
      <selection sqref="A1:G2"/>
    </sheetView>
  </sheetViews>
  <sheetFormatPr defaultRowHeight="13.8"/>
  <cols>
    <col min="1" max="1" width="24" customWidth="1"/>
    <col min="2" max="2" width="20" customWidth="1"/>
    <col min="3" max="3" width="40" customWidth="1"/>
    <col min="4" max="5" width="15" customWidth="1"/>
    <col min="6" max="6" width="46" customWidth="1"/>
    <col min="7" max="7" width="38" customWidth="1"/>
  </cols>
  <sheetData>
    <row r="1" spans="1:7" ht="20.85" customHeight="1">
      <c r="A1" s="53" t="s">
        <v>606</v>
      </c>
      <c r="B1" s="53"/>
      <c r="C1" s="53"/>
      <c r="D1" s="53"/>
      <c r="E1" s="53"/>
      <c r="F1" s="53"/>
      <c r="G1" s="53"/>
    </row>
    <row r="2" spans="1:7" ht="20.85" customHeight="1">
      <c r="A2" s="53"/>
      <c r="B2" s="53"/>
      <c r="C2" s="53"/>
      <c r="D2" s="53"/>
      <c r="E2" s="53"/>
      <c r="F2" s="53"/>
      <c r="G2" s="53"/>
    </row>
    <row r="3" spans="1:7">
      <c r="A3" s="54" t="s">
        <v>607</v>
      </c>
      <c r="B3" s="54"/>
      <c r="C3" s="54"/>
      <c r="D3" s="54"/>
      <c r="E3" s="54"/>
      <c r="F3" s="54"/>
      <c r="G3" s="54"/>
    </row>
    <row r="5" spans="1:7" ht="27.6">
      <c r="A5" s="3" t="s">
        <v>608</v>
      </c>
      <c r="B5" s="3" t="s">
        <v>73</v>
      </c>
      <c r="C5" s="3" t="s">
        <v>71</v>
      </c>
      <c r="D5" s="3" t="s">
        <v>75</v>
      </c>
      <c r="E5" s="3" t="s">
        <v>76</v>
      </c>
      <c r="F5" s="3" t="s">
        <v>609</v>
      </c>
      <c r="G5" s="3" t="s">
        <v>12</v>
      </c>
    </row>
    <row r="6" spans="1:7" ht="55.2">
      <c r="A6" s="5" t="s">
        <v>610</v>
      </c>
      <c r="B6" s="5" t="s">
        <v>611</v>
      </c>
      <c r="C6" s="5" t="s">
        <v>612</v>
      </c>
      <c r="D6" s="5">
        <v>8</v>
      </c>
      <c r="E6" s="5">
        <v>160</v>
      </c>
      <c r="F6" s="5" t="s">
        <v>613</v>
      </c>
      <c r="G6" s="5" t="s">
        <v>61</v>
      </c>
    </row>
    <row r="7" spans="1:7" ht="55.2">
      <c r="A7" s="5" t="s">
        <v>614</v>
      </c>
      <c r="B7" s="5" t="s">
        <v>615</v>
      </c>
      <c r="C7" s="5" t="s">
        <v>616</v>
      </c>
      <c r="D7" s="5">
        <v>48</v>
      </c>
      <c r="E7" s="5">
        <v>960</v>
      </c>
      <c r="F7" s="5" t="s">
        <v>617</v>
      </c>
      <c r="G7" s="5" t="s">
        <v>61</v>
      </c>
    </row>
    <row r="8" spans="1:7" ht="55.2">
      <c r="A8" s="5" t="s">
        <v>618</v>
      </c>
      <c r="B8" s="5" t="s">
        <v>327</v>
      </c>
      <c r="C8" s="5" t="s">
        <v>619</v>
      </c>
      <c r="D8" s="5">
        <v>8</v>
      </c>
      <c r="E8" s="5">
        <v>160</v>
      </c>
      <c r="F8" s="5" t="s">
        <v>620</v>
      </c>
      <c r="G8" s="5" t="s">
        <v>61</v>
      </c>
    </row>
    <row r="9" spans="1:7" ht="55.2">
      <c r="A9" s="5" t="s">
        <v>621</v>
      </c>
      <c r="B9" s="5" t="s">
        <v>622</v>
      </c>
      <c r="C9" s="5" t="s">
        <v>623</v>
      </c>
      <c r="D9" s="5">
        <v>2</v>
      </c>
      <c r="E9" s="5">
        <v>40</v>
      </c>
      <c r="F9" s="5" t="s">
        <v>624</v>
      </c>
      <c r="G9" s="5" t="s">
        <v>61</v>
      </c>
    </row>
    <row r="10" spans="1:7" ht="55.2">
      <c r="A10" s="5" t="s">
        <v>625</v>
      </c>
      <c r="B10" s="5" t="s">
        <v>626</v>
      </c>
      <c r="C10" s="5" t="s">
        <v>627</v>
      </c>
      <c r="D10" s="5">
        <v>12</v>
      </c>
      <c r="E10" s="5">
        <v>240</v>
      </c>
      <c r="F10" s="5" t="s">
        <v>628</v>
      </c>
      <c r="G10" s="5" t="s">
        <v>61</v>
      </c>
    </row>
    <row r="11" spans="1:7" ht="55.2">
      <c r="A11" s="5" t="s">
        <v>629</v>
      </c>
      <c r="B11" s="5" t="s">
        <v>630</v>
      </c>
      <c r="C11" s="5" t="s">
        <v>631</v>
      </c>
      <c r="D11" s="5">
        <v>12</v>
      </c>
      <c r="E11" s="5">
        <v>240</v>
      </c>
      <c r="F11" s="5" t="s">
        <v>632</v>
      </c>
      <c r="G11" s="5" t="s">
        <v>61</v>
      </c>
    </row>
  </sheetData>
  <mergeCells count="2">
    <mergeCell ref="A1:G2"/>
    <mergeCell ref="A3:G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"/>
    </sheetView>
  </sheetViews>
  <sheetFormatPr defaultRowHeight="13.8"/>
  <cols>
    <col min="1" max="1" width="28" customWidth="1"/>
    <col min="2" max="2" width="62" customWidth="1"/>
    <col min="3" max="3" width="28" customWidth="1"/>
    <col min="4" max="6" width="14" customWidth="1"/>
  </cols>
  <sheetData>
    <row r="1" spans="1:6" ht="20.85" customHeight="1">
      <c r="A1" s="53" t="s">
        <v>633</v>
      </c>
      <c r="B1" s="53"/>
      <c r="C1" s="53"/>
      <c r="D1" s="53"/>
      <c r="E1" s="53"/>
      <c r="F1" s="53"/>
    </row>
    <row r="2" spans="1:6" ht="20.85" customHeight="1">
      <c r="A2" s="53"/>
      <c r="B2" s="53"/>
      <c r="C2" s="53"/>
      <c r="D2" s="53"/>
      <c r="E2" s="53"/>
      <c r="F2" s="53"/>
    </row>
    <row r="4" spans="1:6">
      <c r="A4" s="2" t="s">
        <v>2</v>
      </c>
      <c r="B4" s="2" t="s">
        <v>634</v>
      </c>
      <c r="C4" s="2" t="s">
        <v>635</v>
      </c>
    </row>
    <row r="5" spans="1:6" ht="27.6">
      <c r="A5" s="11" t="s">
        <v>11</v>
      </c>
      <c r="B5" s="5" t="s">
        <v>636</v>
      </c>
      <c r="C5" s="5" t="s">
        <v>637</v>
      </c>
    </row>
    <row r="6" spans="1:6" ht="27.6">
      <c r="A6" s="11" t="s">
        <v>14</v>
      </c>
      <c r="B6" s="5" t="s">
        <v>638</v>
      </c>
      <c r="C6" s="5" t="s">
        <v>639</v>
      </c>
    </row>
    <row r="7" spans="1:6" ht="27.6">
      <c r="A7" s="11" t="s">
        <v>17</v>
      </c>
      <c r="B7" s="5" t="s">
        <v>640</v>
      </c>
      <c r="C7" s="5" t="s">
        <v>641</v>
      </c>
    </row>
    <row r="8" spans="1:6" ht="27.6">
      <c r="A8" s="11" t="s">
        <v>22</v>
      </c>
      <c r="B8" s="5" t="s">
        <v>642</v>
      </c>
      <c r="C8" s="5" t="s">
        <v>643</v>
      </c>
    </row>
    <row r="9" spans="1:6" ht="27.6">
      <c r="A9" s="11" t="s">
        <v>27</v>
      </c>
      <c r="B9" s="5" t="s">
        <v>644</v>
      </c>
      <c r="C9" s="5" t="s">
        <v>645</v>
      </c>
    </row>
    <row r="10" spans="1:6" ht="27.6">
      <c r="A10" s="17" t="s">
        <v>646</v>
      </c>
      <c r="B10" s="17" t="s">
        <v>647</v>
      </c>
      <c r="C10" s="17" t="s">
        <v>648</v>
      </c>
    </row>
    <row r="13" spans="1:6">
      <c r="A13" s="3" t="s">
        <v>649</v>
      </c>
      <c r="B13" s="3" t="s">
        <v>650</v>
      </c>
      <c r="C13" s="55" t="s">
        <v>12</v>
      </c>
      <c r="D13" s="55"/>
      <c r="E13" s="55"/>
      <c r="F13" s="55"/>
    </row>
    <row r="14" spans="1:6">
      <c r="A14" s="11" t="s">
        <v>651</v>
      </c>
      <c r="B14" s="5" t="s">
        <v>652</v>
      </c>
      <c r="C14" s="47" t="s">
        <v>653</v>
      </c>
      <c r="D14" s="47"/>
      <c r="E14" s="47"/>
      <c r="F14" s="47"/>
    </row>
    <row r="15" spans="1:6">
      <c r="A15" s="11" t="s">
        <v>654</v>
      </c>
      <c r="B15" s="5" t="s">
        <v>655</v>
      </c>
      <c r="C15" s="47" t="s">
        <v>653</v>
      </c>
      <c r="D15" s="47"/>
      <c r="E15" s="47"/>
      <c r="F15" s="47"/>
    </row>
    <row r="16" spans="1:6">
      <c r="A16" s="11" t="s">
        <v>656</v>
      </c>
      <c r="B16" s="5" t="s">
        <v>657</v>
      </c>
      <c r="C16" s="47" t="s">
        <v>653</v>
      </c>
      <c r="D16" s="47"/>
      <c r="E16" s="47"/>
      <c r="F16" s="47"/>
    </row>
    <row r="17" spans="1:6">
      <c r="A17" s="11" t="s">
        <v>658</v>
      </c>
      <c r="B17" s="5" t="s">
        <v>659</v>
      </c>
      <c r="C17" s="47" t="s">
        <v>653</v>
      </c>
      <c r="D17" s="47"/>
      <c r="E17" s="47"/>
      <c r="F17" s="47"/>
    </row>
    <row r="18" spans="1:6">
      <c r="A18" s="11" t="s">
        <v>660</v>
      </c>
      <c r="B18" s="5" t="s">
        <v>661</v>
      </c>
      <c r="C18" s="47" t="s">
        <v>662</v>
      </c>
      <c r="D18" s="47"/>
      <c r="E18" s="47"/>
      <c r="F18" s="47"/>
    </row>
    <row r="19" spans="1:6">
      <c r="A19" s="11" t="s">
        <v>663</v>
      </c>
      <c r="B19" s="5" t="s">
        <v>664</v>
      </c>
      <c r="C19" s="47" t="s">
        <v>665</v>
      </c>
      <c r="D19" s="47"/>
      <c r="E19" s="47"/>
      <c r="F19" s="47"/>
    </row>
    <row r="20" spans="1:6" ht="27.6">
      <c r="A20" s="11" t="s">
        <v>666</v>
      </c>
      <c r="B20" s="5" t="s">
        <v>667</v>
      </c>
      <c r="C20" s="47" t="s">
        <v>668</v>
      </c>
      <c r="D20" s="47"/>
      <c r="E20" s="47"/>
      <c r="F20" s="47"/>
    </row>
    <row r="23" spans="1:6">
      <c r="A23" s="2" t="s">
        <v>12</v>
      </c>
      <c r="B23" s="2" t="s">
        <v>57</v>
      </c>
    </row>
    <row r="24" spans="1:6" ht="27.6">
      <c r="A24" s="10" t="s">
        <v>662</v>
      </c>
      <c r="B24" s="5" t="s">
        <v>59</v>
      </c>
    </row>
    <row r="25" spans="1:6" ht="27.6">
      <c r="A25" s="10" t="s">
        <v>653</v>
      </c>
      <c r="B25" s="5" t="s">
        <v>61</v>
      </c>
    </row>
    <row r="26" spans="1:6" ht="27.6">
      <c r="A26" s="10" t="s">
        <v>669</v>
      </c>
      <c r="B26" s="5" t="s">
        <v>670</v>
      </c>
    </row>
    <row r="27" spans="1:6" ht="27.6">
      <c r="A27" s="10" t="s">
        <v>671</v>
      </c>
      <c r="B27" s="5" t="s">
        <v>62</v>
      </c>
    </row>
  </sheetData>
  <mergeCells count="9">
    <mergeCell ref="C17:F17"/>
    <mergeCell ref="C18:F18"/>
    <mergeCell ref="C19:F19"/>
    <mergeCell ref="C20:F20"/>
    <mergeCell ref="A1:F2"/>
    <mergeCell ref="C13:F13"/>
    <mergeCell ref="C14:F14"/>
    <mergeCell ref="C15:F15"/>
    <mergeCell ref="C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sqref="A1:J2"/>
    </sheetView>
  </sheetViews>
  <sheetFormatPr defaultRowHeight="13.8"/>
  <cols>
    <col min="1" max="1" width="28" customWidth="1"/>
    <col min="2" max="2" width="54" customWidth="1"/>
    <col min="3" max="3" width="16" customWidth="1"/>
    <col min="4" max="5" width="17" customWidth="1"/>
    <col min="6" max="6" width="18" customWidth="1"/>
    <col min="7" max="7" width="10" customWidth="1"/>
    <col min="8" max="8" width="38" customWidth="1"/>
    <col min="10" max="13" width="15" customWidth="1"/>
  </cols>
  <sheetData>
    <row r="1" spans="1:13">
      <c r="A1" s="57" t="s">
        <v>695</v>
      </c>
      <c r="B1" s="57"/>
      <c r="C1" s="57"/>
      <c r="D1" s="57"/>
      <c r="E1" s="57"/>
      <c r="F1" s="57"/>
      <c r="G1" s="57"/>
      <c r="H1" s="57"/>
      <c r="I1" s="57"/>
      <c r="J1" s="57"/>
    </row>
    <row r="2" spans="1:13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3">
      <c r="A3" s="58" t="s">
        <v>696</v>
      </c>
      <c r="B3" s="58"/>
      <c r="C3" s="58"/>
      <c r="D3" s="58"/>
      <c r="E3" s="58"/>
      <c r="F3" s="58"/>
      <c r="G3" s="58"/>
      <c r="H3" s="58"/>
      <c r="I3" s="58"/>
      <c r="J3" s="58"/>
    </row>
    <row r="5" spans="1:13">
      <c r="A5" s="25" t="s">
        <v>4</v>
      </c>
      <c r="B5" s="25" t="s">
        <v>5</v>
      </c>
      <c r="C5" s="25" t="s">
        <v>4</v>
      </c>
      <c r="D5" s="25" t="s">
        <v>5</v>
      </c>
      <c r="J5" s="62" t="s">
        <v>697</v>
      </c>
      <c r="K5" s="62"/>
      <c r="L5" s="62"/>
      <c r="M5" s="62"/>
    </row>
    <row r="6" spans="1:13">
      <c r="A6" s="26" t="s">
        <v>673</v>
      </c>
      <c r="B6" s="26" t="s">
        <v>674</v>
      </c>
      <c r="C6" s="26" t="s">
        <v>698</v>
      </c>
      <c r="D6" s="27">
        <v>85.075699999999998</v>
      </c>
      <c r="J6" s="62"/>
      <c r="K6" s="62"/>
      <c r="L6" s="62"/>
      <c r="M6" s="62"/>
    </row>
    <row r="7" spans="1:13" ht="55.2">
      <c r="A7" s="26" t="s">
        <v>699</v>
      </c>
      <c r="B7" s="26" t="s">
        <v>26</v>
      </c>
      <c r="C7" s="26" t="s">
        <v>700</v>
      </c>
      <c r="D7" s="22" t="s">
        <v>701</v>
      </c>
      <c r="J7" s="63">
        <v>30899.324088600002</v>
      </c>
      <c r="K7" s="63">
        <v>30899.324088600002</v>
      </c>
      <c r="L7" s="63">
        <v>30899.324088600002</v>
      </c>
      <c r="M7" s="63">
        <v>30899.324088600002</v>
      </c>
    </row>
    <row r="8" spans="1:13" ht="27.6">
      <c r="A8" s="26" t="s">
        <v>702</v>
      </c>
      <c r="B8" s="26" t="s">
        <v>703</v>
      </c>
      <c r="C8" s="26" t="s">
        <v>23</v>
      </c>
      <c r="D8" s="22" t="s">
        <v>704</v>
      </c>
      <c r="J8" s="63">
        <v>30899.324088600002</v>
      </c>
      <c r="K8" s="63">
        <v>30899.324088600002</v>
      </c>
      <c r="L8" s="63">
        <v>30899.324088600002</v>
      </c>
      <c r="M8" s="63">
        <v>30899.324088600002</v>
      </c>
    </row>
    <row r="9" spans="1:13">
      <c r="J9" s="63">
        <v>30899.324088600002</v>
      </c>
      <c r="K9" s="63">
        <v>30899.324088600002</v>
      </c>
      <c r="L9" s="63">
        <v>30899.324088600002</v>
      </c>
      <c r="M9" s="63">
        <v>30899.324088600002</v>
      </c>
    </row>
    <row r="10" spans="1:13">
      <c r="A10" s="28" t="s">
        <v>705</v>
      </c>
      <c r="B10" s="28" t="s">
        <v>706</v>
      </c>
      <c r="C10" s="28" t="s">
        <v>707</v>
      </c>
      <c r="D10" s="28" t="s">
        <v>708</v>
      </c>
      <c r="E10" s="28" t="s">
        <v>709</v>
      </c>
      <c r="F10" s="28" t="s">
        <v>710</v>
      </c>
      <c r="G10" s="28" t="s">
        <v>711</v>
      </c>
      <c r="H10" s="28" t="s">
        <v>712</v>
      </c>
    </row>
    <row r="11" spans="1:13" ht="27.6">
      <c r="A11" s="22" t="s">
        <v>684</v>
      </c>
      <c r="B11" s="22" t="s">
        <v>713</v>
      </c>
      <c r="C11" s="23">
        <v>100.67999999999999</v>
      </c>
      <c r="D11" s="24">
        <v>8565.4214759999995</v>
      </c>
      <c r="E11" s="23">
        <v>2013.6</v>
      </c>
      <c r="F11" s="24">
        <v>171308.42951999998</v>
      </c>
      <c r="G11" s="29">
        <v>0.30492458658913318</v>
      </c>
      <c r="H11" s="22" t="s">
        <v>714</v>
      </c>
      <c r="J11" s="62" t="s">
        <v>715</v>
      </c>
      <c r="K11" s="62"/>
      <c r="L11" s="62"/>
      <c r="M11" s="62"/>
    </row>
    <row r="12" spans="1:13" ht="27.6">
      <c r="A12" s="38" t="s">
        <v>691</v>
      </c>
      <c r="B12" s="38" t="s">
        <v>716</v>
      </c>
      <c r="C12" s="39">
        <v>50</v>
      </c>
      <c r="D12" s="40">
        <v>4253.7849999999999</v>
      </c>
      <c r="E12" s="39">
        <v>1000</v>
      </c>
      <c r="F12" s="40">
        <v>85075.7</v>
      </c>
      <c r="G12" s="41">
        <v>0.15143255194136532</v>
      </c>
      <c r="H12" s="38" t="s">
        <v>717</v>
      </c>
      <c r="J12" s="62"/>
      <c r="K12" s="62"/>
      <c r="L12" s="62"/>
      <c r="M12" s="62"/>
    </row>
    <row r="13" spans="1:13" ht="27.6">
      <c r="A13" s="38" t="s">
        <v>693</v>
      </c>
      <c r="B13" s="38" t="s">
        <v>718</v>
      </c>
      <c r="C13" s="39">
        <v>25</v>
      </c>
      <c r="D13" s="40">
        <v>2126.8924999999999</v>
      </c>
      <c r="E13" s="39">
        <v>500</v>
      </c>
      <c r="F13" s="40">
        <v>42537.85</v>
      </c>
      <c r="G13" s="41">
        <v>7.5716275970682659E-2</v>
      </c>
      <c r="H13" s="38" t="s">
        <v>719</v>
      </c>
      <c r="J13" s="63">
        <v>617986.48177200009</v>
      </c>
      <c r="K13" s="63">
        <v>617986.48177200009</v>
      </c>
      <c r="L13" s="63">
        <v>617986.48177200009</v>
      </c>
      <c r="M13" s="63">
        <v>617986.48177200009</v>
      </c>
    </row>
    <row r="14" spans="1:13" ht="27.6">
      <c r="A14" s="22" t="s">
        <v>720</v>
      </c>
      <c r="B14" s="22" t="s">
        <v>721</v>
      </c>
      <c r="C14" s="23">
        <v>65</v>
      </c>
      <c r="D14" s="24">
        <v>5529.9205000000002</v>
      </c>
      <c r="E14" s="23">
        <v>1300</v>
      </c>
      <c r="F14" s="24">
        <v>110598.41</v>
      </c>
      <c r="G14" s="29">
        <v>0.19686231752377492</v>
      </c>
      <c r="H14" s="22" t="s">
        <v>722</v>
      </c>
      <c r="J14" s="63">
        <v>617986.48177200009</v>
      </c>
      <c r="K14" s="63">
        <v>617986.48177200009</v>
      </c>
      <c r="L14" s="63">
        <v>617986.48177200009</v>
      </c>
      <c r="M14" s="63">
        <v>617986.48177200009</v>
      </c>
    </row>
    <row r="15" spans="1:13">
      <c r="A15" s="22" t="s">
        <v>339</v>
      </c>
      <c r="B15" s="22" t="s">
        <v>723</v>
      </c>
      <c r="C15" s="23">
        <v>12.5</v>
      </c>
      <c r="D15" s="24">
        <v>1063.44625</v>
      </c>
      <c r="E15" s="23">
        <v>250</v>
      </c>
      <c r="F15" s="24">
        <v>21268.924999999999</v>
      </c>
      <c r="G15" s="29">
        <v>3.7858137985341329E-2</v>
      </c>
      <c r="H15" s="22" t="s">
        <v>724</v>
      </c>
      <c r="J15" s="63">
        <v>617986.48177200009</v>
      </c>
      <c r="K15" s="63">
        <v>617986.48177200009</v>
      </c>
      <c r="L15" s="63">
        <v>617986.48177200009</v>
      </c>
      <c r="M15" s="63">
        <v>617986.48177200009</v>
      </c>
    </row>
    <row r="16" spans="1:13" ht="27.6">
      <c r="A16" s="22" t="s">
        <v>725</v>
      </c>
      <c r="B16" s="22" t="s">
        <v>726</v>
      </c>
      <c r="C16" s="23">
        <v>20</v>
      </c>
      <c r="D16" s="24">
        <v>1701.5139999999999</v>
      </c>
      <c r="E16" s="23">
        <v>400</v>
      </c>
      <c r="F16" s="24">
        <v>34030.28</v>
      </c>
      <c r="G16" s="29">
        <v>6.0573020776546124E-2</v>
      </c>
      <c r="H16" s="22" t="s">
        <v>727</v>
      </c>
    </row>
    <row r="17" spans="1:13">
      <c r="A17" s="22" t="s">
        <v>728</v>
      </c>
      <c r="B17" s="22" t="s">
        <v>729</v>
      </c>
      <c r="C17" s="23">
        <v>22</v>
      </c>
      <c r="D17" s="24">
        <v>1871.6653999999999</v>
      </c>
      <c r="E17" s="23">
        <v>440</v>
      </c>
      <c r="F17" s="24">
        <v>37433.307999999997</v>
      </c>
      <c r="G17" s="29">
        <v>6.663032285420073E-2</v>
      </c>
      <c r="H17" s="22" t="s">
        <v>730</v>
      </c>
    </row>
    <row r="18" spans="1:13">
      <c r="A18" s="22" t="s">
        <v>731</v>
      </c>
      <c r="B18" s="22" t="s">
        <v>732</v>
      </c>
      <c r="C18" s="23">
        <v>35</v>
      </c>
      <c r="D18" s="24">
        <v>2977.6495</v>
      </c>
      <c r="E18" s="23">
        <v>700</v>
      </c>
      <c r="F18" s="24">
        <v>59552.99</v>
      </c>
      <c r="G18" s="29">
        <v>0.10600278635895573</v>
      </c>
      <c r="H18" s="22" t="s">
        <v>733</v>
      </c>
    </row>
    <row r="19" spans="1:13">
      <c r="A19" s="59" t="s">
        <v>734</v>
      </c>
      <c r="B19" s="59"/>
      <c r="C19" s="31">
        <v>330.18</v>
      </c>
      <c r="D19" s="32">
        <v>28090.294625999999</v>
      </c>
      <c r="E19" s="31">
        <v>6603.6</v>
      </c>
      <c r="F19" s="32">
        <v>561805.89251999999</v>
      </c>
      <c r="G19" s="30"/>
      <c r="H19" s="30"/>
    </row>
    <row r="20" spans="1:13">
      <c r="A20" s="60" t="s">
        <v>735</v>
      </c>
      <c r="B20" s="60"/>
      <c r="C20" s="34">
        <v>33.018000000000001</v>
      </c>
      <c r="D20" s="35">
        <v>2809.0294626</v>
      </c>
      <c r="E20" s="34">
        <v>660.36000000000013</v>
      </c>
      <c r="F20" s="35">
        <v>56180.589252000005</v>
      </c>
      <c r="G20" s="33"/>
      <c r="H20" s="33"/>
    </row>
    <row r="21" spans="1:13">
      <c r="A21" s="61" t="s">
        <v>736</v>
      </c>
      <c r="B21" s="61"/>
      <c r="C21" s="36">
        <v>363.19800000000004</v>
      </c>
      <c r="D21" s="37">
        <v>30899.324088600002</v>
      </c>
      <c r="E21" s="36">
        <v>7263.9600000000009</v>
      </c>
      <c r="F21" s="37">
        <v>617986.48177200009</v>
      </c>
      <c r="G21" s="25"/>
      <c r="H21" s="25"/>
    </row>
    <row r="23" spans="1:13">
      <c r="A23" s="52" t="s">
        <v>737</v>
      </c>
      <c r="B23" s="52"/>
      <c r="C23" s="52"/>
      <c r="D23" s="52"/>
      <c r="E23" s="52"/>
      <c r="F23" s="52"/>
      <c r="G23" s="52"/>
      <c r="H23" s="52"/>
    </row>
    <row r="24" spans="1:13">
      <c r="A24" s="52"/>
      <c r="B24" s="52"/>
      <c r="C24" s="52"/>
      <c r="D24" s="52"/>
      <c r="E24" s="52"/>
      <c r="F24" s="52"/>
      <c r="G24" s="52"/>
      <c r="H24" s="52"/>
    </row>
    <row r="25" spans="1:13">
      <c r="A25" s="52"/>
      <c r="B25" s="52"/>
      <c r="C25" s="52"/>
      <c r="D25" s="52"/>
      <c r="E25" s="52"/>
      <c r="F25" s="52"/>
      <c r="G25" s="52"/>
      <c r="H25" s="52"/>
    </row>
    <row r="32" spans="1:13">
      <c r="J32" s="64" t="s">
        <v>738</v>
      </c>
      <c r="K32" s="64"/>
      <c r="L32" s="64"/>
      <c r="M32" s="64"/>
    </row>
    <row r="33" spans="10:13">
      <c r="J33" s="64"/>
      <c r="K33" s="64"/>
      <c r="L33" s="64"/>
      <c r="M33" s="64"/>
    </row>
    <row r="34" spans="10:13">
      <c r="J34" s="65">
        <v>28090.294625999999</v>
      </c>
      <c r="K34" s="65"/>
      <c r="L34" s="65"/>
      <c r="M34" s="65"/>
    </row>
    <row r="35" spans="10:13">
      <c r="J35" s="65"/>
      <c r="K35" s="65"/>
      <c r="L35" s="65"/>
      <c r="M35" s="65"/>
    </row>
  </sheetData>
  <mergeCells count="12">
    <mergeCell ref="A23:H25"/>
    <mergeCell ref="J32:M33"/>
    <mergeCell ref="J34:M35"/>
    <mergeCell ref="A1:J2"/>
    <mergeCell ref="A3:J3"/>
    <mergeCell ref="A19:B19"/>
    <mergeCell ref="A20:B20"/>
    <mergeCell ref="A21:B21"/>
    <mergeCell ref="J5:M6"/>
    <mergeCell ref="J7:M9"/>
    <mergeCell ref="J11:M12"/>
    <mergeCell ref="J13:M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sqref="A1:F2"/>
    </sheetView>
  </sheetViews>
  <sheetFormatPr defaultRowHeight="13.8"/>
  <cols>
    <col min="1" max="1" width="18" customWidth="1"/>
    <col min="2" max="2" width="28" customWidth="1"/>
    <col min="3" max="3" width="22" customWidth="1"/>
    <col min="4" max="4" width="20" customWidth="1"/>
    <col min="5" max="5" width="14" customWidth="1"/>
    <col min="6" max="6" width="56" customWidth="1"/>
  </cols>
  <sheetData>
    <row r="1" spans="1:6">
      <c r="A1" s="56" t="s">
        <v>739</v>
      </c>
      <c r="B1" s="56"/>
      <c r="C1" s="56"/>
      <c r="D1" s="56"/>
      <c r="E1" s="56"/>
      <c r="F1" s="56"/>
    </row>
    <row r="2" spans="1:6">
      <c r="A2" s="56"/>
      <c r="B2" s="56"/>
      <c r="C2" s="56"/>
      <c r="D2" s="56"/>
      <c r="E2" s="56"/>
      <c r="F2" s="56"/>
    </row>
    <row r="4" spans="1:6">
      <c r="A4" s="25" t="s">
        <v>608</v>
      </c>
      <c r="B4" s="25" t="s">
        <v>740</v>
      </c>
      <c r="C4" s="25" t="s">
        <v>741</v>
      </c>
      <c r="D4" s="25" t="s">
        <v>742</v>
      </c>
      <c r="E4" s="25" t="s">
        <v>743</v>
      </c>
      <c r="F4" s="25" t="s">
        <v>57</v>
      </c>
    </row>
    <row r="5" spans="1:6">
      <c r="A5" s="22" t="s">
        <v>744</v>
      </c>
      <c r="B5" s="22" t="s">
        <v>33</v>
      </c>
      <c r="C5" s="22" t="s">
        <v>745</v>
      </c>
      <c r="D5" s="22" t="s">
        <v>746</v>
      </c>
      <c r="E5" s="22" t="s">
        <v>674</v>
      </c>
      <c r="F5" s="22" t="s">
        <v>104</v>
      </c>
    </row>
    <row r="6" spans="1:6">
      <c r="A6" s="22" t="s">
        <v>744</v>
      </c>
      <c r="B6" s="22" t="s">
        <v>108</v>
      </c>
      <c r="C6" s="22" t="s">
        <v>747</v>
      </c>
      <c r="D6" s="22" t="s">
        <v>746</v>
      </c>
      <c r="E6" s="22" t="s">
        <v>674</v>
      </c>
      <c r="F6" s="22" t="s">
        <v>111</v>
      </c>
    </row>
    <row r="7" spans="1:6" ht="27.6">
      <c r="A7" s="22" t="s">
        <v>744</v>
      </c>
      <c r="B7" s="22" t="s">
        <v>115</v>
      </c>
      <c r="C7" s="22" t="s">
        <v>748</v>
      </c>
      <c r="D7" s="22" t="s">
        <v>746</v>
      </c>
      <c r="E7" s="22" t="s">
        <v>674</v>
      </c>
      <c r="F7" s="22" t="s">
        <v>118</v>
      </c>
    </row>
    <row r="8" spans="1:6" ht="27.6">
      <c r="A8" s="22" t="s">
        <v>744</v>
      </c>
      <c r="B8" s="22" t="s">
        <v>122</v>
      </c>
      <c r="C8" s="22" t="s">
        <v>749</v>
      </c>
      <c r="D8" s="22" t="s">
        <v>746</v>
      </c>
      <c r="E8" s="22" t="s">
        <v>674</v>
      </c>
      <c r="F8" s="22" t="s">
        <v>126</v>
      </c>
    </row>
    <row r="9" spans="1:6" ht="27.6">
      <c r="A9" s="22" t="s">
        <v>744</v>
      </c>
      <c r="B9" s="22" t="s">
        <v>156</v>
      </c>
      <c r="C9" s="22" t="s">
        <v>750</v>
      </c>
      <c r="D9" s="22" t="s">
        <v>746</v>
      </c>
      <c r="E9" s="22" t="s">
        <v>674</v>
      </c>
      <c r="F9" s="22" t="s">
        <v>160</v>
      </c>
    </row>
    <row r="10" spans="1:6">
      <c r="A10" s="22" t="s">
        <v>744</v>
      </c>
      <c r="B10" s="22" t="s">
        <v>41</v>
      </c>
      <c r="C10" s="22" t="s">
        <v>751</v>
      </c>
      <c r="D10" s="22" t="s">
        <v>752</v>
      </c>
      <c r="E10" s="22" t="s">
        <v>674</v>
      </c>
      <c r="F10" s="22" t="s">
        <v>171</v>
      </c>
    </row>
    <row r="11" spans="1:6">
      <c r="A11" s="22" t="s">
        <v>744</v>
      </c>
      <c r="B11" s="22" t="s">
        <v>35</v>
      </c>
      <c r="C11" s="22" t="s">
        <v>753</v>
      </c>
      <c r="D11" s="22" t="s">
        <v>754</v>
      </c>
      <c r="E11" s="22" t="s">
        <v>674</v>
      </c>
      <c r="F11" s="22" t="s">
        <v>141</v>
      </c>
    </row>
    <row r="12" spans="1:6" ht="27.6">
      <c r="A12" s="22" t="s">
        <v>744</v>
      </c>
      <c r="B12" s="22" t="s">
        <v>755</v>
      </c>
      <c r="C12" s="22" t="s">
        <v>756</v>
      </c>
      <c r="D12" s="22" t="s">
        <v>757</v>
      </c>
      <c r="E12" s="22" t="s">
        <v>674</v>
      </c>
      <c r="F12" s="22" t="s">
        <v>179</v>
      </c>
    </row>
    <row r="13" spans="1:6" ht="27.6">
      <c r="A13" s="22" t="s">
        <v>744</v>
      </c>
      <c r="B13" s="22" t="s">
        <v>758</v>
      </c>
      <c r="C13" s="22" t="s">
        <v>759</v>
      </c>
      <c r="D13" s="22" t="s">
        <v>760</v>
      </c>
      <c r="E13" s="22" t="s">
        <v>674</v>
      </c>
      <c r="F13" s="22" t="s">
        <v>186</v>
      </c>
    </row>
    <row r="14" spans="1:6" ht="27.6">
      <c r="A14" s="22" t="s">
        <v>744</v>
      </c>
      <c r="B14" s="22" t="s">
        <v>761</v>
      </c>
      <c r="C14" s="22" t="s">
        <v>762</v>
      </c>
      <c r="D14" s="22" t="s">
        <v>746</v>
      </c>
      <c r="E14" s="22" t="s">
        <v>674</v>
      </c>
      <c r="F14" s="22" t="s">
        <v>230</v>
      </c>
    </row>
    <row r="15" spans="1:6">
      <c r="A15" s="22" t="s">
        <v>48</v>
      </c>
      <c r="B15" s="22" t="s">
        <v>234</v>
      </c>
      <c r="C15" s="22" t="s">
        <v>763</v>
      </c>
      <c r="D15" s="22" t="s">
        <v>746</v>
      </c>
      <c r="E15" s="22" t="s">
        <v>674</v>
      </c>
      <c r="F15" s="22" t="s">
        <v>238</v>
      </c>
    </row>
    <row r="16" spans="1:6" ht="27.6">
      <c r="A16" s="22" t="s">
        <v>48</v>
      </c>
      <c r="B16" s="22" t="s">
        <v>242</v>
      </c>
      <c r="C16" s="22" t="s">
        <v>764</v>
      </c>
      <c r="D16" s="22" t="s">
        <v>746</v>
      </c>
      <c r="E16" s="22" t="s">
        <v>674</v>
      </c>
      <c r="F16" s="22" t="s">
        <v>246</v>
      </c>
    </row>
    <row r="17" spans="1:6">
      <c r="A17" s="22" t="s">
        <v>48</v>
      </c>
      <c r="B17" s="22" t="s">
        <v>249</v>
      </c>
      <c r="C17" s="22" t="s">
        <v>765</v>
      </c>
      <c r="D17" s="22" t="s">
        <v>766</v>
      </c>
      <c r="E17" s="22" t="s">
        <v>674</v>
      </c>
      <c r="F17" s="22" t="s">
        <v>253</v>
      </c>
    </row>
    <row r="18" spans="1:6" ht="41.4">
      <c r="A18" s="22" t="s">
        <v>48</v>
      </c>
      <c r="B18" s="22" t="s">
        <v>259</v>
      </c>
      <c r="C18" s="22" t="s">
        <v>767</v>
      </c>
      <c r="D18" s="22" t="s">
        <v>768</v>
      </c>
      <c r="E18" s="22" t="s">
        <v>674</v>
      </c>
      <c r="F18" s="22" t="s">
        <v>263</v>
      </c>
    </row>
    <row r="19" spans="1:6">
      <c r="A19" s="22" t="s">
        <v>48</v>
      </c>
      <c r="B19" s="22" t="s">
        <v>266</v>
      </c>
      <c r="C19" s="22" t="s">
        <v>769</v>
      </c>
      <c r="D19" s="22" t="s">
        <v>746</v>
      </c>
      <c r="E19" s="22" t="s">
        <v>674</v>
      </c>
      <c r="F19" s="22" t="s">
        <v>270</v>
      </c>
    </row>
    <row r="20" spans="1:6" ht="27.6">
      <c r="A20" s="22" t="s">
        <v>770</v>
      </c>
      <c r="B20" s="22" t="s">
        <v>314</v>
      </c>
      <c r="C20" s="22" t="s">
        <v>771</v>
      </c>
      <c r="D20" s="22" t="s">
        <v>772</v>
      </c>
      <c r="E20" s="22" t="s">
        <v>674</v>
      </c>
      <c r="F20" s="22" t="s">
        <v>317</v>
      </c>
    </row>
    <row r="21" spans="1:6" ht="27.6">
      <c r="A21" s="22" t="s">
        <v>773</v>
      </c>
      <c r="B21" s="22" t="s">
        <v>774</v>
      </c>
      <c r="C21" s="22" t="s">
        <v>775</v>
      </c>
      <c r="D21" s="22" t="s">
        <v>746</v>
      </c>
      <c r="E21" s="22" t="s">
        <v>674</v>
      </c>
      <c r="F21" s="22" t="s">
        <v>331</v>
      </c>
    </row>
    <row r="22" spans="1:6" ht="27.6">
      <c r="A22" s="22" t="s">
        <v>773</v>
      </c>
      <c r="B22" s="22" t="s">
        <v>776</v>
      </c>
      <c r="C22" s="22" t="s">
        <v>777</v>
      </c>
      <c r="D22" s="22" t="s">
        <v>768</v>
      </c>
      <c r="E22" s="22" t="s">
        <v>674</v>
      </c>
      <c r="F22" s="22" t="s">
        <v>375</v>
      </c>
    </row>
    <row r="23" spans="1:6" ht="27.6">
      <c r="A23" s="22" t="s">
        <v>773</v>
      </c>
      <c r="B23" s="22" t="s">
        <v>778</v>
      </c>
      <c r="C23" s="22" t="s">
        <v>779</v>
      </c>
      <c r="D23" s="22" t="s">
        <v>780</v>
      </c>
      <c r="E23" s="22" t="s">
        <v>674</v>
      </c>
      <c r="F23" s="22" t="s">
        <v>781</v>
      </c>
    </row>
    <row r="24" spans="1:6">
      <c r="A24" s="22" t="s">
        <v>782</v>
      </c>
      <c r="B24" s="22" t="s">
        <v>783</v>
      </c>
      <c r="C24" s="22" t="s">
        <v>784</v>
      </c>
      <c r="D24" s="22" t="s">
        <v>785</v>
      </c>
      <c r="E24" s="22" t="s">
        <v>674</v>
      </c>
      <c r="F24" s="22" t="s">
        <v>338</v>
      </c>
    </row>
    <row r="25" spans="1:6" ht="27.6">
      <c r="A25" s="22" t="s">
        <v>782</v>
      </c>
      <c r="B25" s="22" t="s">
        <v>786</v>
      </c>
      <c r="C25" s="22" t="s">
        <v>787</v>
      </c>
      <c r="D25" s="22" t="s">
        <v>785</v>
      </c>
      <c r="E25" s="22" t="s">
        <v>674</v>
      </c>
      <c r="F25" s="22" t="s">
        <v>344</v>
      </c>
    </row>
    <row r="26" spans="1:6">
      <c r="A26" s="22" t="s">
        <v>782</v>
      </c>
      <c r="B26" s="22" t="s">
        <v>788</v>
      </c>
      <c r="C26" s="22" t="s">
        <v>789</v>
      </c>
      <c r="D26" s="22" t="s">
        <v>785</v>
      </c>
      <c r="E26" s="22" t="s">
        <v>674</v>
      </c>
      <c r="F26" s="22" t="s">
        <v>351</v>
      </c>
    </row>
    <row r="27" spans="1:6">
      <c r="A27" s="22" t="s">
        <v>782</v>
      </c>
      <c r="B27" s="22" t="s">
        <v>790</v>
      </c>
      <c r="C27" s="22" t="s">
        <v>791</v>
      </c>
      <c r="D27" s="22" t="s">
        <v>792</v>
      </c>
      <c r="E27" s="22" t="s">
        <v>674</v>
      </c>
      <c r="F27" s="22" t="s">
        <v>358</v>
      </c>
    </row>
    <row r="28" spans="1:6">
      <c r="A28" s="22" t="s">
        <v>782</v>
      </c>
      <c r="B28" s="22" t="s">
        <v>793</v>
      </c>
      <c r="C28" s="22" t="s">
        <v>794</v>
      </c>
      <c r="D28" s="22" t="s">
        <v>785</v>
      </c>
      <c r="E28" s="22" t="s">
        <v>674</v>
      </c>
      <c r="F28" s="22" t="s">
        <v>363</v>
      </c>
    </row>
    <row r="29" spans="1:6">
      <c r="A29" s="22" t="s">
        <v>782</v>
      </c>
      <c r="B29" s="22" t="s">
        <v>795</v>
      </c>
      <c r="C29" s="22" t="s">
        <v>796</v>
      </c>
      <c r="D29" s="22" t="s">
        <v>792</v>
      </c>
      <c r="E29" s="22" t="s">
        <v>674</v>
      </c>
      <c r="F29" s="22" t="s">
        <v>368</v>
      </c>
    </row>
    <row r="30" spans="1:6" ht="27.6">
      <c r="A30" s="22" t="s">
        <v>797</v>
      </c>
      <c r="B30" s="22" t="s">
        <v>798</v>
      </c>
      <c r="C30" s="22" t="s">
        <v>799</v>
      </c>
      <c r="D30" s="22" t="s">
        <v>800</v>
      </c>
      <c r="E30" s="22" t="s">
        <v>674</v>
      </c>
      <c r="F30" s="22" t="s">
        <v>91</v>
      </c>
    </row>
    <row r="31" spans="1:6" ht="27.6">
      <c r="A31" s="22" t="s">
        <v>801</v>
      </c>
      <c r="B31" s="22" t="s">
        <v>802</v>
      </c>
      <c r="C31" s="22" t="s">
        <v>803</v>
      </c>
      <c r="D31" s="22" t="s">
        <v>804</v>
      </c>
      <c r="E31" s="22" t="s">
        <v>674</v>
      </c>
      <c r="F31" s="22" t="s">
        <v>380</v>
      </c>
    </row>
    <row r="32" spans="1:6">
      <c r="A32" s="22" t="s">
        <v>805</v>
      </c>
      <c r="B32" s="22" t="s">
        <v>675</v>
      </c>
      <c r="C32" s="22" t="s">
        <v>806</v>
      </c>
      <c r="D32" s="22" t="s">
        <v>807</v>
      </c>
      <c r="E32" s="22" t="s">
        <v>674</v>
      </c>
      <c r="F32" s="22" t="s">
        <v>808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Цены_КНР</vt:lpstr>
      <vt:lpstr>Сводка</vt:lpstr>
      <vt:lpstr>BOM_заказчику</vt:lpstr>
      <vt:lpstr>BOM_полный</vt:lpstr>
      <vt:lpstr>Комплектация</vt:lpstr>
      <vt:lpstr>Кабели_разъемы</vt:lpstr>
      <vt:lpstr>Статусы_и_источники</vt:lpstr>
      <vt:lpstr>Сводная_стоимость</vt:lpstr>
      <vt:lpstr>Источники_цен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Skif</dc:creator>
  <cp:lastModifiedBy>HP</cp:lastModifiedBy>
  <dcterms:modified xsi:type="dcterms:W3CDTF">2026-09-09T21:14:19Z</dcterms:modified>
</cp:coreProperties>
</file>