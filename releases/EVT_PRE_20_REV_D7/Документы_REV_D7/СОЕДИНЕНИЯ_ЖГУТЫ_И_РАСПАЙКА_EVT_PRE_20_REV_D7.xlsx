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1cd545e6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105440a323c4acb"/>
    <x:sheet xmlns:r="http://schemas.openxmlformats.org/officeDocument/2006/relationships" name="Межблочные связи" sheetId="2" r:id="R68d76bbe81a0414d"/>
    <x:sheet xmlns:r="http://schemas.openxmlformats.org/officeDocument/2006/relationships" name="Распайка жгутов" sheetId="3" r:id="R9fac84db92b743e9"/>
    <x:sheet xmlns:r="http://schemas.openxmlformats.org/officeDocument/2006/relationships" name="Проводники" sheetId="4" r:id="R2bc8b19946a74dd3"/>
    <x:sheet xmlns:r="http://schemas.openxmlformats.org/officeDocument/2006/relationships" name="Длины" sheetId="5" r:id="R09fb93b60b674599"/>
    <x:sheet xmlns:r="http://schemas.openxmlformats.org/officeDocument/2006/relationships" name="MCU pins" sheetId="6" r:id="Re0e3cd2d76e4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17365D"/>
      <x:name val="Arial"/>
    </x:font>
    <x:font>
      <x:b/>
      <x:sz val="11"/>
      <x:color rgb="FFFFFFFF"/>
      <x:name val="Arial"/>
    </x:font>
    <x:font>
      <x:sz val="7.5"/>
      <x:name val="Arial"/>
    </x:font>
    <x:font>
      <x:b/>
      <x:sz val="9"/>
      <x:color rgb="FFFFFFFF"/>
      <x:name val="Arial"/>
    </x:font>
    <x:font>
      <x:sz val="7.2"/>
      <x:name val="Arial"/>
    </x:font>
    <x:font>
      <x:sz val="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31a890eea4ccf" /><Relationship Type="http://schemas.openxmlformats.org/officeDocument/2006/relationships/theme" Target="/xl/theme/theme1.xml" Id="Ref9aea0dc71b423f" /><Relationship Type="http://schemas.openxmlformats.org/officeDocument/2006/relationships/sharedStrings" Target="/xl/sharedStrings.xml" Id="R8cba7e06215b474e" /><Relationship Type="http://schemas.openxmlformats.org/officeDocument/2006/relationships/worksheet" Target="/xl/worksheets/sheet1.xml" Id="R7105440a323c4acb" /><Relationship Type="http://schemas.openxmlformats.org/officeDocument/2006/relationships/worksheet" Target="/xl/worksheets/sheet2.xml" Id="R68d76bbe81a0414d" /><Relationship Type="http://schemas.openxmlformats.org/officeDocument/2006/relationships/worksheet" Target="/xl/worksheets/sheet3.xml" Id="R9fac84db92b743e9" /><Relationship Type="http://schemas.openxmlformats.org/officeDocument/2006/relationships/worksheet" Target="/xl/worksheets/sheet4.xml" Id="R2bc8b19946a74dd3" /><Relationship Type="http://schemas.openxmlformats.org/officeDocument/2006/relationships/worksheet" Target="/xl/worksheets/sheet5.xml" Id="R09fb93b60b674599" /><Relationship Type="http://schemas.openxmlformats.org/officeDocument/2006/relationships/worksheet" Target="/xl/worksheets/sheet6.xml" Id="Re0e3cd2d76e449cc" /></Relationships>
</file>

<file path=xl/tables/table1.xml><?xml version="1.0" encoding="utf-8"?>
<x:table xmlns:x="http://schemas.openxmlformats.org/spreadsheetml/2006/main" id="1" name="InterconnectD7" displayName="InterconnectD7" ref="A1:L33" headerRowCount="1" totalsRowCount="0" totalsRowShown="0">
  <x:tableColumns count="12">
    <x:tableColumn id="1" name="Link_ID"/>
    <x:tableColumn id="2" name="From"/>
    <x:tableColumn id="3" name="From_Ref"/>
    <x:tableColumn id="4" name="To"/>
    <x:tableColumn id="5" name="To_Ref"/>
    <x:tableColumn id="6" name="Signals"/>
    <x:tableColumn id="7" name="Electrical_Domain"/>
    <x:tableColumn id="8" name="Connector_Status"/>
    <x:tableColumn id="9" name="Cable_Status"/>
    <x:tableColumn id="10" name="Required_Protection"/>
    <x:tableColumn id="11" name="Design_Status"/>
    <x:tableColumn id="12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nessPinoutD7" displayName="HarnessPinoutD7" ref="A1:L44" headerRowCount="1" totalsRowCount="0" totalsRowShown="0">
  <x:tableColumns count="12">
    <x:tableColumn id="1" name="Interface"/>
    <x:tableColumn id="2" name="Connector_Ref"/>
    <x:tableColumn id="3" name="Pin"/>
    <x:tableColumn id="4" name="Net"/>
    <x:tableColumn id="5" name="Direction_at_MAIN"/>
    <x:tableColumn id="6" name="Nominal_voltage"/>
    <x:tableColumn id="7" name="Current_class"/>
    <x:tableColumn id="8" name="Wire_rule"/>
    <x:tableColumn id="9" name="Shield_pair_rule"/>
    <x:tableColumn id="10" name="Keying_requirement"/>
    <x:tableColumn id="11" name="Release_statu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rnessScheduleD7" displayName="HarnessScheduleD7" ref="A1:T39" headerRowCount="1" totalsRowCount="0" totalsRowShown="0">
  <x:tableColumns count="20">
    <x:tableColumn id="1" name="Harness_ID"/>
    <x:tableColumn id="2" name="Conductor_ID"/>
    <x:tableColumn id="3" name="From_Assembly"/>
    <x:tableColumn id="4" name="From_Connector"/>
    <x:tableColumn id="5" name="From_Cavity"/>
    <x:tableColumn id="6" name="To_Assembly"/>
    <x:tableColumn id="7" name="To_Connector"/>
    <x:tableColumn id="8" name="To_Cavity"/>
    <x:tableColumn id="9" name="Net"/>
    <x:tableColumn id="10" name="Wire_Gauge"/>
    <x:tableColumn id="11" name="Wire_Color"/>
    <x:tableColumn id="12" name="Routing_Rule"/>
    <x:tableColumn id="13" name="From_Terminal_MPN"/>
    <x:tableColumn id="14" name="To_Terminal_MPN"/>
    <x:tableColumn id="15" name="Cut_Length_mm"/>
    <x:tableColumn id="16" name="Length_Tolerance_mm"/>
    <x:tableColumn id="17" name="End_Label"/>
    <x:tableColumn id="18" name="Continuity_Test"/>
    <x:tableColumn id="19" name="Release_Status"/>
    <x:tableColumn id="20" name="Release_Block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rnessLengthsD7" displayName="HarnessLengthsD7" ref="A1:L7" headerRowCount="1" totalsRowCount="0" totalsRowShown="0">
  <x:tableColumns count="12">
    <x:tableColumn id="1" name="Harness_ID"/>
    <x:tableColumn id="2" name="Quantity_per_station"/>
    <x:tableColumn id="3" name="Base_route_mm"/>
    <x:tableColumn id="4" name="Margin_percent"/>
    <x:tableColumn id="5" name="Released_cut_length_mm"/>
    <x:tableColumn id="6" name="Cut_tolerance_mm"/>
    <x:tableColumn id="7" name="Conductors"/>
    <x:tableColumn id="8" name="Wire_selection"/>
    <x:tableColumn id="9" name="Connector_or_terminal_A"/>
    <x:tableColumn id="10" name="Connector_or_terminal_B"/>
    <x:tableColumn id="11" name="Maximum_conductor_resistance_ohm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cuPinsD7" displayName="McuPinsD7" ref="A1:M67" headerRowCount="1" totalsRowCount="0" totalsRowShown="0">
  <x:tableColumns count="13">
    <x:tableColumn id="1" name="Net"/>
    <x:tableColumn id="2" name="Function"/>
    <x:tableColumn id="3" name="MCU_Pin"/>
    <x:tableColumn id="4" name="LQFP100_Pin"/>
    <x:tableColumn id="5" name="CubeMX_Signal"/>
    <x:tableColumn id="6" name="AF"/>
    <x:tableColumn id="7" name="Direction_at_MCU"/>
    <x:tableColumn id="8" name="MCU_Domain"/>
    <x:tableColumn id="9" name="External_Domain"/>
    <x:tableColumn id="10" name="External_Device"/>
    <x:tableColumn id="11" name="Status"/>
    <x:tableColumn id="12" name="Evid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0c8c2262a742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51ee60700b44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3d2ed159d44a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b84f44d16544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81756c08744a2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8" hidden="0" customWidth="1"/>
    <x:col min="4" max="4" width="15" hidden="0" customWidth="1"/>
    <x:col min="5" max="5" width="16" hidden="0" customWidth="1"/>
    <x:col min="6" max="6" width="15" hidden="0" customWidth="1"/>
  </x:cols>
  <x:sheetData>
    <x:row r="1" ht="30" customHeight="1">
      <x:c r="A1" s="3" t="str">
        <x:v>СОЕДИНЕНИЯ, ЖГУТЫ И РАСПАЙКА</x:v>
      </x:c>
    </x:row>
    <x:row r="2" ht="28" customHeight="1">
      <x:c r="A2" s="7" t="str">
        <x:v>EVT-PRE-20 REV_D7 • authoritative machine-readable workbook</x:v>
      </x:c>
    </x:row>
    <x:row r="4">
      <x:c r="A4" s="9" t="str">
        <x:v>Набор</x:v>
      </x:c>
      <x:c r="B4" s="9" t="str">
        <x:v>Количество</x:v>
      </x:c>
      <x:c r="C4" s="9" t="str">
        <x:v>Назначение</x:v>
      </x:c>
    </x:row>
    <x:row r="5">
      <x:c r="A5" s="10" t="str">
        <x:v>Межблочные связи</x:v>
      </x:c>
      <x:c r="B5" s="10" t="n">
        <x:f>COUNTA('Межблочные связи'!A2:A33)</x:f>
        <x:v>32</x:v>
      </x:c>
      <x:c r="C5" s="10" t="str">
        <x:v>Системные электрические/RF связи</x:v>
      </x:c>
    </x:row>
    <x:row r="6">
      <x:c r="A6" s="10" t="str">
        <x:v>Логические контакты</x:v>
      </x:c>
      <x:c r="B6" s="10" t="n">
        <x:f>COUNTA('Распайка жгутов'!A2:A44)</x:f>
        <x:v>43</x:v>
      </x:c>
      <x:c r="C6" s="10" t="str">
        <x:v>Разъёмы, pins/cavities, signal direction</x:v>
      </x:c>
    </x:row>
    <x:row r="7">
      <x:c r="A7" s="10" t="str">
        <x:v>Проводники</x:v>
      </x:c>
      <x:c r="B7" s="10" t="n">
        <x:f>COUNTA('Проводники'!A2:A39)</x:f>
        <x:v>38</x:v>
      </x:c>
      <x:c r="C7" s="10" t="str">
        <x:v>38 wire-by-wire manufacturing records</x:v>
      </x:c>
    </x:row>
    <x:row r="8">
      <x:c r="A8" s="10" t="str">
        <x:v>Типы жгутов</x:v>
      </x:c>
      <x:c r="B8" s="10" t="n">
        <x:f>COUNTA('Длины'!A2:A7)</x:f>
        <x:v>6</x:v>
      </x:c>
      <x:c r="C8" s="10" t="str">
        <x:v>Длины, допуски, сопротивление</x:v>
      </x:c>
    </x:row>
    <x:row r="9">
      <x:c r="A9" s="10" t="str">
        <x:v>MCU pins</x:v>
      </x:c>
      <x:c r="B9" s="10" t="n">
        <x:f>COUNTA('MCU pins'!A2:A67)</x:f>
        <x:v>66</x:v>
      </x:c>
      <x:c r="C9" s="10" t="str">
        <x:v>Назначения STM32U585</x:v>
      </x:c>
    </x:row>
    <x:row r="11">
      <x:c r="A11" s="13" t="str">
        <x:v>Жгут</x:v>
      </x:c>
      <x:c r="B11" s="13" t="str">
        <x:v>На станцию</x:v>
      </x:c>
      <x:c r="C11" s="13" t="str">
        <x:v>Cut length mm</x:v>
      </x:c>
      <x:c r="D11" s="13" t="str">
        <x:v>Допуск mm</x:v>
      </x:c>
      <x:c r="E11" s="13" t="str">
        <x:v>Проводников</x:v>
      </x:c>
      <x:c r="F11" s="13" t="str">
        <x:v>Max R Ω</x:v>
      </x:c>
    </x:row>
    <x:row r="12">
      <x:c r="A12" s="10" t="str">
        <x:v>H-MIC1</x:v>
      </x:c>
      <x:c r="B12" s="10" t="n">
        <x:v>1</x:v>
      </x:c>
      <x:c r="C12" s="10" t="n">
        <x:v>275</x:v>
      </x:c>
      <x:c r="D12" s="10" t="n">
        <x:v>5</x:v>
      </x:c>
      <x:c r="E12" s="10" t="n">
        <x:v>6</x:v>
      </x:c>
      <x:c r="F12" s="10" t="n">
        <x:v>0.15</x:v>
      </x:c>
    </x:row>
    <x:row r="13">
      <x:c r="A13" s="10" t="str">
        <x:v>H-MIC2</x:v>
      </x:c>
      <x:c r="B13" s="10" t="n">
        <x:v>1</x:v>
      </x:c>
      <x:c r="C13" s="10" t="n">
        <x:v>275</x:v>
      </x:c>
      <x:c r="D13" s="10" t="n">
        <x:v>5</x:v>
      </x:c>
      <x:c r="E13" s="10" t="n">
        <x:v>6</x:v>
      </x:c>
      <x:c r="F13" s="10" t="n">
        <x:v>0.15</x:v>
      </x:c>
    </x:row>
    <x:row r="14">
      <x:c r="A14" s="10" t="str">
        <x:v>H-MIC3</x:v>
      </x:c>
      <x:c r="B14" s="10" t="n">
        <x:v>1</x:v>
      </x:c>
      <x:c r="C14" s="10" t="n">
        <x:v>275</x:v>
      </x:c>
      <x:c r="D14" s="10" t="n">
        <x:v>5</x:v>
      </x:c>
      <x:c r="E14" s="10" t="n">
        <x:v>6</x:v>
      </x:c>
      <x:c r="F14" s="10" t="n">
        <x:v>0.15</x:v>
      </x:c>
    </x:row>
    <x:row r="15">
      <x:c r="A15" s="10" t="str">
        <x:v>H-MIC4</x:v>
      </x:c>
      <x:c r="B15" s="10" t="n">
        <x:v>1</x:v>
      </x:c>
      <x:c r="C15" s="10" t="n">
        <x:v>275</x:v>
      </x:c>
      <x:c r="D15" s="10" t="n">
        <x:v>5</x:v>
      </x:c>
      <x:c r="E15" s="10" t="n">
        <x:v>6</x:v>
      </x:c>
      <x:c r="F15" s="10" t="n">
        <x:v>0.15</x:v>
      </x:c>
    </x:row>
    <x:row r="16">
      <x:c r="A16" s="10" t="str">
        <x:v>H-MAIN-PWR</x:v>
      </x:c>
      <x:c r="B16" s="10" t="n">
        <x:v>1</x:v>
      </x:c>
      <x:c r="C16" s="10" t="n">
        <x:v>440</x:v>
      </x:c>
      <x:c r="D16" s="10" t="n">
        <x:v>5</x:v>
      </x:c>
      <x:c r="E16" s="10" t="n">
        <x:v>12</x:v>
      </x:c>
      <x:c r="F16" s="10" t="n">
        <x:v>0.15</x:v>
      </x:c>
    </x:row>
    <x:row r="17">
      <x:c r="A17" s="10" t="str">
        <x:v>H-BAT-PWR</x:v>
      </x:c>
      <x:c r="B17" s="10" t="n">
        <x:v>1</x:v>
      </x:c>
      <x:c r="C17" s="10" t="n">
        <x:v>330</x:v>
      </x:c>
      <x:c r="D17" s="10" t="n">
        <x:v>5</x:v>
      </x:c>
      <x:c r="E17" s="10" t="n">
        <x:v>2</x:v>
      </x:c>
      <x:c r="F17" s="10" t="n">
        <x:v>0.1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5" hidden="0" customWidth="1"/>
    <x:col min="2" max="2" width="15.5" hidden="0" customWidth="1"/>
    <x:col min="3" max="3" width="15.880000114440918" hidden="0" customWidth="1"/>
    <x:col min="4" max="4" width="18.5" hidden="0" customWidth="1"/>
    <x:col min="5" max="5" width="20.3799991607666" hidden="0" customWidth="1"/>
    <x:col min="6" max="6" width="102.87999725341797" hidden="0" customWidth="1"/>
    <x:col min="7" max="7" width="26.6299991607666" hidden="0" customWidth="1"/>
    <x:col min="8" max="8" width="37.130001068115234" hidden="0" customWidth="1"/>
    <x:col min="9" max="9" width="29.75" hidden="0" customWidth="1"/>
    <x:col min="10" max="10" width="78" hidden="0" customWidth="1"/>
    <x:col min="11" max="11" width="40.75" hidden="0" customWidth="1"/>
    <x:col min="12" max="12" width="78.75" hidden="0" customWidth="1"/>
  </x:cols>
  <x:sheetData>
    <x:row r="1" ht="15" hidden="0" customHeight="1">
      <x:c r="A1" s="19" t="str">
        <x:v>Link_ID</x:v>
      </x:c>
      <x:c r="B1" s="19" t="str">
        <x:v>From</x:v>
      </x:c>
      <x:c r="C1" s="19" t="str">
        <x:v>From_Ref</x:v>
      </x:c>
      <x:c r="D1" s="19" t="str">
        <x:v>To</x:v>
      </x:c>
      <x:c r="E1" s="19" t="str">
        <x:v>To_Ref</x:v>
      </x:c>
      <x:c r="F1" s="19" t="str">
        <x:v>Signals</x:v>
      </x:c>
      <x:c r="G1" s="19" t="str">
        <x:v>Electrical_Domain</x:v>
      </x:c>
      <x:c r="H1" s="19" t="str">
        <x:v>Connector_Status</x:v>
      </x:c>
      <x:c r="I1" s="19" t="str">
        <x:v>Cable_Status</x:v>
      </x:c>
      <x:c r="J1" s="19" t="str">
        <x:v>Required_Protection</x:v>
      </x:c>
      <x:c r="K1" s="19" t="str">
        <x:v>Design_Status</x:v>
      </x:c>
      <x:c r="L1" s="19" t="str">
        <x:v>Verification</x:v>
      </x:c>
    </x:row>
    <x:row r="2" ht="15" hidden="0" customHeight="1">
      <x:c r="A2" s="17" t="str">
        <x:v>LNK-001</x:v>
      </x:c>
      <x:c r="B2" s="17" t="str">
        <x:v>SLD_Tech_SLP080S_12M</x:v>
      </x:c>
      <x:c r="C2" s="17" t="str">
        <x:v>PV_OUT</x:v>
      </x:c>
      <x:c r="D2" s="17" t="str">
        <x:v>Victron_SmartSolar_75_10</x:v>
      </x:c>
      <x:c r="E2" s="17" t="str">
        <x:v>PV_IN</x:v>
      </x:c>
      <x:c r="F2" s="17" t="str">
        <x:v>PV+;PV-</x:v>
      </x:c>
      <x:c r="G2" s="17" t="str">
        <x:v>22.52V_Voc_4.56A_Isc_STC</x:v>
      </x:c>
      <x:c r="H2" s="17" t="str">
        <x:v>CONTROLLER_TERMINAL_AND_PANEL_CONNECTOR_OPEN</x:v>
      </x:c>
      <x:c r="I2" s="17" t="str">
        <x:v>OPEN_GAUGE_LENGTH</x:v>
      </x:c>
      <x:c r="J2" s="17" t="str">
        <x:v>Polarized IP connector fuse or breaker per selected controller</x:v>
      </x:c>
      <x:c r="K2" s="17" t="str">
        <x:v>SELECTED_EVT_CANDIDATES_PHYSICAL_INTERFACE_OPEN</x:v>
      </x:c>
      <x:c r="L2" s="17" t="str">
        <x:v>Polarity cold Voc Isc Pmax insulation thermal connector and pull</x:v>
      </x:c>
    </x:row>
    <x:row r="3" ht="15" hidden="0" customHeight="1">
      <x:c r="A3" s="17" t="str">
        <x:v>LNK-002</x:v>
      </x:c>
      <x:c r="B3" s="17" t="str">
        <x:v>Victron_SmartSolar_75_10</x:v>
      </x:c>
      <x:c r="C3" s="17" t="str">
        <x:v>BAT_OUT</x:v>
      </x:c>
      <x:c r="D3" s="17" t="str">
        <x:v>RELiON_RB40</x:v>
      </x:c>
      <x:c r="E3" s="17" t="str">
        <x:v>M8_TERMINALS</x:v>
      </x:c>
      <x:c r="F3" s="17" t="str">
        <x:v>BAT+;BAT-</x:v>
      </x:c>
      <x:c r="G3" s="17" t="str">
        <x:v>12.8V_up_to_10A</x:v>
      </x:c>
      <x:c r="H3" s="17" t="str">
        <x:v>CONTROLLER_TERMINAL_TO_M8_RING_OPEN</x:v>
      </x:c>
      <x:c r="I3" s="17" t="str">
        <x:v>OPEN_GAUGE_LENGTH</x:v>
      </x:c>
      <x:c r="J3" s="17" t="str">
        <x:v>Battery-side fuse reverse current control and 0C low-temperature inhibit</x:v>
      </x:c>
      <x:c r="K3" s="17" t="str">
        <x:v>SELECTED_EVT_CANDIDATES_PHYSICAL_INTERFACE_OPEN</x:v>
      </x:c>
      <x:c r="L3" s="17" t="str">
        <x:v>Charge profile configuration export cutoff reverse current quiescent thermal and reconnect</x:v>
      </x:c>
    </x:row>
    <x:row r="4" ht="15" hidden="0" customHeight="1">
      <x:c r="A4" s="17" t="str">
        <x:v>LNK-003</x:v>
      </x:c>
      <x:c r="B4" s="17" t="str">
        <x:v>RELiON_RB40</x:v>
      </x:c>
      <x:c r="C4" s="17" t="str">
        <x:v>M8_TERMINALS</x:v>
      </x:c>
      <x:c r="D4" s="17" t="str">
        <x:v>PCB_PWR</x:v>
      </x:c>
      <x:c r="E4" s="17" t="str">
        <x:v>J_PWR_IN</x:v>
      </x:c>
      <x:c r="F4" s="17" t="str">
        <x:v>VBAT+;VBAT-</x:v>
      </x:c>
      <x:c r="G4" s="17" t="str">
        <x:v>10.0_to_14.6V_provisional_transients_TBD</x:v>
      </x:c>
      <x:c r="H4" s="17" t="str">
        <x:v>MICRO_FIT_2P_430450213_SELECTED</x:v>
      </x:c>
      <x:c r="I4" s="17" t="str">
        <x:v>18AWG_0.75mm2_TERMINAL_430300038</x:v>
      </x:c>
      <x:c r="J4" s="17" t="str">
        <x:v>Fuse near battery M8 terminal reverse polarity TVS and current limit</x:v>
      </x:c>
      <x:c r="K4" s="17" t="str">
        <x:v>SCHEMATIC_PENDING</x:v>
      </x:c>
      <x:c r="L4" s="17" t="str">
        <x:v>Polarity surge short fuse coordination connector thermal cold behavior and temperature</x:v>
      </x:c>
    </x:row>
    <x:row r="5" ht="15" hidden="0" customHeight="1">
      <x:c r="A5" s="17" t="str">
        <x:v>LNK-004</x:v>
      </x:c>
      <x:c r="B5" s="17" t="str">
        <x:v>PCB_PWR</x:v>
      </x:c>
      <x:c r="C5" s="17" t="str">
        <x:v>J_MAIN_PWR</x:v>
      </x:c>
      <x:c r="D5" s="17" t="str">
        <x:v>PCB_MAIN</x:v>
      </x:c>
      <x:c r="E5" s="17" t="str">
        <x:v>J_PWR</x:v>
      </x:c>
      <x:c r="F5" s="17" t="str">
        <x:v>3V8_MODEM;GND_MODEM;3V3_DIGITAL;GND_DIGITAL;1V8_MIC;GND_MIC;PWR_GOOD;FAULT;EN_MODEM;EN_AUX;I2C2_SCL;I2C2_SDA</x:v>
      </x:c>
      <x:c r="G5" s="17" t="str">
        <x:v>Mixed_power_and_3V3_logic_I2C</x:v>
      </x:c>
      <x:c r="H5" s="17" t="str">
        <x:v>MICRO_FIT_12P_430451202_ELECTRICAL_SELECTED</x:v>
      </x:c>
      <x:c r="I5" s="17" t="str">
        <x:v>18AWG_power;20-24AWG_control_I2C</x:v>
      </x:c>
      <x:c r="J5" s="17" t="str">
        <x:v>Default-safe enables; dedicated returns; keyed connector; I2C pull-ups on PCB-MAIN; optional source series damping footprints</x:v>
      </x:c>
      <x:c r="K5" s="17" t="str">
        <x:v>SCHEMATIC_PENDING</x:v>
      </x:c>
      <x:c r="L5" s="17" t="str">
        <x:v>Pin-by-pin continuity; load step; brownout; fault injection; AAD rail-state; INA226 0x40 readout/calibration; I2C rise-time at final harness length</x:v>
      </x:c>
    </x:row>
    <x:row r="6" ht="15" hidden="0" customHeight="1">
      <x:c r="A6" s="17" t="str">
        <x:v>LNK-005</x:v>
      </x:c>
      <x:c r="B6" s="17" t="str">
        <x:v>PCB_MAIN</x:v>
      </x:c>
      <x:c r="C6" s="17" t="str">
        <x:v>J_MIC1</x:v>
      </x:c>
      <x:c r="D6" s="17" t="str">
        <x:v>PCB_MIC_1</x:v>
      </x:c>
      <x:c r="E6" s="17" t="str">
        <x:v>J1</x:v>
      </x:c>
      <x:c r="F6" s="17" t="str">
        <x:v>1V8_MIC;GND;PDM_CLK;PDM_DATA1;MIC_WAKE1;AAD_CFG</x:v>
      </x:c>
      <x:c r="G6" s="17" t="str">
        <x:v>1V8_logic_power</x:v>
      </x:c>
      <x:c r="H6" s="17" t="str">
        <x:v>MOLEX_PICO_LOCK_6P_5040500691_SELECTED</x:v>
      </x:c>
      <x:c r="I6" s="17" t="str">
        <x:v>OPEN_EQUALIZED_LENGTH</x:v>
      </x:c>
      <x:c r="J6" s="17" t="str">
        <x:v>ESD EMI series termination strain relief WAKE integrity and THSEL one-wire timing per SI review</x:v>
      </x:c>
      <x:c r="K6" s="17" t="str">
        <x:v>SCHEMATIC_PENDING</x:v>
      </x:c>
      <x:c r="L6" s="17" t="str">
        <x:v>Mapping delay noise phase AAD wake latency THSEL configuration and false-wake test</x:v>
      </x:c>
    </x:row>
    <x:row r="7" ht="15" hidden="0" customHeight="1">
      <x:c r="A7" s="17" t="str">
        <x:v>LNK-006</x:v>
      </x:c>
      <x:c r="B7" s="17" t="str">
        <x:v>PCB_MAIN</x:v>
      </x:c>
      <x:c r="C7" s="17" t="str">
        <x:v>J_MIC2</x:v>
      </x:c>
      <x:c r="D7" s="17" t="str">
        <x:v>PCB_MIC_2</x:v>
      </x:c>
      <x:c r="E7" s="17" t="str">
        <x:v>J1</x:v>
      </x:c>
      <x:c r="F7" s="17" t="str">
        <x:v>1V8_MIC;GND;PDM_CLK;PDM_DATA2;MIC_WAKE2;AAD_CFG</x:v>
      </x:c>
      <x:c r="G7" s="17" t="str">
        <x:v>1V8_logic_power</x:v>
      </x:c>
      <x:c r="H7" s="17" t="str">
        <x:v>MOLEX_PICO_LOCK_6P_5040500691_SELECTED</x:v>
      </x:c>
      <x:c r="I7" s="17" t="str">
        <x:v>OPEN_EQUALIZED_LENGTH</x:v>
      </x:c>
      <x:c r="J7" s="17" t="str">
        <x:v>ESD EMI series termination strain relief WAKE integrity and THSEL one-wire timing per SI review</x:v>
      </x:c>
      <x:c r="K7" s="17" t="str">
        <x:v>SCHEMATIC_PENDING</x:v>
      </x:c>
      <x:c r="L7" s="17" t="str">
        <x:v>Mapping delay noise phase AAD wake latency THSEL configuration and false-wake test</x:v>
      </x:c>
    </x:row>
    <x:row r="8" ht="15" hidden="0" customHeight="1">
      <x:c r="A8" s="17" t="str">
        <x:v>LNK-007</x:v>
      </x:c>
      <x:c r="B8" s="17" t="str">
        <x:v>PCB_MAIN</x:v>
      </x:c>
      <x:c r="C8" s="17" t="str">
        <x:v>J_MIC3</x:v>
      </x:c>
      <x:c r="D8" s="17" t="str">
        <x:v>PCB_MIC_3</x:v>
      </x:c>
      <x:c r="E8" s="17" t="str">
        <x:v>J1</x:v>
      </x:c>
      <x:c r="F8" s="17" t="str">
        <x:v>1V8_MIC;GND;PDM_CLK;PDM_DATA3;MIC_WAKE3;AAD_CFG</x:v>
      </x:c>
      <x:c r="G8" s="17" t="str">
        <x:v>1V8_logic_power</x:v>
      </x:c>
      <x:c r="H8" s="17" t="str">
        <x:v>MOLEX_PICO_LOCK_6P_5040500691_SELECTED</x:v>
      </x:c>
      <x:c r="I8" s="17" t="str">
        <x:v>OPEN_EQUALIZED_LENGTH</x:v>
      </x:c>
      <x:c r="J8" s="17" t="str">
        <x:v>ESD EMI series termination strain relief WAKE integrity and THSEL one-wire timing per SI review</x:v>
      </x:c>
      <x:c r="K8" s="17" t="str">
        <x:v>SCHEMATIC_PENDING</x:v>
      </x:c>
      <x:c r="L8" s="17" t="str">
        <x:v>Mapping delay noise phase AAD wake latency THSEL configuration and false-wake test</x:v>
      </x:c>
    </x:row>
    <x:row r="9" ht="15" hidden="0" customHeight="1">
      <x:c r="A9" s="17" t="str">
        <x:v>LNK-008</x:v>
      </x:c>
      <x:c r="B9" s="17" t="str">
        <x:v>PCB_MAIN</x:v>
      </x:c>
      <x:c r="C9" s="17" t="str">
        <x:v>J_MIC4</x:v>
      </x:c>
      <x:c r="D9" s="17" t="str">
        <x:v>PCB_MIC_4</x:v>
      </x:c>
      <x:c r="E9" s="17" t="str">
        <x:v>J1</x:v>
      </x:c>
      <x:c r="F9" s="17" t="str">
        <x:v>1V8_MIC;GND;PDM_CLK;PDM_DATA4;MIC_WAKE4;AAD_CFG</x:v>
      </x:c>
      <x:c r="G9" s="17" t="str">
        <x:v>1V8_logic_power</x:v>
      </x:c>
      <x:c r="H9" s="17" t="str">
        <x:v>MOLEX_PICO_LOCK_6P_5040500691_SELECTED</x:v>
      </x:c>
      <x:c r="I9" s="17" t="str">
        <x:v>OPEN_EQUALIZED_LENGTH</x:v>
      </x:c>
      <x:c r="J9" s="17" t="str">
        <x:v>ESD EMI series termination strain relief WAKE integrity and THSEL one-wire timing per SI review</x:v>
      </x:c>
      <x:c r="K9" s="17" t="str">
        <x:v>SCHEMATIC_PENDING</x:v>
      </x:c>
      <x:c r="L9" s="17" t="str">
        <x:v>Mapping delay noise phase AAD wake latency THSEL configuration and false-wake test</x:v>
      </x:c>
    </x:row>
    <x:row r="10" ht="15" hidden="0" customHeight="1">
      <x:c r="A10" s="17" t="str">
        <x:v>LNK-009</x:v>
      </x:c>
      <x:c r="B10" s="17" t="str">
        <x:v>PCB_MAIN</x:v>
      </x:c>
      <x:c r="C10" s="17" t="str">
        <x:v>U8</x:v>
      </x:c>
      <x:c r="D10" s="17" t="str">
        <x:v>BG95</x:v>
      </x:c>
      <x:c r="E10" s="17" t="str">
        <x:v>U8</x:v>
      </x:c>
      <x:c r="F10" s="17" t="str">
        <x:v>UART_TX;UART_RX;PWRKEY;RESET_N;STATUS;DTR;RI;VBAT;GND</x:v>
      </x:c>
      <x:c r="G10" s="17" t="str">
        <x:v>Modem_1V8_logic_3V8_power</x:v>
      </x:c>
      <x:c r="H10" s="17" t="str">
        <x:v>ON_BOARD</x:v>
      </x:c>
      <x:c r="I10" s="17" t="str">
        <x:v>ON_BOARD</x:v>
      </x:c>
      <x:c r="J10" s="17" t="str">
        <x:v>Level translation bulk decoupling ESD and RF keepout</x:v>
      </x:c>
      <x:c r="K10" s="17" t="str">
        <x:v>OPEN_SCHEMATIC</x:v>
      </x:c>
      <x:c r="L10" s="17" t="str">
        <x:v>Attach TLS sleep wake reset and LTE burst</x:v>
      </x:c>
    </x:row>
    <x:row r="11" ht="15" hidden="0" customHeight="1">
      <x:c r="A11" s="17" t="str">
        <x:v>LNK-010</x:v>
      </x:c>
      <x:c r="B11" s="17" t="str">
        <x:v>BG95</x:v>
      </x:c>
      <x:c r="C11" s="17" t="str">
        <x:v>U8</x:v>
      </x:c>
      <x:c r="D11" s="17" t="str">
        <x:v>Cellular_SMA_bulkhead</x:v>
      </x:c>
      <x:c r="E11" s="17" t="str">
        <x:v>AE1_BH</x:v>
      </x:c>
      <x:c r="F11" s="17" t="str">
        <x:v>RF_CELL</x:v>
      </x:c>
      <x:c r="G11" s="17" t="str">
        <x:v>50_ohm</x:v>
      </x:c>
      <x:c r="H11" s="17" t="str">
        <x:v>HIROSE_UFL_PLUS_CAB01035_SMAF_CANDIDATE</x:v>
      </x:c>
      <x:c r="I11" s="17" t="str">
        <x:v>CAB01035_150MM_LENGTH_TEMP_MATE_OPEN</x:v>
      </x:c>
      <x:c r="J11" s="17" t="str">
        <x:v>ESD matching no-load policy bend radius strain relief and sealed bulkhead</x:v>
      </x:c>
      <x:c r="K11" s="17" t="str">
        <x:v>SELECTED_EVT_CANDIDATE_RF_LAYOUT_OPEN</x:v>
      </x:c>
      <x:c r="L11" s="17" t="str">
        <x:v>VNA pigtail loss mate retention conducted power and enclosure desense</x:v>
      </x:c>
    </x:row>
    <x:row r="12" ht="15" hidden="0" customHeight="1">
      <x:c r="A12" s="17" t="str">
        <x:v>LNK-011</x:v>
      </x:c>
      <x:c r="B12" s="17" t="str">
        <x:v>PCB_MAIN</x:v>
      </x:c>
      <x:c r="C12" s="17" t="str">
        <x:v>U9</x:v>
      </x:c>
      <x:c r="D12" s="17" t="str">
        <x:v>MAX_M10S</x:v>
      </x:c>
      <x:c r="E12" s="17" t="str">
        <x:v>U9</x:v>
      </x:c>
      <x:c r="F12" s="17" t="str">
        <x:v>UART_TX;UART_RX;TIMEPULSE;RESET_N;VCC;GND</x:v>
      </x:c>
      <x:c r="G12" s="17" t="str">
        <x:v>3V3</x:v>
      </x:c>
      <x:c r="H12" s="17" t="str">
        <x:v>ON_BOARD</x:v>
      </x:c>
      <x:c r="I12" s="17" t="str">
        <x:v>ON_BOARD</x:v>
      </x:c>
      <x:c r="J12" s="17" t="str">
        <x:v>Backup supply filtering ESD and RF keepout</x:v>
      </x:c>
      <x:c r="K12" s="17" t="str">
        <x:v>OPEN_SCHEMATIC</x:v>
      </x:c>
      <x:c r="L12" s="17" t="str">
        <x:v>Cold warm fix PPS offset spoof jam and concurrent LTE</x:v>
      </x:c>
    </x:row>
    <x:row r="13" ht="15" hidden="0" customHeight="1">
      <x:c r="A13" s="17" t="str">
        <x:v>LNK-012</x:v>
      </x:c>
      <x:c r="B13" s="17" t="str">
        <x:v>MAX_M10S</x:v>
      </x:c>
      <x:c r="C13" s="17" t="str">
        <x:v>U9</x:v>
      </x:c>
      <x:c r="D13" s="17" t="str">
        <x:v>GNSS_SMA_bulkhead</x:v>
      </x:c>
      <x:c r="E13" s="17" t="str">
        <x:v>AE2_BH</x:v>
      </x:c>
      <x:c r="F13" s="17" t="str">
        <x:v>RF_GNSS_BIASED</x:v>
      </x:c>
      <x:c r="G13" s="17" t="str">
        <x:v>50_ohm</x:v>
      </x:c>
      <x:c r="H13" s="17" t="str">
        <x:v>HIROSE_UFL_PLUS_CAB01035_SMAF_CANDIDATE</x:v>
      </x:c>
      <x:c r="I13" s="17" t="str">
        <x:v>CAB01035_150MM_LENGTH_TEMP_MATE_OPEN</x:v>
      </x:c>
      <x:c r="J13" s="17" t="str">
        <x:v>Bias supervisor ESD DC block SAW bend radius strain relief and sealed bulkhead</x:v>
      </x:c>
      <x:c r="K13" s="17" t="str">
        <x:v>SELECTED_EVT_CANDIDATE_RF_LAYOUT_OPEN</x:v>
      </x:c>
      <x:c r="L13" s="17" t="str">
        <x:v>VNA pigtail loss 3.3 V bias current fault response sensitivity fix PPS and coexistence</x:v>
      </x:c>
    </x:row>
    <x:row r="14" ht="15" hidden="0" customHeight="1">
      <x:c r="A14" s="17" t="str">
        <x:v>LNK-013</x:v>
      </x:c>
      <x:c r="B14" s="17" t="str">
        <x:v>PCB_MAIN</x:v>
      </x:c>
      <x:c r="C14" s="17" t="str">
        <x:v>U10</x:v>
      </x:c>
      <x:c r="D14" s="17" t="str">
        <x:v>LoRa_module</x:v>
      </x:c>
      <x:c r="E14" s="17" t="str">
        <x:v>U10</x:v>
      </x:c>
      <x:c r="F14" s="17" t="str">
        <x:v>SPI_SCK;SPI_MISO;SPI_MOSI;NSS;DIO1;BUSY;RESET_N;TXEN;RXEN;VCC;GND</x:v>
      </x:c>
      <x:c r="G14" s="17" t="str">
        <x:v>3V3</x:v>
      </x:c>
      <x:c r="H14" s="17" t="str">
        <x:v>ON_BOARD</x:v>
      </x:c>
      <x:c r="I14" s="17" t="str">
        <x:v>ON_BOARD</x:v>
      </x:c>
      <x:c r="J14" s="17" t="str">
        <x:v>TXEN and RXEN separately controlled with LOW pull-down defaults; DIO2 NC; safe reset and CLOSE state</x:v>
      </x:c>
      <x:c r="K14" s="17" t="str">
        <x:v>OPEN_SCHEMATIC</x:v>
      </x:c>
      <x:c r="L14" s="17" t="str">
        <x:v>Identity TCXO sleep RX conducted TX and mutual exclusion only after signed profile approval</x:v>
      </x:c>
    </x:row>
    <x:row r="15" ht="15" hidden="0" customHeight="1">
      <x:c r="A15" s="17" t="str">
        <x:v>LNK-014</x:v>
      </x:c>
      <x:c r="B15" s="17" t="str">
        <x:v>LoRa_module</x:v>
      </x:c>
      <x:c r="C15" s="17" t="str">
        <x:v>U10</x:v>
      </x:c>
      <x:c r="D15" s="17" t="str">
        <x:v>LoRa_SMA_bulkhead</x:v>
      </x:c>
      <x:c r="E15" s="17" t="str">
        <x:v>AE3_BH</x:v>
      </x:c>
      <x:c r="F15" s="17" t="str">
        <x:v>RF_LORA</x:v>
      </x:c>
      <x:c r="G15" s="17" t="str">
        <x:v>50_ohm</x:v>
      </x:c>
      <x:c r="H15" s="17" t="str">
        <x:v>HIROSE_UFL_PLUS_CAB01035_SMAF_CANDIDATE</x:v>
      </x:c>
      <x:c r="I15" s="17" t="str">
        <x:v>CAB01035_150MM_LENGTH_TEMP_MATE_OPEN</x:v>
      </x:c>
      <x:c r="J15" s="17" t="str">
        <x:v>ESD pi matching no-load policy bend radius strain relief and sealed bulkhead</x:v>
      </x:c>
      <x:c r="K15" s="17" t="str">
        <x:v>SELECTED_EVT_CANDIDATE_RF_LAYOUT_OPEN</x:v>
      </x:c>
      <x:c r="L15" s="17" t="str">
        <x:v>VNA pigtail loss frequency power sensitivity coexistence and RU868 profile</x:v>
      </x:c>
    </x:row>
    <x:row r="16" ht="15" hidden="0" customHeight="1">
      <x:c r="A16" s="17" t="str">
        <x:v>LNK-015</x:v>
      </x:c>
      <x:c r="B16" s="17" t="str">
        <x:v>PCB_MAIN</x:v>
      </x:c>
      <x:c r="C16" s="17" t="str">
        <x:v>U11</x:v>
      </x:c>
      <x:c r="D16" s="17" t="str">
        <x:v>Raytac_MDBT50Q_P1MV2</x:v>
      </x:c>
      <x:c r="E16" s="17" t="str">
        <x:v>U11</x:v>
      </x:c>
      <x:c r="F16" s="17" t="str">
        <x:v>UART_TX;UART_RX;BLE_EN;BLE_DFU_REQ;VCC;GND</x:v>
      </x:c>
      <x:c r="G16" s="17" t="str">
        <x:v>3V3</x:v>
      </x:c>
      <x:c r="H16" s="17" t="str">
        <x:v>ON_BOARD</x:v>
      </x:c>
      <x:c r="I16" s="17" t="str">
        <x:v>ON_BOARD</x:v>
      </x:c>
      <x:c r="J16" s="17" t="str">
        <x:v>Default disable authenticated service and PCB antenna keepout</x:v>
      </x:c>
      <x:c r="K16" s="17" t="str">
        <x:v>OPEN_SCHEMATIC</x:v>
      </x:c>
      <x:c r="L16" s="17" t="str">
        <x:v>Authenticated pairing GATT OTA sleep current enclosure RF and separate nRF SWD recovery</x:v>
      </x:c>
    </x:row>
    <x:row r="17" ht="15" hidden="0" customHeight="1">
      <x:c r="A17" s="17" t="str">
        <x:v>LNK-016</x:v>
      </x:c>
      <x:c r="B17" s="17" t="str">
        <x:v>PCB_MAIN</x:v>
      </x:c>
      <x:c r="C17" s="17" t="str">
        <x:v>U2</x:v>
      </x:c>
      <x:c r="D17" s="17" t="str">
        <x:v>QSPI_NOR</x:v>
      </x:c>
      <x:c r="E17" s="17" t="str">
        <x:v>U2</x:v>
      </x:c>
      <x:c r="F17" s="17" t="str">
        <x:v>CS_N;CLK;IO0;IO1;IO2;IO3;VCC;GND</x:v>
      </x:c>
      <x:c r="G17" s="17" t="str">
        <x:v>3V3</x:v>
      </x:c>
      <x:c r="H17" s="17" t="str">
        <x:v>ON_BOARD</x:v>
      </x:c>
      <x:c r="I17" s="17" t="str">
        <x:v>ON_BOARD</x:v>
      </x:c>
      <x:c r="J17" s="17" t="str">
        <x:v>Series damping decoupling and boot-safe state</x:v>
      </x:c>
      <x:c r="K17" s="17" t="str">
        <x:v>OPEN_SCHEMATIC</x:v>
      </x:c>
      <x:c r="L17" s="17" t="str">
        <x:v>ID erase write read power-loss endurance</x:v>
      </x:c>
    </x:row>
    <x:row r="18" ht="15" hidden="0" customHeight="1">
      <x:c r="A18" s="17" t="str">
        <x:v>LNK-017</x:v>
      </x:c>
      <x:c r="B18" s="17" t="str">
        <x:v>PCB_MAIN</x:v>
      </x:c>
      <x:c r="C18" s="17" t="str">
        <x:v>J12</x:v>
      </x:c>
      <x:c r="D18" s="17" t="str">
        <x:v>Industrial_microSD</x:v>
      </x:c>
      <x:c r="E18" s="17" t="str">
        <x:v>U12</x:v>
      </x:c>
      <x:c r="F18" s="17" t="str">
        <x:v>CLK;CMD;D0;D1;D2;D3;DET;VCC;GND</x:v>
      </x:c>
      <x:c r="G18" s="17" t="str">
        <x:v>3V3</x:v>
      </x:c>
      <x:c r="H18" s="17" t="str">
        <x:v>GCT_MEM2052_00_195_00_A</x:v>
      </x:c>
      <x:c r="I18" s="17" t="str">
        <x:v>ON_BOARD</x:v>
      </x:c>
      <x:c r="J18" s="17" t="str">
        <x:v>ESD current limit pull resistors and controlled removal policy</x:v>
      </x:c>
      <x:c r="K18" s="17" t="str">
        <x:v>ELECTRICAL_AUTHORITY_FROZEN_SCHEMATIC_PENDING</x:v>
      </x:c>
      <x:c r="L18" s="17" t="str">
        <x:v>CID full write read detect power-loss recovery; exact contacts in PCB_MAIN_CONNECTOR_FIXTURE_PIN_AUTHORITY_REV_A.csv</x:v>
      </x:c>
    </x:row>
    <x:row r="19" ht="15" hidden="0" customHeight="1">
      <x:c r="A19" s="17" t="str">
        <x:v>LNK-018</x:v>
      </x:c>
      <x:c r="B19" s="17" t="str">
        <x:v>PCB_MAIN</x:v>
      </x:c>
      <x:c r="C19" s="17" t="str">
        <x:v>J11</x:v>
      </x:c>
      <x:c r="D19" s="17" t="str">
        <x:v>Service_USB_C</x:v>
      </x:c>
      <x:c r="E19" s="17" t="str">
        <x:v>USB2_device_host_cable</x:v>
      </x:c>
      <x:c r="F19" s="17" t="str">
        <x:v>VBUS;D+;D-;CC1;CC2;GND;SHIELD</x:v>
      </x:c>
      <x:c r="G19" s="17" t="str">
        <x:v>USB_5V_sense_and_3V3_logic</x:v>
      </x:c>
      <x:c r="H19" s="17" t="str">
        <x:v>GCT_USB4105_GF_A_120</x:v>
      </x:c>
      <x:c r="I19" s="17" t="str">
        <x:v>EXTERNAL_USB_C_CABLE</x:v>
      </x:c>
      <x:c r="J19" s="17" t="str">
        <x:v>USB ESD separate CC Rd sense-only VBUS and controlled shield bond</x:v>
      </x:c>
      <x:c r="K19" s="17" t="str">
        <x:v>ELECTRICAL_AUTHORITY_FROZEN_SCHEMATIC_PENDING</x:v>
      </x:c>
      <x:c r="L19" s="17" t="str">
        <x:v>STM32 enumeration system-memory recovery ESD connector orientation and environmental limit; never shared with BG95 USB</x:v>
      </x:c>
    </x:row>
    <x:row r="20" ht="15" hidden="0" customHeight="1">
      <x:c r="A20" s="17" t="str">
        <x:v>LNK-019</x:v>
      </x:c>
      <x:c r="B20" s="17" t="str">
        <x:v>PCB_MAIN</x:v>
      </x:c>
      <x:c r="C20" s="17" t="str">
        <x:v>TP_MCU_SWD</x:v>
      </x:c>
      <x:c r="D20" s="17" t="str">
        <x:v>Programming_fixture</x:v>
      </x:c>
      <x:c r="E20" s="17" t="str">
        <x:v>Pogo_SWD</x:v>
      </x:c>
      <x:c r="F20" s="17" t="str">
        <x:v>SWDIO;SWCLK;NRST;VTREF;GND</x:v>
      </x:c>
      <x:c r="G20" s="17" t="str">
        <x:v>3V3</x:v>
      </x:c>
      <x:c r="H20" s="17" t="str">
        <x:v>TEST_PADS_5P</x:v>
      </x:c>
      <x:c r="I20" s="17" t="str">
        <x:v>FIXTURE_POGO</x:v>
      </x:c>
      <x:c r="J20" s="17" t="str">
        <x:v>Protected access and sense-only VTREF</x:v>
      </x:c>
      <x:c r="K20" s="17" t="str">
        <x:v>ELECTRICAL_AUTHORITY_FROZEN_PLACEMENT_PENDING</x:v>
      </x:c>
      <x:c r="L20" s="17" t="str">
        <x:v>Connect program readback protection and cycle test; exact contact map fixed</x:v>
      </x:c>
    </x:row>
    <x:row r="21" ht="15" hidden="0" customHeight="1">
      <x:c r="A21" s="17" t="str">
        <x:v>LNK-020</x:v>
      </x:c>
      <x:c r="B21" s="17" t="str">
        <x:v>PCB_MAIN</x:v>
      </x:c>
      <x:c r="C21" s="17" t="str">
        <x:v>TP_EOL</x:v>
      </x:c>
      <x:c r="D21" s="17" t="str">
        <x:v>EOL_fixture</x:v>
      </x:c>
      <x:c r="E21" s="17" t="str">
        <x:v>Pogo_AUX</x:v>
      </x:c>
      <x:c r="F21" s="17" t="str">
        <x:v>RAIL_SENSE;TEST_UART;PWR_GOOD;FAULT;BOOT0;REV_STRAPS;I2C2;GND</x:v>
      </x:c>
      <x:c r="G21" s="17" t="str">
        <x:v>Mixed_3V3_3V8_1V8</x:v>
      </x:c>
      <x:c r="H21" s="17" t="str">
        <x:v>TEST_PADS_13P</x:v>
      </x:c>
      <x:c r="I21" s="17" t="str">
        <x:v>FIXTURE_POGO</x:v>
      </x:c>
      <x:c r="J21" s="17" t="str">
        <x:v>Protected high-impedance sense controlled BOOT0 and guarded open-drain I2C</x:v>
      </x:c>
      <x:c r="K21" s="17" t="str">
        <x:v>ELECTRICAL_AUTHORITY_FROZEN_PLACEMENT_PENDING</x:v>
      </x:c>
      <x:c r="L21" s="17" t="str">
        <x:v>Known-fault coverage INA226 calibration and MSA; exact 13-contact map fixed</x:v>
      </x:c>
    </x:row>
    <x:row r="22" ht="15" hidden="0" customHeight="1">
      <x:c r="A22" s="17" t="str">
        <x:v>LNK-021</x:v>
      </x:c>
      <x:c r="B22" s="17" t="str">
        <x:v>BG95</x:v>
      </x:c>
      <x:c r="C22" s="17" t="str">
        <x:v>U8</x:v>
      </x:c>
      <x:c r="D22" s="17" t="str">
        <x:v>SIM_mux</x:v>
      </x:c>
      <x:c r="E22" s="17" t="str">
        <x:v>U13</x:v>
      </x:c>
      <x:c r="F22" s="17" t="str">
        <x:v>USIM_VDD;USIM_RST;USIM_CLK;USIM_DATA;USIM_GND</x:v>
      </x:c>
      <x:c r="G22" s="17" t="str">
        <x:v>1V8_USIM</x:v>
      </x:c>
      <x:c r="H22" s="17" t="str">
        <x:v>ON_BOARD</x:v>
      </x:c>
      <x:c r="I22" s="17" t="str">
        <x:v>ON_BOARD</x:v>
      </x:c>
      <x:c r="J22" s="17" t="str">
        <x:v>Short guarded traces series tuning pads decoupling and high-Z disable</x:v>
      </x:c>
      <x:c r="K22" s="17" t="str">
        <x:v>OPEN_SCHEMATIC</x:v>
      </x:c>
      <x:c r="L22" s="17" t="str">
        <x:v>Signal integrity leakage levels powered-off isolation and ESD</x:v>
      </x:c>
    </x:row>
    <x:row r="23" ht="15" hidden="0" customHeight="1">
      <x:c r="A23" s="17" t="str">
        <x:v>LNK-022</x:v>
      </x:c>
      <x:c r="B23" s="17" t="str">
        <x:v>SIM_mux</x:v>
      </x:c>
      <x:c r="C23" s="17" t="str">
        <x:v>U13</x:v>
      </x:c>
      <x:c r="D23" s="17" t="str">
        <x:v>Nano_SIM_slot_1</x:v>
      </x:c>
      <x:c r="E23" s="17" t="str">
        <x:v>J_SIM1</x:v>
      </x:c>
      <x:c r="F23" s="17" t="str">
        <x:v>SIM1_VDD;SIM1_RST;SIM1_CLK;SIM1_DATA;GND</x:v>
      </x:c>
      <x:c r="G23" s="17" t="str">
        <x:v>1V8_USIM</x:v>
      </x:c>
      <x:c r="H23" s="17" t="str">
        <x:v>TE_2336582_1_PROCUREMENT_RISK</x:v>
      </x:c>
      <x:c r="I23" s="17" t="str">
        <x:v>ON_BOARD</x:v>
      </x:c>
      <x:c r="J23" s="17" t="str">
        <x:v>Low-capacitance TVS local bypass RF filtering and service-cover access</x:v>
      </x:c>
      <x:c r="K23" s="17" t="str">
        <x:v>OPEN_SCHEMATIC</x:v>
      </x:c>
      <x:c r="L23" s="17" t="str">
        <x:v>ICCID slot mapping hot-plug disabled 100 switch cycles ESD and second-source validation</x:v>
      </x:c>
    </x:row>
    <x:row r="24" ht="15" hidden="0" customHeight="1">
      <x:c r="A24" s="17" t="str">
        <x:v>LNK-023</x:v>
      </x:c>
      <x:c r="B24" s="17" t="str">
        <x:v>SIM_mux</x:v>
      </x:c>
      <x:c r="C24" s="17" t="str">
        <x:v>U13</x:v>
      </x:c>
      <x:c r="D24" s="17" t="str">
        <x:v>Nano_SIM_slot_2</x:v>
      </x:c>
      <x:c r="E24" s="17" t="str">
        <x:v>J_SIM2</x:v>
      </x:c>
      <x:c r="F24" s="17" t="str">
        <x:v>SIM2_VDD;SIM2_RST;SIM2_CLK;SIM2_DATA;GND</x:v>
      </x:c>
      <x:c r="G24" s="17" t="str">
        <x:v>1V8_USIM</x:v>
      </x:c>
      <x:c r="H24" s="17" t="str">
        <x:v>TE_2336582_1_PROCUREMENT_RISK</x:v>
      </x:c>
      <x:c r="I24" s="17" t="str">
        <x:v>ON_BOARD</x:v>
      </x:c>
      <x:c r="J24" s="17" t="str">
        <x:v>Low-capacitance TVS local bypass RF filtering and service-cover access</x:v>
      </x:c>
      <x:c r="K24" s="17" t="str">
        <x:v>OPEN_SCHEMATIC</x:v>
      </x:c>
      <x:c r="L24" s="17" t="str">
        <x:v>ICCID slot mapping hot-plug disabled 100 switch cycles ESD and second-source validation</x:v>
      </x:c>
    </x:row>
    <x:row r="25" ht="15" hidden="0" customHeight="1">
      <x:c r="A25" s="17" t="str">
        <x:v>LNK-024</x:v>
      </x:c>
      <x:c r="B25" s="17" t="str">
        <x:v>STM32U585</x:v>
      </x:c>
      <x:c r="C25" s="17" t="str">
        <x:v>U1</x:v>
      </x:c>
      <x:c r="D25" s="17" t="str">
        <x:v>SIM_mux_and_slots</x:v>
      </x:c>
      <x:c r="E25" s="17" t="str">
        <x:v>U13;J_SIM1;J_SIM2</x:v>
      </x:c>
      <x:c r="F25" s="17" t="str">
        <x:v>SIM_MUX_SEL;SIM_MUX_EN;SIM1_DET;SIM2_DET</x:v>
      </x:c>
      <x:c r="G25" s="17" t="str">
        <x:v>3V3_GPIO_with_1V8_compatible_mux_control</x:v>
      </x:c>
      <x:c r="H25" s="17" t="str">
        <x:v>ON_BOARD</x:v>
      </x:c>
      <x:c r="I25" s="17" t="str">
        <x:v>ON_BOARD</x:v>
      </x:c>
      <x:c r="J25" s="17" t="str">
        <x:v>Boot-safe pull states and no slot switching while BG95 powered</x:v>
      </x:c>
      <x:c r="K25" s="17" t="str">
        <x:v>OPEN_CUBEMX</x:v>
      </x:c>
      <x:c r="L25" s="17" t="str">
        <x:v>Boot brownout unauthorized command and safe-switch state machine</x:v>
      </x:c>
    </x:row>
    <x:row r="26" ht="15" hidden="0" customHeight="1">
      <x:c r="A26" s="17" t="str">
        <x:v>LNK-025</x:v>
      </x:c>
      <x:c r="B26" s="17" t="str">
        <x:v>PCB_MIC_1..4</x:v>
      </x:c>
      <x:c r="C26" s="17" t="str">
        <x:v>MIC_WAKE1..4_AAD_CFG</x:v>
      </x:c>
      <x:c r="D26" s="17" t="str">
        <x:v>STM32U585</x:v>
      </x:c>
      <x:c r="E26" s="17" t="str">
        <x:v>PA8_MIC_WAKE_PA15_AAD_CFG</x:v>
      </x:c>
      <x:c r="F26" s="17" t="str">
        <x:v>MIC_WAKE1;MIC_WAKE2;MIC_WAKE3;MIC_WAKE4 -&gt; U17 OR -&gt; U18 level shift -&gt; PA8 MIC_WAKE; PA15 -&gt; U7 level shift -&gt; shared AAD_CFG -&gt; pin6 of all four 6P MIC harnesses</x:v>
      </x:c>
      <x:c r="G26" s="17" t="str">
        <x:v>1V8_to_3V3_and_3V3_to_1V8</x:v>
      </x:c>
      <x:c r="H26" s="17" t="str">
        <x:v>ON_BOARD_PLUS_6P_PICO_LOCK_HARNESSES</x:v>
      </x:c>
      <x:c r="I26" s="17" t="str">
        <x:v>FOUR_EQUALIZED_6P_HARNESSES</x:v>
      </x:c>
      <x:c r="J26" s="17" t="str">
        <x:v>SN74LVC32APWR at 1.8 V plus SN74AXC1T45DRLR to 3.3 V for WAKE; SN74AXC8T245 channel for AAD_CFG; defined boot-safe states</x:v>
      </x:c>
      <x:c r="K26" s="17" t="str">
        <x:v>SCHEMATIC_PENDING</x:v>
      </x:c>
      <x:c r="L26" s="17" t="str">
        <x:v>AAD threshold configuration wake edge false-wake power sequencing Stop-mode wake THSEL write timing and measured S0 current</x:v>
      </x:c>
    </x:row>
    <x:row r="27" ht="15" hidden="0" customHeight="1">
      <x:c r="A27" s="17" t="str">
        <x:v>LNK-026</x:v>
      </x:c>
      <x:c r="B27" s="17" t="str">
        <x:v>PCB_MAIN</x:v>
      </x:c>
      <x:c r="C27" s="17" t="str">
        <x:v>J13</x:v>
      </x:c>
      <x:c r="D27" s="17" t="str">
        <x:v>Normally_closed_tamper_loop</x:v>
      </x:c>
      <x:c r="E27" s="17" t="str">
        <x:v>External_tamper_switch</x:v>
      </x:c>
      <x:c r="F27" s="17" t="str">
        <x:v>TAMPER_IN;GND</x:v>
      </x:c>
      <x:c r="G27" s="17" t="str">
        <x:v>3V3_contact</x:v>
      </x:c>
      <x:c r="H27" s="17" t="str">
        <x:v>Molex_504050_0291</x:v>
      </x:c>
      <x:c r="I27" s="17" t="str">
        <x:v>Molex_504051_0201_harness</x:v>
      </x:c>
      <x:c r="J27" s="17" t="str">
        <x:v>Pull-up debounce and connector-side ESD</x:v>
      </x:c>
      <x:c r="K27" s="17" t="str">
        <x:v>ELECTRICAL_AUTHORITY_FROZEN_MECHANICS_PENDING</x:v>
      </x:c>
      <x:c r="L27" s="17" t="str">
        <x:v>Closed secure and open alarm/cable-break behavior; exact two-contact map fixed</x:v>
      </x:c>
    </x:row>
    <x:row r="28" ht="15" hidden="0" customHeight="1">
      <x:c r="A28" s="17" t="str">
        <x:v>LNK-027</x:v>
      </x:c>
      <x:c r="B28" s="17" t="str">
        <x:v>BG95</x:v>
      </x:c>
      <x:c r="C28" s="17" t="str">
        <x:v>U8</x:v>
      </x:c>
      <x:c r="D28" s="17" t="str">
        <x:v>Cellular_USB_recovery_fixture</x:v>
      </x:c>
      <x:c r="E28" s="17" t="str">
        <x:v>TP_CELL_USB</x:v>
      </x:c>
      <x:c r="F28" s="17" t="str">
        <x:v>CELL_USB_VBUS;CELL_USB_DP;CELL_USB_DM;GND_MODEM</x:v>
      </x:c>
      <x:c r="G28" s="17" t="str">
        <x:v>USB_fixture_only</x:v>
      </x:c>
      <x:c r="H28" s="17" t="str">
        <x:v>TEST_PADS_4P</x:v>
      </x:c>
      <x:c r="I28" s="17" t="str">
        <x:v>FIXTURE_POGO</x:v>
      </x:c>
      <x:c r="J28" s="17" t="str">
        <x:v>Isolated USB protection and no connection to J11</x:v>
      </x:c>
      <x:c r="K28" s="17" t="str">
        <x:v>ELECTRICAL_AUTHORITY_FROZEN_PLACEMENT_PENDING</x:v>
      </x:c>
      <x:c r="L28" s="17" t="str">
        <x:v>Modem USB recovery enumeration and isolation test</x:v>
      </x:c>
    </x:row>
    <x:row r="29" ht="15" hidden="0" customHeight="1">
      <x:c r="A29" s="17" t="str">
        <x:v>LNK-028</x:v>
      </x:c>
      <x:c r="B29" s="17" t="str">
        <x:v>BG95</x:v>
      </x:c>
      <x:c r="C29" s="17" t="str">
        <x:v>U8</x:v>
      </x:c>
      <x:c r="D29" s="17" t="str">
        <x:v>Cellular_debug_recovery_fixture</x:v>
      </x:c>
      <x:c r="E29" s="17" t="str">
        <x:v>TP_CELL_DBG</x:v>
      </x:c>
      <x:c r="F29" s="17" t="str">
        <x:v>U8_VDD_EXT_1V8;CELL_DBG_TXD_1V8;CELL_DBG_RXD_1V8;CELL_USB_BOOT_1V8;GND_MODEM</x:v>
      </x:c>
      <x:c r="G29" s="17" t="str">
        <x:v>1V8_logic</x:v>
      </x:c>
      <x:c r="H29" s="17" t="str">
        <x:v>TEST_PADS_5P</x:v>
      </x:c>
      <x:c r="I29" s="17" t="str">
        <x:v>FIXTURE_POGO</x:v>
      </x:c>
      <x:c r="J29" s="17" t="str">
        <x:v>High-impedance VREF-gated debug and current-limited recovery-only USB_BOOT</x:v>
      </x:c>
      <x:c r="K29" s="17" t="str">
        <x:v>ELECTRICAL_AUTHORITY_FROZEN_PLACEMENT_PENDING</x:v>
      </x:c>
      <x:c r="L29" s="17" t="str">
        <x:v>Debug communication USB recovery boot sequencing and normal-low safety test</x:v>
      </x:c>
    </x:row>
    <x:row r="30" ht="15" hidden="0" customHeight="1">
      <x:c r="A30" s="17" t="str">
        <x:v>LNK-029</x:v>
      </x:c>
      <x:c r="B30" s="17" t="str">
        <x:v>RELiON_RB40</x:v>
      </x:c>
      <x:c r="C30" s="17" t="str">
        <x:v>BT1_BODY_AND_M8</x:v>
      </x:c>
      <x:c r="D30" s="17" t="str">
        <x:v>Victron_SmartSolar_75_10</x:v>
      </x:c>
      <x:c r="E30" s="17" t="str">
        <x:v>SCC075010060R</x:v>
      </x:c>
      <x:c r="F30" s="17" t="str">
        <x:v>BAT_TEMP;BAT_VOLTAGE</x:v>
      </x:c>
      <x:c r="G30" s="17" t="str">
        <x:v>VE_Smart_Bluetooth</x:v>
      </x:c>
      <x:c r="H30" s="17" t="str">
        <x:v>SBS050150200_M10_EYELETS_SELECTED_CANDIDATE</x:v>
      </x:c>
      <x:c r="I30" s="17" t="str">
        <x:v>0.45M_LEADS_10M_WIRELESS_RANGE</x:v>
      </x:c>
      <x:c r="J30" s="17" t="str">
        <x:v>Approved washer and retention stack on RB40 M8 terminals plus sensor attachment and network fail-state review</x:v>
      </x:c>
      <x:c r="K30" s="17" t="str">
        <x:v>SELECTED_EVT_CANDIDATE_ENVIRONMENTAL_NETWORK_OPEN</x:v>
      </x:c>
      <x:c r="L30" s="17" t="str">
        <x:v>Eyelet retention torque pairing retention actual-temperature reception cutoff at 0 C resume above 0.5 C -10..60 C device limit and cold soak</x:v>
      </x:c>
    </x:row>
    <x:row r="31" ht="15" hidden="0" customHeight="1">
      <x:c r="A31" s="17" t="str">
        <x:v>LNK-030</x:v>
      </x:c>
      <x:c r="B31" s="17" t="str">
        <x:v>Cellular_SMA_bulkhead</x:v>
      </x:c>
      <x:c r="C31" s="17" t="str">
        <x:v>AE1_BH</x:v>
      </x:c>
      <x:c r="D31" s="17" t="str">
        <x:v>Taoglas_G30_B_108111</x:v>
      </x:c>
      <x:c r="E31" s="17" t="str">
        <x:v>ANT_CELL</x:v>
      </x:c>
      <x:c r="F31" s="17" t="str">
        <x:v>RF_CELL</x:v>
      </x:c>
      <x:c r="G31" s="17" t="str">
        <x:v>50_ohm</x:v>
      </x:c>
      <x:c r="H31" s="17" t="str">
        <x:v>SMA_NORMAL_POLARITY</x:v>
      </x:c>
      <x:c r="I31" s="17" t="str">
        <x:v>G30_INTEGRAL_1M_CABLE_CANDIDATE</x:v>
      </x:c>
      <x:c r="J31" s="17" t="str">
        <x:v>Weather seal connector torque strain relief lightning and installation policy</x:v>
      </x:c>
      <x:c r="K31" s="17" t="str">
        <x:v>SELECTED_EVT_CANDIDATE_INSTALLED_RF_OPEN</x:v>
      </x:c>
      <x:c r="L31" s="17" t="str">
        <x:v>Installed VSWR cable loss BG95-M3 bands attach sensitivity and LTE/RU868/GNSS coexistence</x:v>
      </x:c>
    </x:row>
    <x:row r="32" ht="15" hidden="0" customHeight="1">
      <x:c r="A32" s="17" t="str">
        <x:v>LNK-031</x:v>
      </x:c>
      <x:c r="B32" s="17" t="str">
        <x:v>GNSS_SMA_bulkhead</x:v>
      </x:c>
      <x:c r="C32" s="17" t="str">
        <x:v>AE2_BH</x:v>
      </x:c>
      <x:c r="D32" s="17" t="str">
        <x:v>Taoglas_AA_166_A_301111</x:v>
      </x:c>
      <x:c r="E32" s="17" t="str">
        <x:v>ANT_GNSS</x:v>
      </x:c>
      <x:c r="F32" s="17" t="str">
        <x:v>RF_GNSS_BIASED</x:v>
      </x:c>
      <x:c r="G32" s="17" t="str">
        <x:v>50_ohm</x:v>
      </x:c>
      <x:c r="H32" s="17" t="str">
        <x:v>SMA_NORMAL_POLARITY</x:v>
      </x:c>
      <x:c r="I32" s="17" t="str">
        <x:v>AA166_INTEGRAL_3M_RG174_CANDIDATE</x:v>
      </x:c>
      <x:c r="J32" s="17" t="str">
        <x:v>Weather seal connector torque mounting plane strain relief and antenna bias limit</x:v>
      </x:c>
      <x:c r="K32" s="17" t="str">
        <x:v>SELECTED_EVT_CANDIDATE_INSTALLED_RF_OPEN</x:v>
      </x:c>
      <x:c r="L32" s="17" t="str">
        <x:v>Current at 3.3 V at most 50 mA sensitivity fix PPS cable loss and transmitter coexistence</x:v>
      </x:c>
    </x:row>
    <x:row r="33" ht="15" hidden="0" customHeight="1">
      <x:c r="A33" s="17" t="str">
        <x:v>LNK-032</x:v>
      </x:c>
      <x:c r="B33" s="17" t="str">
        <x:v>LoRa_SMA_bulkhead</x:v>
      </x:c>
      <x:c r="C33" s="17" t="str">
        <x:v>AE3_BH</x:v>
      </x:c>
      <x:c r="D33" s="17" t="str">
        <x:v>Taoglas_TI_89_B_2111W</x:v>
      </x:c>
      <x:c r="E33" s="17" t="str">
        <x:v>ANT_LORA</x:v>
      </x:c>
      <x:c r="F33" s="17" t="str">
        <x:v>RF_LORA</x:v>
      </x:c>
      <x:c r="G33" s="17" t="str">
        <x:v>50_ohm</x:v>
      </x:c>
      <x:c r="H33" s="17" t="str">
        <x:v>SMA_NORMAL_POLARITY</x:v>
      </x:c>
      <x:c r="I33" s="17" t="str">
        <x:v>DIRECT_TERMINAL_ANTENNA</x:v>
      </x:c>
      <x:c r="J33" s="17" t="str">
        <x:v>Weather seal connector torque mechanical support and no-load policy</x:v>
      </x:c>
      <x:c r="K33" s="17" t="str">
        <x:v>SELECTED_EVT_CANDIDATE_INSTALLED_RF_OPEN</x:v>
      </x:c>
      <x:c r="L33" s="17" t="str">
        <x:v>Installed VSWR conducted power sensitivity range and RU868 radiated compliance</x:v>
      </x:c>
    </x:row>
  </x:sheetData>
  <x:pageMargins left="0.7" right="0.7" top="0.75" bottom="0.75" header="0.3" footer="0.3"/>
  <x:tableParts count="1">
    <x:tablePart xmlns:r="http://schemas.openxmlformats.org/officeDocument/2006/relationships" r:id="R860c8c2262a7429a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80000114440918" hidden="0" customWidth="1"/>
    <x:col min="2" max="2" width="13.880000114440918" hidden="0" customWidth="1"/>
    <x:col min="3" max="3" width="5.380000114440918" hidden="0" customWidth="1"/>
    <x:col min="4" max="4" width="8.880000114440918" hidden="0" customWidth="1"/>
    <x:col min="5" max="5" width="16.3799991607666" hidden="0" customWidth="1"/>
    <x:col min="6" max="6" width="15.380000114440918" hidden="0" customWidth="1"/>
    <x:col min="7" max="7" width="13.130000114440918" hidden="0" customWidth="1"/>
    <x:col min="8" max="8" width="21.1299991607666" hidden="0" customWidth="1"/>
    <x:col min="9" max="9" width="25.25" hidden="0" customWidth="1"/>
    <x:col min="10" max="10" width="17.6299991607666" hidden="0" customWidth="1"/>
    <x:col min="11" max="11" width="14" hidden="0" customWidth="1"/>
    <x:col min="12" max="12" width="58" hidden="0" customWidth="1"/>
  </x:cols>
  <x:sheetData>
    <x:row r="1" ht="15" hidden="0" customHeight="1">
      <x:c r="A1" s="19" t="str">
        <x:v>Interface</x:v>
      </x:c>
      <x:c r="B1" s="19" t="str">
        <x:v>Connector_Ref</x:v>
      </x:c>
      <x:c r="C1" s="19" t="str">
        <x:v>Pin</x:v>
      </x:c>
      <x:c r="D1" s="19" t="str">
        <x:v>Net</x:v>
      </x:c>
      <x:c r="E1" s="19" t="str">
        <x:v>Direction_at_MAIN</x:v>
      </x:c>
      <x:c r="F1" s="19" t="str">
        <x:v>Nominal_voltage</x:v>
      </x:c>
      <x:c r="G1" s="19" t="str">
        <x:v>Current_class</x:v>
      </x:c>
      <x:c r="H1" s="19" t="str">
        <x:v>Wire_rule</x:v>
      </x:c>
      <x:c r="I1" s="19" t="str">
        <x:v>Shield_pair_rule</x:v>
      </x:c>
      <x:c r="J1" s="19" t="str">
        <x:v>Keying_requirement</x:v>
      </x:c>
      <x:c r="K1" s="19" t="str">
        <x:v>Release_status</x:v>
      </x:c>
      <x:c r="L1" s="19" t="str">
        <x:v>Notes</x:v>
      </x:c>
    </x:row>
    <x:row r="2" ht="15" hidden="0" customHeight="1">
      <x:c r="A2" s="17" t="str">
        <x:v>MIC1</x:v>
      </x:c>
      <x:c r="B2" s="17" t="str">
        <x:v>J_MIC1</x:v>
      </x:c>
      <x:c r="C2" s="17" t="str">
        <x:v>1</x:v>
      </x:c>
      <x:c r="D2" s="17" t="str">
        <x:v>1V8_MIC</x:v>
      </x:c>
      <x:c r="E2" s="17" t="str">
        <x:v>OUT</x:v>
      </x:c>
      <x:c r="F2" s="17" t="str">
        <x:v>1.8V</x:v>
      </x:c>
      <x:c r="G2" s="17" t="str">
        <x:v>LOW</x:v>
      </x:c>
      <x:c r="H2" s="17" t="str">
        <x:v>AWG28_or_larger</x:v>
      </x:c>
      <x:c r="I2" s="17" t="str">
        <x:v>Route_with_GND</x:v>
      </x:c>
      <x:c r="J2" s="17" t="str">
        <x:v>KEYED</x:v>
      </x:c>
      <x:c r="K2" s="17" t="str">
        <x:v>LOGICAL_FROZEN</x:v>
      </x:c>
      <x:c r="L2" s="17" t="str">
        <x:v>Same 6-pin physical order on all MIC connectors</x:v>
      </x:c>
    </x:row>
    <x:row r="3" ht="15" hidden="0" customHeight="1">
      <x:c r="A3" s="17" t="str">
        <x:v>MIC1</x:v>
      </x:c>
      <x:c r="B3" s="17" t="str">
        <x:v>J_MIC1</x:v>
      </x:c>
      <x:c r="C3" s="17" t="str">
        <x:v>2</x:v>
      </x:c>
      <x:c r="D3" s="17" t="str">
        <x:v>GND</x:v>
      </x:c>
      <x:c r="E3" s="17" t="str">
        <x:v>RETURN</x:v>
      </x:c>
      <x:c r="F3" s="17" t="str">
        <x:v>0V</x:v>
      </x:c>
      <x:c r="G3" s="17" t="str">
        <x:v>LOW</x:v>
      </x:c>
      <x:c r="H3" s="17" t="str">
        <x:v>AWG28_or_larger</x:v>
      </x:c>
      <x:c r="I3" s="17" t="str">
        <x:v>Return_for_1V8_PDM_WAKE_CFG</x:v>
      </x:c>
      <x:c r="J3" s="17" t="str">
        <x:v>KEYED</x:v>
      </x:c>
      <x:c r="K3" s="17" t="str">
        <x:v>LOGICAL_FROZEN</x:v>
      </x:c>
      <x:c r="L3" s="17" t="str"/>
    </x:row>
    <x:row r="4" ht="15" hidden="0" customHeight="1">
      <x:c r="A4" s="17" t="str">
        <x:v>MIC1</x:v>
      </x:c>
      <x:c r="B4" s="17" t="str">
        <x:v>J_MIC1</x:v>
      </x:c>
      <x:c r="C4" s="17" t="str">
        <x:v>3</x:v>
      </x:c>
      <x:c r="D4" s="17" t="str">
        <x:v>PDM_CLK</x:v>
      </x:c>
      <x:c r="E4" s="17" t="str">
        <x:v>OUT</x:v>
      </x:c>
      <x:c r="F4" s="17" t="str">
        <x:v>1.8V_logic</x:v>
      </x:c>
      <x:c r="G4" s="17" t="str">
        <x:v>LOW</x:v>
      </x:c>
      <x:c r="H4" s="17" t="str">
        <x:v>AWG28_or_larger</x:v>
      </x:c>
      <x:c r="I4" s="17" t="str">
        <x:v>Twist_or_pair_with_GND_if_harness_long</x:v>
      </x:c>
      <x:c r="J4" s="17" t="str">
        <x:v>KEYED</x:v>
      </x:c>
      <x:c r="K4" s="17" t="str">
        <x:v>LOGICAL_FROZEN</x:v>
      </x:c>
      <x:c r="L4" s="17" t="str">
        <x:v>Series damping footprint at source</x:v>
      </x:c>
    </x:row>
    <x:row r="5" ht="15" hidden="0" customHeight="1">
      <x:c r="A5" s="17" t="str">
        <x:v>MIC1</x:v>
      </x:c>
      <x:c r="B5" s="17" t="str">
        <x:v>J_MIC1</x:v>
      </x:c>
      <x:c r="C5" s="17" t="str">
        <x:v>4</x:v>
      </x:c>
      <x:c r="D5" s="17" t="str">
        <x:v>PDM_DATA1</x:v>
      </x:c>
      <x:c r="E5" s="17" t="str">
        <x:v>IN</x:v>
      </x:c>
      <x:c r="F5" s="17" t="str">
        <x:v>1.8V_logic</x:v>
      </x:c>
      <x:c r="G5" s="17" t="str">
        <x:v>LOW</x:v>
      </x:c>
      <x:c r="H5" s="17" t="str">
        <x:v>AWG28_or_larger</x:v>
      </x:c>
      <x:c r="I5" s="17" t="str">
        <x:v>Twist_or_pair_with_GND_if_harness_long</x:v>
      </x:c>
      <x:c r="J5" s="17" t="str">
        <x:v>KEYED</x:v>
      </x:c>
      <x:c r="K5" s="17" t="str">
        <x:v>LOGICAL_FROZEN</x:v>
      </x:c>
      <x:c r="L5" s="17" t="str"/>
    </x:row>
    <x:row r="6" ht="15" hidden="0" customHeight="1">
      <x:c r="A6" s="17" t="str">
        <x:v>AAD_WAKE1</x:v>
      </x:c>
      <x:c r="B6" s="17" t="str">
        <x:v>J_MIC1</x:v>
      </x:c>
      <x:c r="C6" s="17" t="str">
        <x:v>5</x:v>
      </x:c>
      <x:c r="D6" s="17" t="str">
        <x:v>MIC_WAKE1</x:v>
      </x:c>
      <x:c r="E6" s="17" t="str">
        <x:v>IN</x:v>
      </x:c>
      <x:c r="F6" s="17" t="str">
        <x:v>1.8V_logic</x:v>
      </x:c>
      <x:c r="G6" s="17" t="str">
        <x:v>LOW</x:v>
      </x:c>
      <x:c r="H6" s="17" t="str">
        <x:v>AWG28_or_larger</x:v>
      </x:c>
      <x:c r="I6" s="17" t="str">
        <x:v>Route_with_GND_avoid_PDM_clk_crosstalk</x:v>
      </x:c>
      <x:c r="J6" s="17" t="str">
        <x:v>KEYED</x:v>
      </x:c>
      <x:c r="K6" s="17" t="str">
        <x:v>LOGICAL_FROZEN</x:v>
      </x:c>
      <x:c r="L6" s="17" t="str">
        <x:v>T5838 AAD WAKE output preserved for low-power acoustic wake</x:v>
      </x:c>
    </x:row>
    <x:row r="7" ht="15" hidden="0" customHeight="1">
      <x:c r="A7" s="17" t="str">
        <x:v>AAD_CFG1</x:v>
      </x:c>
      <x:c r="B7" s="17" t="str">
        <x:v>J_MIC1</x:v>
      </x:c>
      <x:c r="C7" s="17" t="str">
        <x:v>6</x:v>
      </x:c>
      <x:c r="D7" s="17" t="str">
        <x:v>AAD_CFG</x:v>
      </x:c>
      <x:c r="E7" s="17" t="str">
        <x:v>OUT</x:v>
      </x:c>
      <x:c r="F7" s="17" t="str">
        <x:v>1.8V_one_wire</x:v>
      </x:c>
      <x:c r="G7" s="17" t="str">
        <x:v>LOW</x:v>
      </x:c>
      <x:c r="H7" s="17" t="str">
        <x:v>AWG28_or_larger</x:v>
      </x:c>
      <x:c r="I7" s="17" t="str">
        <x:v>Route_with_GND_avoid_PDM_clk_crosstalk</x:v>
      </x:c>
      <x:c r="J7" s="17" t="str">
        <x:v>KEYED</x:v>
      </x:c>
      <x:c r="K7" s="17" t="str">
        <x:v>LOGICAL_FROZEN</x:v>
      </x:c>
      <x:c r="L7" s="17" t="str">
        <x:v>Common T5838 THSEL one-wire configuration bus; same write applied to all four microphones</x:v>
      </x:c>
    </x:row>
    <x:row r="8" ht="15" hidden="0" customHeight="1">
      <x:c r="A8" s="17" t="str">
        <x:v>MIC2</x:v>
      </x:c>
      <x:c r="B8" s="17" t="str">
        <x:v>J_MIC2</x:v>
      </x:c>
      <x:c r="C8" s="17" t="str">
        <x:v>1</x:v>
      </x:c>
      <x:c r="D8" s="17" t="str">
        <x:v>1V8_MIC</x:v>
      </x:c>
      <x:c r="E8" s="17" t="str">
        <x:v>OUT</x:v>
      </x:c>
      <x:c r="F8" s="17" t="str">
        <x:v>1.8V</x:v>
      </x:c>
      <x:c r="G8" s="17" t="str">
        <x:v>LOW</x:v>
      </x:c>
      <x:c r="H8" s="17" t="str">
        <x:v>AWG28_or_larger</x:v>
      </x:c>
      <x:c r="I8" s="17" t="str">
        <x:v>Route_with_GND</x:v>
      </x:c>
      <x:c r="J8" s="17" t="str">
        <x:v>KEYED</x:v>
      </x:c>
      <x:c r="K8" s="17" t="str">
        <x:v>LOGICAL_FROZEN</x:v>
      </x:c>
      <x:c r="L8" s="17" t="str"/>
    </x:row>
    <x:row r="9" ht="15" hidden="0" customHeight="1">
      <x:c r="A9" s="17" t="str">
        <x:v>MIC2</x:v>
      </x:c>
      <x:c r="B9" s="17" t="str">
        <x:v>J_MIC2</x:v>
      </x:c>
      <x:c r="C9" s="17" t="str">
        <x:v>2</x:v>
      </x:c>
      <x:c r="D9" s="17" t="str">
        <x:v>GND</x:v>
      </x:c>
      <x:c r="E9" s="17" t="str">
        <x:v>RETURN</x:v>
      </x:c>
      <x:c r="F9" s="17" t="str">
        <x:v>0V</x:v>
      </x:c>
      <x:c r="G9" s="17" t="str">
        <x:v>LOW</x:v>
      </x:c>
      <x:c r="H9" s="17" t="str">
        <x:v>AWG28_or_larger</x:v>
      </x:c>
      <x:c r="I9" s="17" t="str">
        <x:v>Return_for_1V8_PDM_WAKE_CFG</x:v>
      </x:c>
      <x:c r="J9" s="17" t="str">
        <x:v>KEYED</x:v>
      </x:c>
      <x:c r="K9" s="17" t="str">
        <x:v>LOGICAL_FROZEN</x:v>
      </x:c>
      <x:c r="L9" s="17" t="str"/>
    </x:row>
    <x:row r="10" ht="15" hidden="0" customHeight="1">
      <x:c r="A10" s="17" t="str">
        <x:v>MIC2</x:v>
      </x:c>
      <x:c r="B10" s="17" t="str">
        <x:v>J_MIC2</x:v>
      </x:c>
      <x:c r="C10" s="17" t="str">
        <x:v>3</x:v>
      </x:c>
      <x:c r="D10" s="17" t="str">
        <x:v>PDM_CLK</x:v>
      </x:c>
      <x:c r="E10" s="17" t="str">
        <x:v>OUT</x:v>
      </x:c>
      <x:c r="F10" s="17" t="str">
        <x:v>1.8V_logic</x:v>
      </x:c>
      <x:c r="G10" s="17" t="str">
        <x:v>LOW</x:v>
      </x:c>
      <x:c r="H10" s="17" t="str">
        <x:v>AWG28_or_larger</x:v>
      </x:c>
      <x:c r="I10" s="17" t="str">
        <x:v>Twist_or_pair_with_GND_if_harness_long</x:v>
      </x:c>
      <x:c r="J10" s="17" t="str">
        <x:v>KEYED</x:v>
      </x:c>
      <x:c r="K10" s="17" t="str">
        <x:v>LOGICAL_FROZEN</x:v>
      </x:c>
      <x:c r="L10" s="17" t="str"/>
    </x:row>
    <x:row r="11" ht="15" hidden="0" customHeight="1">
      <x:c r="A11" s="17" t="str">
        <x:v>MIC2</x:v>
      </x:c>
      <x:c r="B11" s="17" t="str">
        <x:v>J_MIC2</x:v>
      </x:c>
      <x:c r="C11" s="17" t="str">
        <x:v>4</x:v>
      </x:c>
      <x:c r="D11" s="17" t="str">
        <x:v>PDM_DATA2</x:v>
      </x:c>
      <x:c r="E11" s="17" t="str">
        <x:v>IN</x:v>
      </x:c>
      <x:c r="F11" s="17" t="str">
        <x:v>1.8V_logic</x:v>
      </x:c>
      <x:c r="G11" s="17" t="str">
        <x:v>LOW</x:v>
      </x:c>
      <x:c r="H11" s="17" t="str">
        <x:v>AWG28_or_larger</x:v>
      </x:c>
      <x:c r="I11" s="17" t="str">
        <x:v>Twist_or_pair_with_GND_if_harness_long</x:v>
      </x:c>
      <x:c r="J11" s="17" t="str">
        <x:v>KEYED</x:v>
      </x:c>
      <x:c r="K11" s="17" t="str">
        <x:v>LOGICAL_FROZEN</x:v>
      </x:c>
      <x:c r="L11" s="17" t="str"/>
    </x:row>
    <x:row r="12" ht="15" hidden="0" customHeight="1">
      <x:c r="A12" s="17" t="str">
        <x:v>AAD_WAKE2</x:v>
      </x:c>
      <x:c r="B12" s="17" t="str">
        <x:v>J_MIC2</x:v>
      </x:c>
      <x:c r="C12" s="17" t="str">
        <x:v>5</x:v>
      </x:c>
      <x:c r="D12" s="17" t="str">
        <x:v>MIC_WAKE2</x:v>
      </x:c>
      <x:c r="E12" s="17" t="str">
        <x:v>IN</x:v>
      </x:c>
      <x:c r="F12" s="17" t="str">
        <x:v>1.8V_logic</x:v>
      </x:c>
      <x:c r="G12" s="17" t="str">
        <x:v>LOW</x:v>
      </x:c>
      <x:c r="H12" s="17" t="str">
        <x:v>AWG28_or_larger</x:v>
      </x:c>
      <x:c r="I12" s="17" t="str">
        <x:v>Route_with_GND_avoid_PDM_clk_crosstalk</x:v>
      </x:c>
      <x:c r="J12" s="17" t="str">
        <x:v>KEYED</x:v>
      </x:c>
      <x:c r="K12" s="17" t="str">
        <x:v>LOGICAL_FROZEN</x:v>
      </x:c>
      <x:c r="L12" s="17" t="str">
        <x:v>T5838 AAD WAKE output</x:v>
      </x:c>
    </x:row>
    <x:row r="13" ht="15" hidden="0" customHeight="1">
      <x:c r="A13" s="17" t="str">
        <x:v>AAD_CFG2</x:v>
      </x:c>
      <x:c r="B13" s="17" t="str">
        <x:v>J_MIC2</x:v>
      </x:c>
      <x:c r="C13" s="17" t="str">
        <x:v>6</x:v>
      </x:c>
      <x:c r="D13" s="17" t="str">
        <x:v>AAD_CFG</x:v>
      </x:c>
      <x:c r="E13" s="17" t="str">
        <x:v>OUT</x:v>
      </x:c>
      <x:c r="F13" s="17" t="str">
        <x:v>1.8V_one_wire</x:v>
      </x:c>
      <x:c r="G13" s="17" t="str">
        <x:v>LOW</x:v>
      </x:c>
      <x:c r="H13" s="17" t="str">
        <x:v>AWG28_or_larger</x:v>
      </x:c>
      <x:c r="I13" s="17" t="str">
        <x:v>Route_with_GND_avoid_PDM_clk_crosstalk</x:v>
      </x:c>
      <x:c r="J13" s="17" t="str">
        <x:v>KEYED</x:v>
      </x:c>
      <x:c r="K13" s="17" t="str">
        <x:v>LOGICAL_FROZEN</x:v>
      </x:c>
      <x:c r="L13" s="17" t="str">
        <x:v>Common T5838 THSEL one-wire configuration bus</x:v>
      </x:c>
    </x:row>
    <x:row r="14" ht="15" hidden="0" customHeight="1">
      <x:c r="A14" s="17" t="str">
        <x:v>MIC3</x:v>
      </x:c>
      <x:c r="B14" s="17" t="str">
        <x:v>J_MIC3</x:v>
      </x:c>
      <x:c r="C14" s="17" t="str">
        <x:v>1</x:v>
      </x:c>
      <x:c r="D14" s="17" t="str">
        <x:v>1V8_MIC</x:v>
      </x:c>
      <x:c r="E14" s="17" t="str">
        <x:v>OUT</x:v>
      </x:c>
      <x:c r="F14" s="17" t="str">
        <x:v>1.8V</x:v>
      </x:c>
      <x:c r="G14" s="17" t="str">
        <x:v>LOW</x:v>
      </x:c>
      <x:c r="H14" s="17" t="str">
        <x:v>AWG28_or_larger</x:v>
      </x:c>
      <x:c r="I14" s="17" t="str">
        <x:v>Route_with_GND</x:v>
      </x:c>
      <x:c r="J14" s="17" t="str">
        <x:v>KEYED</x:v>
      </x:c>
      <x:c r="K14" s="17" t="str">
        <x:v>LOGICAL_FROZEN</x:v>
      </x:c>
      <x:c r="L14" s="17" t="str"/>
    </x:row>
    <x:row r="15" ht="15" hidden="0" customHeight="1">
      <x:c r="A15" s="17" t="str">
        <x:v>MIC3</x:v>
      </x:c>
      <x:c r="B15" s="17" t="str">
        <x:v>J_MIC3</x:v>
      </x:c>
      <x:c r="C15" s="17" t="str">
        <x:v>2</x:v>
      </x:c>
      <x:c r="D15" s="17" t="str">
        <x:v>GND</x:v>
      </x:c>
      <x:c r="E15" s="17" t="str">
        <x:v>RETURN</x:v>
      </x:c>
      <x:c r="F15" s="17" t="str">
        <x:v>0V</x:v>
      </x:c>
      <x:c r="G15" s="17" t="str">
        <x:v>LOW</x:v>
      </x:c>
      <x:c r="H15" s="17" t="str">
        <x:v>AWG28_or_larger</x:v>
      </x:c>
      <x:c r="I15" s="17" t="str">
        <x:v>Return_for_1V8_PDM_WAKE_CFG</x:v>
      </x:c>
      <x:c r="J15" s="17" t="str">
        <x:v>KEYED</x:v>
      </x:c>
      <x:c r="K15" s="17" t="str">
        <x:v>LOGICAL_FROZEN</x:v>
      </x:c>
      <x:c r="L15" s="17" t="str"/>
    </x:row>
    <x:row r="16" ht="15" hidden="0" customHeight="1">
      <x:c r="A16" s="17" t="str">
        <x:v>MIC3</x:v>
      </x:c>
      <x:c r="B16" s="17" t="str">
        <x:v>J_MIC3</x:v>
      </x:c>
      <x:c r="C16" s="17" t="str">
        <x:v>3</x:v>
      </x:c>
      <x:c r="D16" s="17" t="str">
        <x:v>PDM_CLK</x:v>
      </x:c>
      <x:c r="E16" s="17" t="str">
        <x:v>OUT</x:v>
      </x:c>
      <x:c r="F16" s="17" t="str">
        <x:v>1.8V_logic</x:v>
      </x:c>
      <x:c r="G16" s="17" t="str">
        <x:v>LOW</x:v>
      </x:c>
      <x:c r="H16" s="17" t="str">
        <x:v>AWG28_or_larger</x:v>
      </x:c>
      <x:c r="I16" s="17" t="str">
        <x:v>Twist_or_pair_with_GND_if_harness_long</x:v>
      </x:c>
      <x:c r="J16" s="17" t="str">
        <x:v>KEYED</x:v>
      </x:c>
      <x:c r="K16" s="17" t="str">
        <x:v>LOGICAL_FROZEN</x:v>
      </x:c>
      <x:c r="L16" s="17" t="str"/>
    </x:row>
    <x:row r="17" ht="15" hidden="0" customHeight="1">
      <x:c r="A17" s="17" t="str">
        <x:v>MIC3</x:v>
      </x:c>
      <x:c r="B17" s="17" t="str">
        <x:v>J_MIC3</x:v>
      </x:c>
      <x:c r="C17" s="17" t="str">
        <x:v>4</x:v>
      </x:c>
      <x:c r="D17" s="17" t="str">
        <x:v>PDM_DATA3</x:v>
      </x:c>
      <x:c r="E17" s="17" t="str">
        <x:v>IN</x:v>
      </x:c>
      <x:c r="F17" s="17" t="str">
        <x:v>1.8V_logic</x:v>
      </x:c>
      <x:c r="G17" s="17" t="str">
        <x:v>LOW</x:v>
      </x:c>
      <x:c r="H17" s="17" t="str">
        <x:v>AWG28_or_larger</x:v>
      </x:c>
      <x:c r="I17" s="17" t="str">
        <x:v>Twist_or_pair_with_GND_if_harness_long</x:v>
      </x:c>
      <x:c r="J17" s="17" t="str">
        <x:v>KEYED</x:v>
      </x:c>
      <x:c r="K17" s="17" t="str">
        <x:v>LOGICAL_FROZEN</x:v>
      </x:c>
      <x:c r="L17" s="17" t="str"/>
    </x:row>
    <x:row r="18" ht="15" hidden="0" customHeight="1">
      <x:c r="A18" s="17" t="str">
        <x:v>AAD_WAKE3</x:v>
      </x:c>
      <x:c r="B18" s="17" t="str">
        <x:v>J_MIC3</x:v>
      </x:c>
      <x:c r="C18" s="17" t="str">
        <x:v>5</x:v>
      </x:c>
      <x:c r="D18" s="17" t="str">
        <x:v>MIC_WAKE3</x:v>
      </x:c>
      <x:c r="E18" s="17" t="str">
        <x:v>IN</x:v>
      </x:c>
      <x:c r="F18" s="17" t="str">
        <x:v>1.8V_logic</x:v>
      </x:c>
      <x:c r="G18" s="17" t="str">
        <x:v>LOW</x:v>
      </x:c>
      <x:c r="H18" s="17" t="str">
        <x:v>AWG28_or_larger</x:v>
      </x:c>
      <x:c r="I18" s="17" t="str">
        <x:v>Route_with_GND_avoid_PDM_clk_crosstalk</x:v>
      </x:c>
      <x:c r="J18" s="17" t="str">
        <x:v>KEYED</x:v>
      </x:c>
      <x:c r="K18" s="17" t="str">
        <x:v>LOGICAL_FROZEN</x:v>
      </x:c>
      <x:c r="L18" s="17" t="str">
        <x:v>T5838 AAD WAKE output</x:v>
      </x:c>
    </x:row>
    <x:row r="19" ht="15" hidden="0" customHeight="1">
      <x:c r="A19" s="17" t="str">
        <x:v>AAD_CFG3</x:v>
      </x:c>
      <x:c r="B19" s="17" t="str">
        <x:v>J_MIC3</x:v>
      </x:c>
      <x:c r="C19" s="17" t="str">
        <x:v>6</x:v>
      </x:c>
      <x:c r="D19" s="17" t="str">
        <x:v>AAD_CFG</x:v>
      </x:c>
      <x:c r="E19" s="17" t="str">
        <x:v>OUT</x:v>
      </x:c>
      <x:c r="F19" s="17" t="str">
        <x:v>1.8V_one_wire</x:v>
      </x:c>
      <x:c r="G19" s="17" t="str">
        <x:v>LOW</x:v>
      </x:c>
      <x:c r="H19" s="17" t="str">
        <x:v>AWG28_or_larger</x:v>
      </x:c>
      <x:c r="I19" s="17" t="str">
        <x:v>Route_with_GND_avoid_PDM_clk_crosstalk</x:v>
      </x:c>
      <x:c r="J19" s="17" t="str">
        <x:v>KEYED</x:v>
      </x:c>
      <x:c r="K19" s="17" t="str">
        <x:v>LOGICAL_FROZEN</x:v>
      </x:c>
      <x:c r="L19" s="17" t="str">
        <x:v>Common T5838 THSEL one-wire configuration bus</x:v>
      </x:c>
    </x:row>
    <x:row r="20" ht="15" hidden="0" customHeight="1">
      <x:c r="A20" s="17" t="str">
        <x:v>MIC4</x:v>
      </x:c>
      <x:c r="B20" s="17" t="str">
        <x:v>J_MIC4</x:v>
      </x:c>
      <x:c r="C20" s="17" t="str">
        <x:v>1</x:v>
      </x:c>
      <x:c r="D20" s="17" t="str">
        <x:v>1V8_MIC</x:v>
      </x:c>
      <x:c r="E20" s="17" t="str">
        <x:v>OUT</x:v>
      </x:c>
      <x:c r="F20" s="17" t="str">
        <x:v>1.8V</x:v>
      </x:c>
      <x:c r="G20" s="17" t="str">
        <x:v>LOW</x:v>
      </x:c>
      <x:c r="H20" s="17" t="str">
        <x:v>AWG28_or_larger</x:v>
      </x:c>
      <x:c r="I20" s="17" t="str">
        <x:v>Route_with_GND</x:v>
      </x:c>
      <x:c r="J20" s="17" t="str">
        <x:v>KEYED</x:v>
      </x:c>
      <x:c r="K20" s="17" t="str">
        <x:v>LOGICAL_FROZEN</x:v>
      </x:c>
      <x:c r="L20" s="17" t="str"/>
    </x:row>
    <x:row r="21" ht="15" hidden="0" customHeight="1">
      <x:c r="A21" s="17" t="str">
        <x:v>MIC4</x:v>
      </x:c>
      <x:c r="B21" s="17" t="str">
        <x:v>J_MIC4</x:v>
      </x:c>
      <x:c r="C21" s="17" t="str">
        <x:v>2</x:v>
      </x:c>
      <x:c r="D21" s="17" t="str">
        <x:v>GND</x:v>
      </x:c>
      <x:c r="E21" s="17" t="str">
        <x:v>RETURN</x:v>
      </x:c>
      <x:c r="F21" s="17" t="str">
        <x:v>0V</x:v>
      </x:c>
      <x:c r="G21" s="17" t="str">
        <x:v>LOW</x:v>
      </x:c>
      <x:c r="H21" s="17" t="str">
        <x:v>AWG28_or_larger</x:v>
      </x:c>
      <x:c r="I21" s="17" t="str">
        <x:v>Return_for_1V8_PDM_WAKE_CFG</x:v>
      </x:c>
      <x:c r="J21" s="17" t="str">
        <x:v>KEYED</x:v>
      </x:c>
      <x:c r="K21" s="17" t="str">
        <x:v>LOGICAL_FROZEN</x:v>
      </x:c>
      <x:c r="L21" s="17" t="str"/>
    </x:row>
    <x:row r="22" ht="15" hidden="0" customHeight="1">
      <x:c r="A22" s="17" t="str">
        <x:v>MIC4</x:v>
      </x:c>
      <x:c r="B22" s="17" t="str">
        <x:v>J_MIC4</x:v>
      </x:c>
      <x:c r="C22" s="17" t="str">
        <x:v>3</x:v>
      </x:c>
      <x:c r="D22" s="17" t="str">
        <x:v>PDM_CLK</x:v>
      </x:c>
      <x:c r="E22" s="17" t="str">
        <x:v>OUT</x:v>
      </x:c>
      <x:c r="F22" s="17" t="str">
        <x:v>1.8V_logic</x:v>
      </x:c>
      <x:c r="G22" s="17" t="str">
        <x:v>LOW</x:v>
      </x:c>
      <x:c r="H22" s="17" t="str">
        <x:v>AWG28_or_larger</x:v>
      </x:c>
      <x:c r="I22" s="17" t="str">
        <x:v>Twist_or_pair_with_GND_if_harness_long</x:v>
      </x:c>
      <x:c r="J22" s="17" t="str">
        <x:v>KEYED</x:v>
      </x:c>
      <x:c r="K22" s="17" t="str">
        <x:v>LOGICAL_FROZEN</x:v>
      </x:c>
      <x:c r="L22" s="17" t="str"/>
    </x:row>
    <x:row r="23" ht="15" hidden="0" customHeight="1">
      <x:c r="A23" s="17" t="str">
        <x:v>MIC4</x:v>
      </x:c>
      <x:c r="B23" s="17" t="str">
        <x:v>J_MIC4</x:v>
      </x:c>
      <x:c r="C23" s="17" t="str">
        <x:v>4</x:v>
      </x:c>
      <x:c r="D23" s="17" t="str">
        <x:v>PDM_DATA4</x:v>
      </x:c>
      <x:c r="E23" s="17" t="str">
        <x:v>IN</x:v>
      </x:c>
      <x:c r="F23" s="17" t="str">
        <x:v>1.8V_logic</x:v>
      </x:c>
      <x:c r="G23" s="17" t="str">
        <x:v>LOW</x:v>
      </x:c>
      <x:c r="H23" s="17" t="str">
        <x:v>AWG28_or_larger</x:v>
      </x:c>
      <x:c r="I23" s="17" t="str">
        <x:v>Twist_or_pair_with_GND_if_harness_long</x:v>
      </x:c>
      <x:c r="J23" s="17" t="str">
        <x:v>KEYED</x:v>
      </x:c>
      <x:c r="K23" s="17" t="str">
        <x:v>LOGICAL_FROZEN</x:v>
      </x:c>
      <x:c r="L23" s="17" t="str"/>
    </x:row>
    <x:row r="24" ht="15" hidden="0" customHeight="1">
      <x:c r="A24" s="17" t="str">
        <x:v>AAD_WAKE4</x:v>
      </x:c>
      <x:c r="B24" s="17" t="str">
        <x:v>J_MIC4</x:v>
      </x:c>
      <x:c r="C24" s="17" t="str">
        <x:v>5</x:v>
      </x:c>
      <x:c r="D24" s="17" t="str">
        <x:v>MIC_WAKE4</x:v>
      </x:c>
      <x:c r="E24" s="17" t="str">
        <x:v>IN</x:v>
      </x:c>
      <x:c r="F24" s="17" t="str">
        <x:v>1.8V_logic</x:v>
      </x:c>
      <x:c r="G24" s="17" t="str">
        <x:v>LOW</x:v>
      </x:c>
      <x:c r="H24" s="17" t="str">
        <x:v>AWG28_or_larger</x:v>
      </x:c>
      <x:c r="I24" s="17" t="str">
        <x:v>Route_with_GND_avoid_PDM_clk_crosstalk</x:v>
      </x:c>
      <x:c r="J24" s="17" t="str">
        <x:v>KEYED</x:v>
      </x:c>
      <x:c r="K24" s="17" t="str">
        <x:v>LOGICAL_FROZEN</x:v>
      </x:c>
      <x:c r="L24" s="17" t="str">
        <x:v>T5838 AAD WAKE output</x:v>
      </x:c>
    </x:row>
    <x:row r="25" ht="15" hidden="0" customHeight="1">
      <x:c r="A25" s="17" t="str">
        <x:v>AAD_CFG4</x:v>
      </x:c>
      <x:c r="B25" s="17" t="str">
        <x:v>J_MIC4</x:v>
      </x:c>
      <x:c r="C25" s="17" t="str">
        <x:v>6</x:v>
      </x:c>
      <x:c r="D25" s="17" t="str">
        <x:v>AAD_CFG</x:v>
      </x:c>
      <x:c r="E25" s="17" t="str">
        <x:v>OUT</x:v>
      </x:c>
      <x:c r="F25" s="17" t="str">
        <x:v>1.8V_one_wire</x:v>
      </x:c>
      <x:c r="G25" s="17" t="str">
        <x:v>LOW</x:v>
      </x:c>
      <x:c r="H25" s="17" t="str">
        <x:v>AWG28_or_larger</x:v>
      </x:c>
      <x:c r="I25" s="17" t="str">
        <x:v>Route_with_GND_avoid_PDM_clk_crosstalk</x:v>
      </x:c>
      <x:c r="J25" s="17" t="str">
        <x:v>KEYED</x:v>
      </x:c>
      <x:c r="K25" s="17" t="str">
        <x:v>LOGICAL_FROZEN</x:v>
      </x:c>
      <x:c r="L25" s="17" t="str">
        <x:v>Common T5838 THSEL one-wire configuration bus</x:v>
      </x:c>
    </x:row>
    <x:row r="26" ht="15" hidden="0" customHeight="1">
      <x:c r="A26" s="17" t="str">
        <x:v>MAIN_PWR</x:v>
      </x:c>
      <x:c r="B26" s="17" t="str">
        <x:v>J_PWR</x:v>
      </x:c>
      <x:c r="C26" s="17" t="str">
        <x:v>1</x:v>
      </x:c>
      <x:c r="D26" s="17" t="str">
        <x:v>3V8_MODEM</x:v>
      </x:c>
      <x:c r="E26" s="17" t="str">
        <x:v>IN</x:v>
      </x:c>
      <x:c r="F26" s="17" t="str">
        <x:v>3.8V</x:v>
      </x:c>
      <x:c r="G26" s="17" t="str">
        <x:v>HIGH</x:v>
      </x:c>
      <x:c r="H26" s="17" t="str">
        <x:v>AWG18_0.75mm2_Molex430300038</x:v>
      </x:c>
      <x:c r="I26" s="17" t="str">
        <x:v>Dedicated_return_pin_2</x:v>
      </x:c>
      <x:c r="J26" s="17" t="str">
        <x:v>KEYED_LATCH</x:v>
      </x:c>
      <x:c r="K26" s="17" t="str">
        <x:v>LOGICAL_FROZEN</x:v>
      </x:c>
      <x:c r="L26" s="17" t="str">
        <x:v>Exact selected Micro-Fit power terminal; validate burst current and harness temperature</x:v>
      </x:c>
    </x:row>
    <x:row r="27" ht="15" hidden="0" customHeight="1">
      <x:c r="A27" s="17" t="str">
        <x:v>MAIN_PWR</x:v>
      </x:c>
      <x:c r="B27" s="17" t="str">
        <x:v>J_PWR</x:v>
      </x:c>
      <x:c r="C27" s="17" t="str">
        <x:v>2</x:v>
      </x:c>
      <x:c r="D27" s="17" t="str">
        <x:v>GND_MODEM</x:v>
      </x:c>
      <x:c r="E27" s="17" t="str">
        <x:v>RETURN</x:v>
      </x:c>
      <x:c r="F27" s="17" t="str">
        <x:v>0V</x:v>
      </x:c>
      <x:c r="G27" s="17" t="str">
        <x:v>HIGH</x:v>
      </x:c>
      <x:c r="H27" s="17" t="str">
        <x:v>AWG18_0.75mm2_Molex430300038</x:v>
      </x:c>
      <x:c r="I27" s="17" t="str">
        <x:v>Dedicated_return_for_3V8</x:v>
      </x:c>
      <x:c r="J27" s="17" t="str">
        <x:v>KEYED_LATCH</x:v>
      </x:c>
      <x:c r="K27" s="17" t="str">
        <x:v>LOGICAL_FROZEN</x:v>
      </x:c>
      <x:c r="L27" s="17" t="str">
        <x:v>Exact selected Micro-Fit power terminal</x:v>
      </x:c>
    </x:row>
    <x:row r="28" ht="15" hidden="0" customHeight="1">
      <x:c r="A28" s="17" t="str">
        <x:v>MAIN_PWR</x:v>
      </x:c>
      <x:c r="B28" s="17" t="str">
        <x:v>J_PWR</x:v>
      </x:c>
      <x:c r="C28" s="17" t="str">
        <x:v>3</x:v>
      </x:c>
      <x:c r="D28" s="17" t="str">
        <x:v>3V3_DIGITAL</x:v>
      </x:c>
      <x:c r="E28" s="17" t="str">
        <x:v>IN</x:v>
      </x:c>
      <x:c r="F28" s="17" t="str">
        <x:v>3.3V</x:v>
      </x:c>
      <x:c r="G28" s="17" t="str">
        <x:v>MEDIUM</x:v>
      </x:c>
      <x:c r="H28" s="17" t="str">
        <x:v>AWG18_0.75mm2_Molex430300038</x:v>
      </x:c>
      <x:c r="I28" s="17" t="str">
        <x:v>Dedicated_return_pin_4</x:v>
      </x:c>
      <x:c r="J28" s="17" t="str">
        <x:v>KEYED_LATCH</x:v>
      </x:c>
      <x:c r="K28" s="17" t="str">
        <x:v>LOGICAL_FROZEN</x:v>
      </x:c>
      <x:c r="L28" s="17" t="str">
        <x:v>Exact selected Micro-Fit power terminal; conservative common harness standard</x:v>
      </x:c>
    </x:row>
    <x:row r="29" ht="15" hidden="0" customHeight="1">
      <x:c r="A29" s="17" t="str">
        <x:v>MAIN_PWR</x:v>
      </x:c>
      <x:c r="B29" s="17" t="str">
        <x:v>J_PWR</x:v>
      </x:c>
      <x:c r="C29" s="17" t="str">
        <x:v>4</x:v>
      </x:c>
      <x:c r="D29" s="17" t="str">
        <x:v>GND_DIGITAL</x:v>
      </x:c>
      <x:c r="E29" s="17" t="str">
        <x:v>RETURN</x:v>
      </x:c>
      <x:c r="F29" s="17" t="str">
        <x:v>0V</x:v>
      </x:c>
      <x:c r="G29" s="17" t="str">
        <x:v>MEDIUM</x:v>
      </x:c>
      <x:c r="H29" s="17" t="str">
        <x:v>AWG18_0.75mm2_Molex430300038</x:v>
      </x:c>
      <x:c r="I29" s="17" t="str">
        <x:v>Dedicated_return_for_3V3</x:v>
      </x:c>
      <x:c r="J29" s="17" t="str">
        <x:v>KEYED_LATCH</x:v>
      </x:c>
      <x:c r="K29" s="17" t="str">
        <x:v>LOGICAL_FROZEN</x:v>
      </x:c>
      <x:c r="L29" s="17" t="str">
        <x:v>Exact selected Micro-Fit power terminal</x:v>
      </x:c>
    </x:row>
    <x:row r="30" ht="15" hidden="0" customHeight="1">
      <x:c r="A30" s="17" t="str">
        <x:v>MAIN_PWR</x:v>
      </x:c>
      <x:c r="B30" s="17" t="str">
        <x:v>J_PWR</x:v>
      </x:c>
      <x:c r="C30" s="17" t="str">
        <x:v>5</x:v>
      </x:c>
      <x:c r="D30" s="17" t="str">
        <x:v>1V8_MIC</x:v>
      </x:c>
      <x:c r="E30" s="17" t="str">
        <x:v>IN</x:v>
      </x:c>
      <x:c r="F30" s="17" t="str">
        <x:v>1.8V</x:v>
      </x:c>
      <x:c r="G30" s="17" t="str">
        <x:v>LOW</x:v>
      </x:c>
      <x:c r="H30" s="17" t="str">
        <x:v>AWG18_0.75mm2_Molex430300038</x:v>
      </x:c>
      <x:c r="I30" s="17" t="str">
        <x:v>Dedicated_return_pin_6</x:v>
      </x:c>
      <x:c r="J30" s="17" t="str">
        <x:v>KEYED_LATCH</x:v>
      </x:c>
      <x:c r="K30" s="17" t="str">
        <x:v>LOGICAL_FROZEN</x:v>
      </x:c>
      <x:c r="L30" s="17" t="str">
        <x:v>Remain powered while T5838 AAD monitoring is armed; exact selected Micro-Fit power terminal</x:v>
      </x:c>
    </x:row>
    <x:row r="31" ht="15" hidden="0" customHeight="1">
      <x:c r="A31" s="17" t="str">
        <x:v>MAIN_PWR</x:v>
      </x:c>
      <x:c r="B31" s="17" t="str">
        <x:v>J_PWR</x:v>
      </x:c>
      <x:c r="C31" s="17" t="str">
        <x:v>6</x:v>
      </x:c>
      <x:c r="D31" s="17" t="str">
        <x:v>GND_MIC</x:v>
      </x:c>
      <x:c r="E31" s="17" t="str">
        <x:v>RETURN</x:v>
      </x:c>
      <x:c r="F31" s="17" t="str">
        <x:v>0V</x:v>
      </x:c>
      <x:c r="G31" s="17" t="str">
        <x:v>LOW</x:v>
      </x:c>
      <x:c r="H31" s="17" t="str">
        <x:v>AWG18_0.75mm2_Molex430300038</x:v>
      </x:c>
      <x:c r="I31" s="17" t="str">
        <x:v>Dedicated_return_for_1V8</x:v>
      </x:c>
      <x:c r="J31" s="17" t="str">
        <x:v>KEYED_LATCH</x:v>
      </x:c>
      <x:c r="K31" s="17" t="str">
        <x:v>LOGICAL_FROZEN</x:v>
      </x:c>
      <x:c r="L31" s="17" t="str">
        <x:v>Exact selected Micro-Fit power terminal</x:v>
      </x:c>
    </x:row>
    <x:row r="32" ht="15" hidden="0" customHeight="1">
      <x:c r="A32" s="17" t="str">
        <x:v>MAIN_PWR</x:v>
      </x:c>
      <x:c r="B32" s="17" t="str">
        <x:v>J_PWR</x:v>
      </x:c>
      <x:c r="C32" s="17" t="str">
        <x:v>7</x:v>
      </x:c>
      <x:c r="D32" s="17" t="str">
        <x:v>PWR_GOOD</x:v>
      </x:c>
      <x:c r="E32" s="17" t="str">
        <x:v>IN</x:v>
      </x:c>
      <x:c r="F32" s="17" t="str">
        <x:v>3.3V_logic</x:v>
      </x:c>
      <x:c r="G32" s="17" t="str">
        <x:v>LOW</x:v>
      </x:c>
      <x:c r="H32" s="17" t="str">
        <x:v>AWG20_to_24_Molex430300001</x:v>
      </x:c>
      <x:c r="I32" s="17" t="str">
        <x:v>Pair_with_logic_ground_if_needed</x:v>
      </x:c>
      <x:c r="J32" s="17" t="str">
        <x:v>KEYED_LATCH</x:v>
      </x:c>
      <x:c r="K32" s="17" t="str">
        <x:v>LOGICAL_FROZEN</x:v>
      </x:c>
      <x:c r="L32" s="17" t="str">
        <x:v>Control terminal 430300001; power-side output to MAIN</x:v>
      </x:c>
    </x:row>
    <x:row r="33" ht="15" hidden="0" customHeight="1">
      <x:c r="A33" s="17" t="str">
        <x:v>MAIN_PWR</x:v>
      </x:c>
      <x:c r="B33" s="17" t="str">
        <x:v>J_PWR</x:v>
      </x:c>
      <x:c r="C33" s="17" t="str">
        <x:v>8</x:v>
      </x:c>
      <x:c r="D33" s="17" t="str">
        <x:v>FAULT</x:v>
      </x:c>
      <x:c r="E33" s="17" t="str">
        <x:v>IN</x:v>
      </x:c>
      <x:c r="F33" s="17" t="str">
        <x:v>3.3V_logic</x:v>
      </x:c>
      <x:c r="G33" s="17" t="str">
        <x:v>LOW</x:v>
      </x:c>
      <x:c r="H33" s="17" t="str">
        <x:v>AWG20_to_24_Molex430300001</x:v>
      </x:c>
      <x:c r="I33" s="17" t="str">
        <x:v>Pair_with_logic_ground_if_needed</x:v>
      </x:c>
      <x:c r="J33" s="17" t="str">
        <x:v>KEYED_LATCH</x:v>
      </x:c>
      <x:c r="K33" s="17" t="str">
        <x:v>LOGICAL_FROZEN</x:v>
      </x:c>
      <x:c r="L33" s="17" t="str">
        <x:v>Control terminal 430300001; aggregate power-side fault/alert output to MAIN</x:v>
      </x:c>
    </x:row>
    <x:row r="34" ht="15" hidden="0" customHeight="1">
      <x:c r="A34" s="17" t="str">
        <x:v>MAIN_PWR</x:v>
      </x:c>
      <x:c r="B34" s="17" t="str">
        <x:v>J_PWR</x:v>
      </x:c>
      <x:c r="C34" s="17" t="str">
        <x:v>9</x:v>
      </x:c>
      <x:c r="D34" s="17" t="str">
        <x:v>EN_MODEM</x:v>
      </x:c>
      <x:c r="E34" s="17" t="str">
        <x:v>OUT</x:v>
      </x:c>
      <x:c r="F34" s="17" t="str">
        <x:v>3.3V_logic</x:v>
      </x:c>
      <x:c r="G34" s="17" t="str">
        <x:v>LOW</x:v>
      </x:c>
      <x:c r="H34" s="17" t="str">
        <x:v>AWG20_to_24_Molex430300001</x:v>
      </x:c>
      <x:c r="I34" s="17" t="str">
        <x:v>Pair_with_logic_ground_if_needed</x:v>
      </x:c>
      <x:c r="J34" s="17" t="str">
        <x:v>KEYED_LATCH</x:v>
      </x:c>
      <x:c r="K34" s="17" t="str">
        <x:v>LOGICAL_FROZEN</x:v>
      </x:c>
      <x:c r="L34" s="17" t="str">
        <x:v>Control terminal 430300001; default safe OFF</x:v>
      </x:c>
    </x:row>
    <x:row r="35" ht="15" hidden="0" customHeight="1">
      <x:c r="A35" s="17" t="str">
        <x:v>MAIN_PWR</x:v>
      </x:c>
      <x:c r="B35" s="17" t="str">
        <x:v>J_PWR</x:v>
      </x:c>
      <x:c r="C35" s="17" t="str">
        <x:v>10</x:v>
      </x:c>
      <x:c r="D35" s="17" t="str">
        <x:v>EN_AUX</x:v>
      </x:c>
      <x:c r="E35" s="17" t="str">
        <x:v>OUT</x:v>
      </x:c>
      <x:c r="F35" s="17" t="str">
        <x:v>3.3V_logic</x:v>
      </x:c>
      <x:c r="G35" s="17" t="str">
        <x:v>LOW</x:v>
      </x:c>
      <x:c r="H35" s="17" t="str">
        <x:v>AWG20_to_24_Molex430300001</x:v>
      </x:c>
      <x:c r="I35" s="17" t="str">
        <x:v>Pair_with_logic_ground_if_needed</x:v>
      </x:c>
      <x:c r="J35" s="17" t="str">
        <x:v>KEYED_LATCH</x:v>
      </x:c>
      <x:c r="K35" s="17" t="str">
        <x:v>LOGICAL_FROZEN</x:v>
      </x:c>
      <x:c r="L35" s="17" t="str">
        <x:v>Control terminal 430300001; controls auxiliary rails policy while AAD requires 1V8_MIC available</x:v>
      </x:c>
    </x:row>
    <x:row r="36" ht="15" hidden="0" customHeight="1">
      <x:c r="A36" s="17" t="str">
        <x:v>MAIN_PWR</x:v>
      </x:c>
      <x:c r="B36" s="17" t="str">
        <x:v>J_PWR</x:v>
      </x:c>
      <x:c r="C36" s="17" t="str">
        <x:v>11</x:v>
      </x:c>
      <x:c r="D36" s="17" t="str">
        <x:v>I2C2_SCL</x:v>
      </x:c>
      <x:c r="E36" s="17" t="str">
        <x:v>BIDIR_OD</x:v>
      </x:c>
      <x:c r="F36" s="17" t="str">
        <x:v>3.3V_logic</x:v>
      </x:c>
      <x:c r="G36" s="17" t="str">
        <x:v>LOW</x:v>
      </x:c>
      <x:c r="H36" s="17" t="str">
        <x:v>AWG20_to_24_Molex430300001</x:v>
      </x:c>
      <x:c r="I36" s="17" t="str">
        <x:v>Route_with_GND_DIGITAL_keep_short</x:v>
      </x:c>
      <x:c r="J36" s="17" t="str">
        <x:v>KEYED_LATCH</x:v>
      </x:c>
      <x:c r="K36" s="17" t="str">
        <x:v>LOGICAL_FROZEN</x:v>
      </x:c>
      <x:c r="L36" s="17" t="str">
        <x:v>100 kHz Rev.A power/sensor I2C; pull-ups are on PCB-MAIN; INA226 is on PCB-PWR</x:v>
      </x:c>
    </x:row>
    <x:row r="37" ht="15" hidden="0" customHeight="1">
      <x:c r="A37" s="17" t="str">
        <x:v>MAIN_PWR</x:v>
      </x:c>
      <x:c r="B37" s="17" t="str">
        <x:v>J_PWR</x:v>
      </x:c>
      <x:c r="C37" s="17" t="str">
        <x:v>12</x:v>
      </x:c>
      <x:c r="D37" s="17" t="str">
        <x:v>I2C2_SDA</x:v>
      </x:c>
      <x:c r="E37" s="17" t="str">
        <x:v>BIDIR_OD</x:v>
      </x:c>
      <x:c r="F37" s="17" t="str">
        <x:v>3.3V_logic</x:v>
      </x:c>
      <x:c r="G37" s="17" t="str">
        <x:v>LOW</x:v>
      </x:c>
      <x:c r="H37" s="17" t="str">
        <x:v>AWG20_to_24_Molex430300001</x:v>
      </x:c>
      <x:c r="I37" s="17" t="str">
        <x:v>Route_with_GND_DIGITAL_keep_short</x:v>
      </x:c>
      <x:c r="J37" s="17" t="str">
        <x:v>KEYED_LATCH</x:v>
      </x:c>
      <x:c r="K37" s="17" t="str">
        <x:v>LOGICAL_FROZEN</x:v>
      </x:c>
      <x:c r="L37" s="17" t="str">
        <x:v>100 kHz Rev.A power/sensor I2C; pull-ups are on PCB-MAIN; INA226 address 0x40</x:v>
      </x:c>
    </x:row>
    <x:row r="38" ht="15" hidden="0" customHeight="1">
      <x:c r="A38" s="17" t="str">
        <x:v>SWD</x:v>
      </x:c>
      <x:c r="B38" s="17" t="str">
        <x:v>J_SWD</x:v>
      </x:c>
      <x:c r="C38" s="17" t="str">
        <x:v>1</x:v>
      </x:c>
      <x:c r="D38" s="17" t="str">
        <x:v>VTREF</x:v>
      </x:c>
      <x:c r="E38" s="17" t="str">
        <x:v>IN</x:v>
      </x:c>
      <x:c r="F38" s="17" t="str">
        <x:v>3.3V</x:v>
      </x:c>
      <x:c r="G38" s="17" t="str">
        <x:v>LOW</x:v>
      </x:c>
      <x:c r="H38" s="17" t="str">
        <x:v>Fixture_pogo_or_AWG28</x:v>
      </x:c>
      <x:c r="I38" s="17" t="str">
        <x:v>No_shield</x:v>
      </x:c>
      <x:c r="J38" s="17" t="str">
        <x:v>KEYED_OR_FIXTURE</x:v>
      </x:c>
      <x:c r="K38" s="17" t="str">
        <x:v>LOGICAL_FROZEN</x:v>
      </x:c>
      <x:c r="L38" s="17" t="str"/>
    </x:row>
    <x:row r="39" ht="15" hidden="0" customHeight="1">
      <x:c r="A39" s="17" t="str">
        <x:v>SWD</x:v>
      </x:c>
      <x:c r="B39" s="17" t="str">
        <x:v>J_SWD</x:v>
      </x:c>
      <x:c r="C39" s="17" t="str">
        <x:v>2</x:v>
      </x:c>
      <x:c r="D39" s="17" t="str">
        <x:v>SWDIO</x:v>
      </x:c>
      <x:c r="E39" s="17" t="str">
        <x:v>BIDIR</x:v>
      </x:c>
      <x:c r="F39" s="17" t="str">
        <x:v>3.3V_logic</x:v>
      </x:c>
      <x:c r="G39" s="17" t="str">
        <x:v>LOW</x:v>
      </x:c>
      <x:c r="H39" s="17" t="str">
        <x:v>Fixture_pogo_or_AWG28</x:v>
      </x:c>
      <x:c r="I39" s="17" t="str">
        <x:v>Short</x:v>
      </x:c>
      <x:c r="J39" s="17" t="str">
        <x:v>KEYED_OR_FIXTURE</x:v>
      </x:c>
      <x:c r="K39" s="17" t="str">
        <x:v>LOGICAL_FROZEN</x:v>
      </x:c>
      <x:c r="L39" s="17" t="str"/>
    </x:row>
    <x:row r="40" ht="15" hidden="0" customHeight="1">
      <x:c r="A40" s="17" t="str">
        <x:v>SWD</x:v>
      </x:c>
      <x:c r="B40" s="17" t="str">
        <x:v>J_SWD</x:v>
      </x:c>
      <x:c r="C40" s="17" t="str">
        <x:v>3</x:v>
      </x:c>
      <x:c r="D40" s="17" t="str">
        <x:v>SWCLK</x:v>
      </x:c>
      <x:c r="E40" s="17" t="str">
        <x:v>IN</x:v>
      </x:c>
      <x:c r="F40" s="17" t="str">
        <x:v>3.3V_logic</x:v>
      </x:c>
      <x:c r="G40" s="17" t="str">
        <x:v>LOW</x:v>
      </x:c>
      <x:c r="H40" s="17" t="str">
        <x:v>Fixture_pogo_or_AWG28</x:v>
      </x:c>
      <x:c r="I40" s="17" t="str">
        <x:v>Short</x:v>
      </x:c>
      <x:c r="J40" s="17" t="str">
        <x:v>KEYED_OR_FIXTURE</x:v>
      </x:c>
      <x:c r="K40" s="17" t="str">
        <x:v>LOGICAL_FROZEN</x:v>
      </x:c>
      <x:c r="L40" s="17" t="str"/>
    </x:row>
    <x:row r="41" ht="15" hidden="0" customHeight="1">
      <x:c r="A41" s="17" t="str">
        <x:v>SWD</x:v>
      </x:c>
      <x:c r="B41" s="17" t="str">
        <x:v>J_SWD</x:v>
      </x:c>
      <x:c r="C41" s="17" t="str">
        <x:v>4</x:v>
      </x:c>
      <x:c r="D41" s="17" t="str">
        <x:v>NRST</x:v>
      </x:c>
      <x:c r="E41" s="17" t="str">
        <x:v>IN</x:v>
      </x:c>
      <x:c r="F41" s="17" t="str">
        <x:v>3.3V_logic</x:v>
      </x:c>
      <x:c r="G41" s="17" t="str">
        <x:v>LOW</x:v>
      </x:c>
      <x:c r="H41" s="17" t="str">
        <x:v>Fixture_pogo_or_AWG28</x:v>
      </x:c>
      <x:c r="I41" s="17" t="str">
        <x:v>Short</x:v>
      </x:c>
      <x:c r="J41" s="17" t="str">
        <x:v>KEYED_OR_FIXTURE</x:v>
      </x:c>
      <x:c r="K41" s="17" t="str">
        <x:v>LOGICAL_FROZEN</x:v>
      </x:c>
      <x:c r="L41" s="17" t="str"/>
    </x:row>
    <x:row r="42" ht="15" hidden="0" customHeight="1">
      <x:c r="A42" s="17" t="str">
        <x:v>SWD</x:v>
      </x:c>
      <x:c r="B42" s="17" t="str">
        <x:v>J_SWD</x:v>
      </x:c>
      <x:c r="C42" s="17" t="str">
        <x:v>5</x:v>
      </x:c>
      <x:c r="D42" s="17" t="str">
        <x:v>GND</x:v>
      </x:c>
      <x:c r="E42" s="17" t="str">
        <x:v>RETURN</x:v>
      </x:c>
      <x:c r="F42" s="17" t="str">
        <x:v>0V</x:v>
      </x:c>
      <x:c r="G42" s="17" t="str">
        <x:v>LOW</x:v>
      </x:c>
      <x:c r="H42" s="17" t="str">
        <x:v>Fixture_pogo_or_AWG28</x:v>
      </x:c>
      <x:c r="I42" s="17" t="str">
        <x:v>Reference</x:v>
      </x:c>
      <x:c r="J42" s="17" t="str">
        <x:v>KEYED_OR_FIXTURE</x:v>
      </x:c>
      <x:c r="K42" s="17" t="str">
        <x:v>LOGICAL_FROZEN</x:v>
      </x:c>
      <x:c r="L42" s="17" t="str"/>
    </x:row>
    <x:row r="43" ht="15" hidden="0" customHeight="1">
      <x:c r="A43" s="17" t="str">
        <x:v>PWR_INPUT</x:v>
      </x:c>
      <x:c r="B43" s="17" t="str">
        <x:v>J_PWR_IN</x:v>
      </x:c>
      <x:c r="C43" s="17" t="str">
        <x:v>1</x:v>
      </x:c>
      <x:c r="D43" s="17" t="str">
        <x:v>VBAT_PLUS</x:v>
      </x:c>
      <x:c r="E43" s="17" t="str">
        <x:v>IN</x:v>
      </x:c>
      <x:c r="F43" s="17" t="str">
        <x:v>10.0_to_14.6V_provisional</x:v>
      </x:c>
      <x:c r="G43" s="17" t="str">
        <x:v>HIGH</x:v>
      </x:c>
      <x:c r="H43" s="17" t="str">
        <x:v>AWG18_0.75mm2_Molex430300038</x:v>
      </x:c>
      <x:c r="I43" s="17" t="str">
        <x:v>Dedicated_return_pin_2</x:v>
      </x:c>
      <x:c r="J43" s="17" t="str">
        <x:v>KEYED_HIGH_CURRENT</x:v>
      </x:c>
      <x:c r="K43" s="17" t="str">
        <x:v>LOGICAL_FROZEN</x:v>
      </x:c>
      <x:c r="L43" s="17" t="str">
        <x:v>Selected Micro-Fit terminal is 18 AWG only; 5 A capture envelope and final thermal/fault review required</x:v>
      </x:c>
    </x:row>
    <x:row r="44" ht="15" hidden="0" customHeight="1">
      <x:c r="A44" s="17" t="str">
        <x:v>PWR_INPUT</x:v>
      </x:c>
      <x:c r="B44" s="17" t="str">
        <x:v>J_PWR_IN</x:v>
      </x:c>
      <x:c r="C44" s="17" t="str">
        <x:v>2</x:v>
      </x:c>
      <x:c r="D44" s="17" t="str">
        <x:v>VBAT_MINUS</x:v>
      </x:c>
      <x:c r="E44" s="17" t="str">
        <x:v>RETURN</x:v>
      </x:c>
      <x:c r="F44" s="17" t="str">
        <x:v>0V</x:v>
      </x:c>
      <x:c r="G44" s="17" t="str">
        <x:v>HIGH</x:v>
      </x:c>
      <x:c r="H44" s="17" t="str">
        <x:v>AWG18_0.75mm2_Molex430300038</x:v>
      </x:c>
      <x:c r="I44" s="17" t="str">
        <x:v>Dedicated_return_for_VBAT</x:v>
      </x:c>
      <x:c r="J44" s="17" t="str">
        <x:v>KEYED_HIGH_CURRENT</x:v>
      </x:c>
      <x:c r="K44" s="17" t="str">
        <x:v>LOGICAL_FROZEN</x:v>
      </x:c>
      <x:c r="L44" s="17" t="str">
        <x:v>Selected Micro-Fit terminal is 18 AWG only; final connector thermal test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c751ee60700b44af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80000114440918" hidden="0" customWidth="1"/>
    <x:col min="2" max="2" width="13" hidden="0" customWidth="1"/>
    <x:col min="3" max="3" width="14.75" hidden="0" customWidth="1"/>
    <x:col min="4" max="4" width="20.25" hidden="0" customWidth="1"/>
    <x:col min="5" max="5" width="12.130000114440918" hidden="0" customWidth="1"/>
    <x:col min="6" max="6" width="12.75" hidden="0" customWidth="1"/>
    <x:col min="7" max="7" width="18.3799991607666" hidden="0" customWidth="1"/>
    <x:col min="8" max="8" width="10.130000114440918" hidden="0" customWidth="1"/>
    <x:col min="9" max="9" width="8.5" hidden="0" customWidth="1"/>
    <x:col min="10" max="10" width="21.25" hidden="0" customWidth="1"/>
    <x:col min="11" max="11" width="11" hidden="0" customWidth="1"/>
    <x:col min="12" max="12" width="35.380001068115234" hidden="0" customWidth="1"/>
    <x:col min="13" max="13" width="18" hidden="0" customWidth="1"/>
    <x:col min="14" max="14" width="15.880000114440918" hidden="0" customWidth="1"/>
    <x:col min="15" max="15" width="14.880000114440918" hidden="0" customWidth="1"/>
    <x:col min="16" max="16" width="19.3799991607666" hidden="0" customWidth="1"/>
    <x:col min="17" max="17" width="10.630000114440918" hidden="0" customWidth="1"/>
    <x:col min="18" max="18" width="36.630001068115234" hidden="0" customWidth="1"/>
    <x:col min="19" max="19" width="31" hidden="0" customWidth="1"/>
    <x:col min="20" max="20" width="29.5" hidden="0" customWidth="1"/>
  </x:cols>
  <x:sheetData>
    <x:row r="1" ht="15" hidden="0" customHeight="1">
      <x:c r="A1" s="19" t="str">
        <x:v>Harness_ID</x:v>
      </x:c>
      <x:c r="B1" s="19" t="str">
        <x:v>Conductor_ID</x:v>
      </x:c>
      <x:c r="C1" s="19" t="str">
        <x:v>From_Assembly</x:v>
      </x:c>
      <x:c r="D1" s="19" t="str">
        <x:v>From_Connector</x:v>
      </x:c>
      <x:c r="E1" s="19" t="str">
        <x:v>From_Cavity</x:v>
      </x:c>
      <x:c r="F1" s="19" t="str">
        <x:v>To_Assembly</x:v>
      </x:c>
      <x:c r="G1" s="19" t="str">
        <x:v>To_Connector</x:v>
      </x:c>
      <x:c r="H1" s="19" t="str">
        <x:v>To_Cavity</x:v>
      </x:c>
      <x:c r="I1" s="19" t="str">
        <x:v>Net</x:v>
      </x:c>
      <x:c r="J1" s="19" t="str">
        <x:v>Wire_Gauge</x:v>
      </x:c>
      <x:c r="K1" s="19" t="str">
        <x:v>Wire_Color</x:v>
      </x:c>
      <x:c r="L1" s="19" t="str">
        <x:v>Routing_Rule</x:v>
      </x:c>
      <x:c r="M1" s="19" t="str">
        <x:v>From_Terminal_MPN</x:v>
      </x:c>
      <x:c r="N1" s="19" t="str">
        <x:v>To_Terminal_MPN</x:v>
      </x:c>
      <x:c r="O1" s="19" t="str">
        <x:v>Cut_Length_mm</x:v>
      </x:c>
      <x:c r="P1" s="19" t="str">
        <x:v>Length_Tolerance_mm</x:v>
      </x:c>
      <x:c r="Q1" s="19" t="str">
        <x:v>End_Label</x:v>
      </x:c>
      <x:c r="R1" s="19" t="str">
        <x:v>Continuity_Test</x:v>
      </x:c>
      <x:c r="S1" s="19" t="str">
        <x:v>Release_Status</x:v>
      </x:c>
      <x:c r="T1" s="19" t="str">
        <x:v>Release_Blocker</x:v>
      </x:c>
    </x:row>
    <x:row r="2" ht="15" hidden="0" customHeight="1">
      <x:c r="A2" s="23" t="str">
        <x:v>H-MIC1</x:v>
      </x:c>
      <x:c r="B2" s="23" t="str">
        <x:v>MIC1-01</x:v>
      </x:c>
      <x:c r="C2" s="23" t="str">
        <x:v>PCB-MAIN</x:v>
      </x:c>
      <x:c r="D2" s="23" t="str">
        <x:v>J_MIC1_MATING_5040510601</x:v>
      </x:c>
      <x:c r="E2" s="23" t="str">
        <x:v>1</x:v>
      </x:c>
      <x:c r="F2" s="23" t="str">
        <x:v>PCB-MIC1</x:v>
      </x:c>
      <x:c r="G2" s="23" t="str">
        <x:v>J1_MATING_5040510601</x:v>
      </x:c>
      <x:c r="H2" s="23" t="str">
        <x:v>1</x:v>
      </x:c>
      <x:c r="I2" s="23" t="str">
        <x:v>1V8_MIC</x:v>
      </x:c>
      <x:c r="J2" s="23" t="str">
        <x:v>AWG24_TE_55A0111-24_OD0P94MM</x:v>
      </x:c>
      <x:c r="K2" s="23" t="str">
        <x:v>RED</x:v>
      </x:c>
      <x:c r="L2" s="23" t="str">
        <x:v>BUNDLE_WITH_GND</x:v>
      </x:c>
      <x:c r="M2" s="23" t="str">
        <x:v>5040520098</x:v>
      </x:c>
      <x:c r="N2" s="23" t="str">
        <x:v>5040520098</x:v>
      </x:c>
      <x:c r="O2" s="23" t="str">
        <x:v>275</x:v>
      </x:c>
      <x:c r="P2" s="23" t="str">
        <x:v>5</x:v>
      </x:c>
      <x:c r="Q2" s="23" t="str">
        <x:v>MIC1-A__MIC1-B</x:v>
      </x:c>
      <x:c r="R2" s="23" t="str">
        <x:v>100_PERCENT_PIN_TO_PIN_NO_CROSS_SHORTS</x:v>
      </x:c>
      <x:c r="S2" s="23" t="str">
        <x:v>EVT_BUILD_RELEASED_FIRST_ARTICLE_REQUIRED</x:v>
      </x:c>
      <x:c r="T2" s="23" t="str">
        <x:v>EVT installed-route PDM AAD strain-relief validation</x:v>
      </x:c>
    </x:row>
    <x:row r="3" ht="15" hidden="0" customHeight="1">
      <x:c r="A3" s="23" t="str">
        <x:v>H-MIC1</x:v>
      </x:c>
      <x:c r="B3" s="23" t="str">
        <x:v>MIC1-02</x:v>
      </x:c>
      <x:c r="C3" s="23" t="str">
        <x:v>PCB-MAIN</x:v>
      </x:c>
      <x:c r="D3" s="23" t="str">
        <x:v>J_MIC1_MATING_5040510601</x:v>
      </x:c>
      <x:c r="E3" s="23" t="str">
        <x:v>2</x:v>
      </x:c>
      <x:c r="F3" s="23" t="str">
        <x:v>PCB-MIC1</x:v>
      </x:c>
      <x:c r="G3" s="23" t="str">
        <x:v>J1_MATING_5040510601</x:v>
      </x:c>
      <x:c r="H3" s="23" t="str">
        <x:v>2</x:v>
      </x:c>
      <x:c r="I3" s="23" t="str">
        <x:v>GND</x:v>
      </x:c>
      <x:c r="J3" s="23" t="str">
        <x:v>AWG24_TE_55A0111-24_OD0P94MM</x:v>
      </x:c>
      <x:c r="K3" s="23" t="str">
        <x:v>BLACK</x:v>
      </x:c>
      <x:c r="L3" s="23" t="str">
        <x:v>COMMON_RETURN_ADJACENT_TO_SIGNAL_GROUP</x:v>
      </x:c>
      <x:c r="M3" s="23" t="str">
        <x:v>5040520098</x:v>
      </x:c>
      <x:c r="N3" s="23" t="str">
        <x:v>5040520098</x:v>
      </x:c>
      <x:c r="O3" s="23" t="str">
        <x:v>275</x:v>
      </x:c>
      <x:c r="P3" s="23" t="str">
        <x:v>5</x:v>
      </x:c>
      <x:c r="Q3" s="23" t="str">
        <x:v>MIC1-A__MIC1-B</x:v>
      </x:c>
      <x:c r="R3" s="23" t="str">
        <x:v>100_PERCENT_PIN_TO_PIN_NO_CROSS_SHORTS</x:v>
      </x:c>
      <x:c r="S3" s="23" t="str">
        <x:v>EVT_BUILD_RELEASED_FIRST_ARTICLE_REQUIRED</x:v>
      </x:c>
      <x:c r="T3" s="23" t="str">
        <x:v>EVT installed-route PDM AAD strain-relief validation</x:v>
      </x:c>
    </x:row>
    <x:row r="4" ht="15" hidden="0" customHeight="1">
      <x:c r="A4" s="23" t="str">
        <x:v>H-MIC1</x:v>
      </x:c>
      <x:c r="B4" s="23" t="str">
        <x:v>MIC1-03</x:v>
      </x:c>
      <x:c r="C4" s="23" t="str">
        <x:v>PCB-MAIN</x:v>
      </x:c>
      <x:c r="D4" s="23" t="str">
        <x:v>J_MIC1_MATING_5040510601</x:v>
      </x:c>
      <x:c r="E4" s="23" t="str">
        <x:v>3</x:v>
      </x:c>
      <x:c r="F4" s="23" t="str">
        <x:v>PCB-MIC1</x:v>
      </x:c>
      <x:c r="G4" s="23" t="str">
        <x:v>J1_MATING_5040510601</x:v>
      </x:c>
      <x:c r="H4" s="23" t="str">
        <x:v>3</x:v>
      </x:c>
      <x:c r="I4" s="23" t="str">
        <x:v>PDM_CLK</x:v>
      </x:c>
      <x:c r="J4" s="23" t="str">
        <x:v>AWG24_TE_55A0111-24_OD0P94MM</x:v>
      </x:c>
      <x:c r="K4" s="23" t="str">
        <x:v>WHITE</x:v>
      </x:c>
      <x:c r="L4" s="23" t="str">
        <x:v>KEEP_ADJACENT_TO_GND_AVOID_DATA_PARALLEL_RUN</x:v>
      </x:c>
      <x:c r="M4" s="23" t="str">
        <x:v>5040520098</x:v>
      </x:c>
      <x:c r="N4" s="23" t="str">
        <x:v>5040520098</x:v>
      </x:c>
      <x:c r="O4" s="23" t="str">
        <x:v>275</x:v>
      </x:c>
      <x:c r="P4" s="23" t="str">
        <x:v>5</x:v>
      </x:c>
      <x:c r="Q4" s="23" t="str">
        <x:v>MIC1-A__MIC1-B</x:v>
      </x:c>
      <x:c r="R4" s="23" t="str">
        <x:v>100_PERCENT_PIN_TO_PIN_NO_CROSS_SHORTS</x:v>
      </x:c>
      <x:c r="S4" s="23" t="str">
        <x:v>EVT_BUILD_RELEASED_FIRST_ARTICLE_REQUIRED</x:v>
      </x:c>
      <x:c r="T4" s="23" t="str">
        <x:v>EVT installed-route PDM AAD strain-relief validation</x:v>
      </x:c>
    </x:row>
    <x:row r="5" ht="15" hidden="0" customHeight="1">
      <x:c r="A5" s="23" t="str">
        <x:v>H-MIC1</x:v>
      </x:c>
      <x:c r="B5" s="23" t="str">
        <x:v>MIC1-04</x:v>
      </x:c>
      <x:c r="C5" s="23" t="str">
        <x:v>PCB-MAIN</x:v>
      </x:c>
      <x:c r="D5" s="23" t="str">
        <x:v>J_MIC1_MATING_5040510601</x:v>
      </x:c>
      <x:c r="E5" s="23" t="str">
        <x:v>4</x:v>
      </x:c>
      <x:c r="F5" s="23" t="str">
        <x:v>PCB-MIC1</x:v>
      </x:c>
      <x:c r="G5" s="23" t="str">
        <x:v>J1_MATING_5040510601</x:v>
      </x:c>
      <x:c r="H5" s="23" t="str">
        <x:v>4</x:v>
      </x:c>
      <x:c r="I5" s="23" t="str">
        <x:v>PDM_DATA1</x:v>
      </x:c>
      <x:c r="J5" s="23" t="str">
        <x:v>AWG24_TE_55A0111-24_OD0P94MM</x:v>
      </x:c>
      <x:c r="K5" s="23" t="str">
        <x:v>BLUE</x:v>
      </x:c>
      <x:c r="L5" s="23" t="str">
        <x:v>KEEP_ADJACENT_TO_GND_AVOID_CLK_PARALLEL_RUN</x:v>
      </x:c>
      <x:c r="M5" s="23" t="str">
        <x:v>5040520098</x:v>
      </x:c>
      <x:c r="N5" s="23" t="str">
        <x:v>5040520098</x:v>
      </x:c>
      <x:c r="O5" s="23" t="str">
        <x:v>275</x:v>
      </x:c>
      <x:c r="P5" s="23" t="str">
        <x:v>5</x:v>
      </x:c>
      <x:c r="Q5" s="23" t="str">
        <x:v>MIC1-A__MIC1-B</x:v>
      </x:c>
      <x:c r="R5" s="23" t="str">
        <x:v>100_PERCENT_PIN_TO_PIN_NO_CROSS_SHORTS</x:v>
      </x:c>
      <x:c r="S5" s="23" t="str">
        <x:v>EVT_BUILD_RELEASED_FIRST_ARTICLE_REQUIRED</x:v>
      </x:c>
      <x:c r="T5" s="23" t="str">
        <x:v>EVT installed-route PDM AAD strain-relief validation</x:v>
      </x:c>
    </x:row>
    <x:row r="6" ht="15" hidden="0" customHeight="1">
      <x:c r="A6" s="23" t="str">
        <x:v>H-MIC1</x:v>
      </x:c>
      <x:c r="B6" s="23" t="str">
        <x:v>MIC1-05</x:v>
      </x:c>
      <x:c r="C6" s="23" t="str">
        <x:v>PCB-MAIN</x:v>
      </x:c>
      <x:c r="D6" s="23" t="str">
        <x:v>J_MIC1_MATING_5040510601</x:v>
      </x:c>
      <x:c r="E6" s="23" t="str">
        <x:v>5</x:v>
      </x:c>
      <x:c r="F6" s="23" t="str">
        <x:v>PCB-MIC1</x:v>
      </x:c>
      <x:c r="G6" s="23" t="str">
        <x:v>J1_MATING_5040510601</x:v>
      </x:c>
      <x:c r="H6" s="23" t="str">
        <x:v>5</x:v>
      </x:c>
      <x:c r="I6" s="23" t="str">
        <x:v>MIC_WAKE1</x:v>
      </x:c>
      <x:c r="J6" s="23" t="str">
        <x:v>AWG24_TE_55A0111-24_OD0P94MM</x:v>
      </x:c>
      <x:c r="K6" s="23" t="str">
        <x:v>VIOLET</x:v>
      </x:c>
      <x:c r="L6" s="23" t="str">
        <x:v>KEEP_ADJACENT_TO_GND_AVOID_CLK_CROSSTALK</x:v>
      </x:c>
      <x:c r="M6" s="23" t="str">
        <x:v>5040520098</x:v>
      </x:c>
      <x:c r="N6" s="23" t="str">
        <x:v>5040520098</x:v>
      </x:c>
      <x:c r="O6" s="23" t="str">
        <x:v>275</x:v>
      </x:c>
      <x:c r="P6" s="23" t="str">
        <x:v>5</x:v>
      </x:c>
      <x:c r="Q6" s="23" t="str">
        <x:v>MIC1-A__MIC1-B</x:v>
      </x:c>
      <x:c r="R6" s="23" t="str">
        <x:v>100_PERCENT_PIN_TO_PIN_NO_CROSS_SHORTS</x:v>
      </x:c>
      <x:c r="S6" s="23" t="str">
        <x:v>EVT_BUILD_RELEASED_FIRST_ARTICLE_REQUIRED</x:v>
      </x:c>
      <x:c r="T6" s="23" t="str">
        <x:v>EVT installed-route PDM AAD strain-relief validation</x:v>
      </x:c>
    </x:row>
    <x:row r="7" ht="15" hidden="0" customHeight="1">
      <x:c r="A7" s="23" t="str">
        <x:v>H-MIC1</x:v>
      </x:c>
      <x:c r="B7" s="23" t="str">
        <x:v>MIC1-06</x:v>
      </x:c>
      <x:c r="C7" s="23" t="str">
        <x:v>PCB-MAIN</x:v>
      </x:c>
      <x:c r="D7" s="23" t="str">
        <x:v>J_MIC1_MATING_5040510601</x:v>
      </x:c>
      <x:c r="E7" s="23" t="str">
        <x:v>6</x:v>
      </x:c>
      <x:c r="F7" s="23" t="str">
        <x:v>PCB-MIC1</x:v>
      </x:c>
      <x:c r="G7" s="23" t="str">
        <x:v>J1_MATING_5040510601</x:v>
      </x:c>
      <x:c r="H7" s="23" t="str">
        <x:v>6</x:v>
      </x:c>
      <x:c r="I7" s="23" t="str">
        <x:v>AAD_CFG</x:v>
      </x:c>
      <x:c r="J7" s="23" t="str">
        <x:v>AWG24_TE_55A0111-24_OD0P94MM</x:v>
      </x:c>
      <x:c r="K7" s="23" t="str">
        <x:v>GREY</x:v>
      </x:c>
      <x:c r="L7" s="23" t="str">
        <x:v>KEEP_ADJACENT_TO_GND_AVOID_CLK_CROSSTALK</x:v>
      </x:c>
      <x:c r="M7" s="23" t="str">
        <x:v>5040520098</x:v>
      </x:c>
      <x:c r="N7" s="23" t="str">
        <x:v>5040520098</x:v>
      </x:c>
      <x:c r="O7" s="23" t="str">
        <x:v>275</x:v>
      </x:c>
      <x:c r="P7" s="23" t="str">
        <x:v>5</x:v>
      </x:c>
      <x:c r="Q7" s="23" t="str">
        <x:v>MIC1-A__MIC1-B</x:v>
      </x:c>
      <x:c r="R7" s="23" t="str">
        <x:v>100_PERCENT_PIN_TO_PIN_NO_CROSS_SHORTS</x:v>
      </x:c>
      <x:c r="S7" s="23" t="str">
        <x:v>EVT_BUILD_RELEASED_FIRST_ARTICLE_REQUIRED</x:v>
      </x:c>
      <x:c r="T7" s="23" t="str">
        <x:v>EVT installed-route PDM AAD strain-relief validation</x:v>
      </x:c>
    </x:row>
    <x:row r="8" ht="15" hidden="0" customHeight="1">
      <x:c r="A8" s="23" t="str">
        <x:v>H-MIC2</x:v>
      </x:c>
      <x:c r="B8" s="23" t="str">
        <x:v>MIC2-01</x:v>
      </x:c>
      <x:c r="C8" s="23" t="str">
        <x:v>PCB-MAIN</x:v>
      </x:c>
      <x:c r="D8" s="23" t="str">
        <x:v>J_MIC2_MATING_5040510601</x:v>
      </x:c>
      <x:c r="E8" s="23" t="str">
        <x:v>1</x:v>
      </x:c>
      <x:c r="F8" s="23" t="str">
        <x:v>PCB-MIC2</x:v>
      </x:c>
      <x:c r="G8" s="23" t="str">
        <x:v>J1_MATING_5040510601</x:v>
      </x:c>
      <x:c r="H8" s="23" t="str">
        <x:v>1</x:v>
      </x:c>
      <x:c r="I8" s="23" t="str">
        <x:v>1V8_MIC</x:v>
      </x:c>
      <x:c r="J8" s="23" t="str">
        <x:v>AWG24_TE_55A0111-24_OD0P94MM</x:v>
      </x:c>
      <x:c r="K8" s="23" t="str">
        <x:v>RED</x:v>
      </x:c>
      <x:c r="L8" s="23" t="str">
        <x:v>BUNDLE_WITH_GND</x:v>
      </x:c>
      <x:c r="M8" s="23" t="str">
        <x:v>5040520098</x:v>
      </x:c>
      <x:c r="N8" s="23" t="str">
        <x:v>5040520098</x:v>
      </x:c>
      <x:c r="O8" s="23" t="str">
        <x:v>275</x:v>
      </x:c>
      <x:c r="P8" s="23" t="str">
        <x:v>5</x:v>
      </x:c>
      <x:c r="Q8" s="23" t="str">
        <x:v>MIC2-A__MIC2-B</x:v>
      </x:c>
      <x:c r="R8" s="23" t="str">
        <x:v>100_PERCENT_PIN_TO_PIN_NO_CROSS_SHORTS</x:v>
      </x:c>
      <x:c r="S8" s="23" t="str">
        <x:v>EVT_BUILD_RELEASED_FIRST_ARTICLE_REQUIRED</x:v>
      </x:c>
      <x:c r="T8" s="23" t="str">
        <x:v>EVT installed-route PDM AAD strain-relief validation</x:v>
      </x:c>
    </x:row>
    <x:row r="9" ht="15" hidden="0" customHeight="1">
      <x:c r="A9" s="23" t="str">
        <x:v>H-MIC2</x:v>
      </x:c>
      <x:c r="B9" s="23" t="str">
        <x:v>MIC2-02</x:v>
      </x:c>
      <x:c r="C9" s="23" t="str">
        <x:v>PCB-MAIN</x:v>
      </x:c>
      <x:c r="D9" s="23" t="str">
        <x:v>J_MIC2_MATING_5040510601</x:v>
      </x:c>
      <x:c r="E9" s="23" t="str">
        <x:v>2</x:v>
      </x:c>
      <x:c r="F9" s="23" t="str">
        <x:v>PCB-MIC2</x:v>
      </x:c>
      <x:c r="G9" s="23" t="str">
        <x:v>J1_MATING_5040510601</x:v>
      </x:c>
      <x:c r="H9" s="23" t="str">
        <x:v>2</x:v>
      </x:c>
      <x:c r="I9" s="23" t="str">
        <x:v>GND</x:v>
      </x:c>
      <x:c r="J9" s="23" t="str">
        <x:v>AWG24_TE_55A0111-24_OD0P94MM</x:v>
      </x:c>
      <x:c r="K9" s="23" t="str">
        <x:v>BLACK</x:v>
      </x:c>
      <x:c r="L9" s="23" t="str">
        <x:v>COMMON_RETURN_ADJACENT_TO_SIGNAL_GROUP</x:v>
      </x:c>
      <x:c r="M9" s="23" t="str">
        <x:v>5040520098</x:v>
      </x:c>
      <x:c r="N9" s="23" t="str">
        <x:v>5040520098</x:v>
      </x:c>
      <x:c r="O9" s="23" t="str">
        <x:v>275</x:v>
      </x:c>
      <x:c r="P9" s="23" t="str">
        <x:v>5</x:v>
      </x:c>
      <x:c r="Q9" s="23" t="str">
        <x:v>MIC2-A__MIC2-B</x:v>
      </x:c>
      <x:c r="R9" s="23" t="str">
        <x:v>100_PERCENT_PIN_TO_PIN_NO_CROSS_SHORTS</x:v>
      </x:c>
      <x:c r="S9" s="23" t="str">
        <x:v>EVT_BUILD_RELEASED_FIRST_ARTICLE_REQUIRED</x:v>
      </x:c>
      <x:c r="T9" s="23" t="str">
        <x:v>EVT installed-route PDM AAD strain-relief validation</x:v>
      </x:c>
    </x:row>
    <x:row r="10" ht="15" hidden="0" customHeight="1">
      <x:c r="A10" s="23" t="str">
        <x:v>H-MIC2</x:v>
      </x:c>
      <x:c r="B10" s="23" t="str">
        <x:v>MIC2-03</x:v>
      </x:c>
      <x:c r="C10" s="23" t="str">
        <x:v>PCB-MAIN</x:v>
      </x:c>
      <x:c r="D10" s="23" t="str">
        <x:v>J_MIC2_MATING_5040510601</x:v>
      </x:c>
      <x:c r="E10" s="23" t="str">
        <x:v>3</x:v>
      </x:c>
      <x:c r="F10" s="23" t="str">
        <x:v>PCB-MIC2</x:v>
      </x:c>
      <x:c r="G10" s="23" t="str">
        <x:v>J1_MATING_5040510601</x:v>
      </x:c>
      <x:c r="H10" s="23" t="str">
        <x:v>3</x:v>
      </x:c>
      <x:c r="I10" s="23" t="str">
        <x:v>PDM_CLK</x:v>
      </x:c>
      <x:c r="J10" s="23" t="str">
        <x:v>AWG24_TE_55A0111-24_OD0P94MM</x:v>
      </x:c>
      <x:c r="K10" s="23" t="str">
        <x:v>WHITE</x:v>
      </x:c>
      <x:c r="L10" s="23" t="str">
        <x:v>KEEP_ADJACENT_TO_GND_AVOID_DATA_PARALLEL_RUN</x:v>
      </x:c>
      <x:c r="M10" s="23" t="str">
        <x:v>5040520098</x:v>
      </x:c>
      <x:c r="N10" s="23" t="str">
        <x:v>5040520098</x:v>
      </x:c>
      <x:c r="O10" s="23" t="str">
        <x:v>275</x:v>
      </x:c>
      <x:c r="P10" s="23" t="str">
        <x:v>5</x:v>
      </x:c>
      <x:c r="Q10" s="23" t="str">
        <x:v>MIC2-A__MIC2-B</x:v>
      </x:c>
      <x:c r="R10" s="23" t="str">
        <x:v>100_PERCENT_PIN_TO_PIN_NO_CROSS_SHORTS</x:v>
      </x:c>
      <x:c r="S10" s="23" t="str">
        <x:v>EVT_BUILD_RELEASED_FIRST_ARTICLE_REQUIRED</x:v>
      </x:c>
      <x:c r="T10" s="23" t="str">
        <x:v>EVT installed-route PDM AAD strain-relief validation</x:v>
      </x:c>
    </x:row>
    <x:row r="11" ht="15" hidden="0" customHeight="1">
      <x:c r="A11" s="23" t="str">
        <x:v>H-MIC2</x:v>
      </x:c>
      <x:c r="B11" s="23" t="str">
        <x:v>MIC2-04</x:v>
      </x:c>
      <x:c r="C11" s="23" t="str">
        <x:v>PCB-MAIN</x:v>
      </x:c>
      <x:c r="D11" s="23" t="str">
        <x:v>J_MIC2_MATING_5040510601</x:v>
      </x:c>
      <x:c r="E11" s="23" t="str">
        <x:v>4</x:v>
      </x:c>
      <x:c r="F11" s="23" t="str">
        <x:v>PCB-MIC2</x:v>
      </x:c>
      <x:c r="G11" s="23" t="str">
        <x:v>J1_MATING_5040510601</x:v>
      </x:c>
      <x:c r="H11" s="23" t="str">
        <x:v>4</x:v>
      </x:c>
      <x:c r="I11" s="23" t="str">
        <x:v>PDM_DATA2</x:v>
      </x:c>
      <x:c r="J11" s="23" t="str">
        <x:v>AWG24_TE_55A0111-24_OD0P94MM</x:v>
      </x:c>
      <x:c r="K11" s="23" t="str">
        <x:v>YELLOW</x:v>
      </x:c>
      <x:c r="L11" s="23" t="str">
        <x:v>KEEP_ADJACENT_TO_GND_AVOID_CLK_PARALLEL_RUN</x:v>
      </x:c>
      <x:c r="M11" s="23" t="str">
        <x:v>5040520098</x:v>
      </x:c>
      <x:c r="N11" s="23" t="str">
        <x:v>5040520098</x:v>
      </x:c>
      <x:c r="O11" s="23" t="str">
        <x:v>275</x:v>
      </x:c>
      <x:c r="P11" s="23" t="str">
        <x:v>5</x:v>
      </x:c>
      <x:c r="Q11" s="23" t="str">
        <x:v>MIC2-A__MIC2-B</x:v>
      </x:c>
      <x:c r="R11" s="23" t="str">
        <x:v>100_PERCENT_PIN_TO_PIN_NO_CROSS_SHORTS</x:v>
      </x:c>
      <x:c r="S11" s="23" t="str">
        <x:v>EVT_BUILD_RELEASED_FIRST_ARTICLE_REQUIRED</x:v>
      </x:c>
      <x:c r="T11" s="23" t="str">
        <x:v>EVT installed-route PDM AAD strain-relief validation</x:v>
      </x:c>
    </x:row>
    <x:row r="12" ht="15" hidden="0" customHeight="1">
      <x:c r="A12" s="23" t="str">
        <x:v>H-MIC2</x:v>
      </x:c>
      <x:c r="B12" s="23" t="str">
        <x:v>MIC2-05</x:v>
      </x:c>
      <x:c r="C12" s="23" t="str">
        <x:v>PCB-MAIN</x:v>
      </x:c>
      <x:c r="D12" s="23" t="str">
        <x:v>J_MIC2_MATING_5040510601</x:v>
      </x:c>
      <x:c r="E12" s="23" t="str">
        <x:v>5</x:v>
      </x:c>
      <x:c r="F12" s="23" t="str">
        <x:v>PCB-MIC2</x:v>
      </x:c>
      <x:c r="G12" s="23" t="str">
        <x:v>J1_MATING_5040510601</x:v>
      </x:c>
      <x:c r="H12" s="23" t="str">
        <x:v>5</x:v>
      </x:c>
      <x:c r="I12" s="23" t="str">
        <x:v>MIC_WAKE2</x:v>
      </x:c>
      <x:c r="J12" s="23" t="str">
        <x:v>AWG24_TE_55A0111-24_OD0P94MM</x:v>
      </x:c>
      <x:c r="K12" s="23" t="str">
        <x:v>VIOLET</x:v>
      </x:c>
      <x:c r="L12" s="23" t="str">
        <x:v>KEEP_ADJACENT_TO_GND_AVOID_CLK_CROSSTALK</x:v>
      </x:c>
      <x:c r="M12" s="23" t="str">
        <x:v>5040520098</x:v>
      </x:c>
      <x:c r="N12" s="23" t="str">
        <x:v>5040520098</x:v>
      </x:c>
      <x:c r="O12" s="23" t="str">
        <x:v>275</x:v>
      </x:c>
      <x:c r="P12" s="23" t="str">
        <x:v>5</x:v>
      </x:c>
      <x:c r="Q12" s="23" t="str">
        <x:v>MIC2-A__MIC2-B</x:v>
      </x:c>
      <x:c r="R12" s="23" t="str">
        <x:v>100_PERCENT_PIN_TO_PIN_NO_CROSS_SHORTS</x:v>
      </x:c>
      <x:c r="S12" s="23" t="str">
        <x:v>EVT_BUILD_RELEASED_FIRST_ARTICLE_REQUIRED</x:v>
      </x:c>
      <x:c r="T12" s="23" t="str">
        <x:v>EVT installed-route PDM AAD strain-relief validation</x:v>
      </x:c>
    </x:row>
    <x:row r="13" ht="15" hidden="0" customHeight="1">
      <x:c r="A13" s="23" t="str">
        <x:v>H-MIC2</x:v>
      </x:c>
      <x:c r="B13" s="23" t="str">
        <x:v>MIC2-06</x:v>
      </x:c>
      <x:c r="C13" s="23" t="str">
        <x:v>PCB-MAIN</x:v>
      </x:c>
      <x:c r="D13" s="23" t="str">
        <x:v>J_MIC2_MATING_5040510601</x:v>
      </x:c>
      <x:c r="E13" s="23" t="str">
        <x:v>6</x:v>
      </x:c>
      <x:c r="F13" s="23" t="str">
        <x:v>PCB-MIC2</x:v>
      </x:c>
      <x:c r="G13" s="23" t="str">
        <x:v>J1_MATING_5040510601</x:v>
      </x:c>
      <x:c r="H13" s="23" t="str">
        <x:v>6</x:v>
      </x:c>
      <x:c r="I13" s="23" t="str">
        <x:v>AAD_CFG</x:v>
      </x:c>
      <x:c r="J13" s="23" t="str">
        <x:v>AWG24_TE_55A0111-24_OD0P94MM</x:v>
      </x:c>
      <x:c r="K13" s="23" t="str">
        <x:v>GREY</x:v>
      </x:c>
      <x:c r="L13" s="23" t="str">
        <x:v>KEEP_ADJACENT_TO_GND_AVOID_CLK_CROSSTALK</x:v>
      </x:c>
      <x:c r="M13" s="23" t="str">
        <x:v>5040520098</x:v>
      </x:c>
      <x:c r="N13" s="23" t="str">
        <x:v>5040520098</x:v>
      </x:c>
      <x:c r="O13" s="23" t="str">
        <x:v>275</x:v>
      </x:c>
      <x:c r="P13" s="23" t="str">
        <x:v>5</x:v>
      </x:c>
      <x:c r="Q13" s="23" t="str">
        <x:v>MIC2-A__MIC2-B</x:v>
      </x:c>
      <x:c r="R13" s="23" t="str">
        <x:v>100_PERCENT_PIN_TO_PIN_NO_CROSS_SHORTS</x:v>
      </x:c>
      <x:c r="S13" s="23" t="str">
        <x:v>EVT_BUILD_RELEASED_FIRST_ARTICLE_REQUIRED</x:v>
      </x:c>
      <x:c r="T13" s="23" t="str">
        <x:v>EVT installed-route PDM AAD strain-relief validation</x:v>
      </x:c>
    </x:row>
    <x:row r="14" ht="15" hidden="0" customHeight="1">
      <x:c r="A14" s="23" t="str">
        <x:v>H-MIC3</x:v>
      </x:c>
      <x:c r="B14" s="23" t="str">
        <x:v>MIC3-01</x:v>
      </x:c>
      <x:c r="C14" s="23" t="str">
        <x:v>PCB-MAIN</x:v>
      </x:c>
      <x:c r="D14" s="23" t="str">
        <x:v>J_MIC3_MATING_5040510601</x:v>
      </x:c>
      <x:c r="E14" s="23" t="str">
        <x:v>1</x:v>
      </x:c>
      <x:c r="F14" s="23" t="str">
        <x:v>PCB-MIC3</x:v>
      </x:c>
      <x:c r="G14" s="23" t="str">
        <x:v>J1_MATING_5040510601</x:v>
      </x:c>
      <x:c r="H14" s="23" t="str">
        <x:v>1</x:v>
      </x:c>
      <x:c r="I14" s="23" t="str">
        <x:v>1V8_MIC</x:v>
      </x:c>
      <x:c r="J14" s="23" t="str">
        <x:v>AWG24_TE_55A0111-24_OD0P94MM</x:v>
      </x:c>
      <x:c r="K14" s="23" t="str">
        <x:v>RED</x:v>
      </x:c>
      <x:c r="L14" s="23" t="str">
        <x:v>BUNDLE_WITH_GND</x:v>
      </x:c>
      <x:c r="M14" s="23" t="str">
        <x:v>5040520098</x:v>
      </x:c>
      <x:c r="N14" s="23" t="str">
        <x:v>5040520098</x:v>
      </x:c>
      <x:c r="O14" s="23" t="str">
        <x:v>275</x:v>
      </x:c>
      <x:c r="P14" s="23" t="str">
        <x:v>5</x:v>
      </x:c>
      <x:c r="Q14" s="23" t="str">
        <x:v>MIC3-A__MIC3-B</x:v>
      </x:c>
      <x:c r="R14" s="23" t="str">
        <x:v>100_PERCENT_PIN_TO_PIN_NO_CROSS_SHORTS</x:v>
      </x:c>
      <x:c r="S14" s="23" t="str">
        <x:v>EVT_BUILD_RELEASED_FIRST_ARTICLE_REQUIRED</x:v>
      </x:c>
      <x:c r="T14" s="23" t="str">
        <x:v>EVT installed-route PDM AAD strain-relief validation</x:v>
      </x:c>
    </x:row>
    <x:row r="15" ht="15" hidden="0" customHeight="1">
      <x:c r="A15" s="23" t="str">
        <x:v>H-MIC3</x:v>
      </x:c>
      <x:c r="B15" s="23" t="str">
        <x:v>MIC3-02</x:v>
      </x:c>
      <x:c r="C15" s="23" t="str">
        <x:v>PCB-MAIN</x:v>
      </x:c>
      <x:c r="D15" s="23" t="str">
        <x:v>J_MIC3_MATING_5040510601</x:v>
      </x:c>
      <x:c r="E15" s="23" t="str">
        <x:v>2</x:v>
      </x:c>
      <x:c r="F15" s="23" t="str">
        <x:v>PCB-MIC3</x:v>
      </x:c>
      <x:c r="G15" s="23" t="str">
        <x:v>J1_MATING_5040510601</x:v>
      </x:c>
      <x:c r="H15" s="23" t="str">
        <x:v>2</x:v>
      </x:c>
      <x:c r="I15" s="23" t="str">
        <x:v>GND</x:v>
      </x:c>
      <x:c r="J15" s="23" t="str">
        <x:v>AWG24_TE_55A0111-24_OD0P94MM</x:v>
      </x:c>
      <x:c r="K15" s="23" t="str">
        <x:v>BLACK</x:v>
      </x:c>
      <x:c r="L15" s="23" t="str">
        <x:v>COMMON_RETURN_ADJACENT_TO_SIGNAL_GROUP</x:v>
      </x:c>
      <x:c r="M15" s="23" t="str">
        <x:v>5040520098</x:v>
      </x:c>
      <x:c r="N15" s="23" t="str">
        <x:v>5040520098</x:v>
      </x:c>
      <x:c r="O15" s="23" t="str">
        <x:v>275</x:v>
      </x:c>
      <x:c r="P15" s="23" t="str">
        <x:v>5</x:v>
      </x:c>
      <x:c r="Q15" s="23" t="str">
        <x:v>MIC3-A__MIC3-B</x:v>
      </x:c>
      <x:c r="R15" s="23" t="str">
        <x:v>100_PERCENT_PIN_TO_PIN_NO_CROSS_SHORTS</x:v>
      </x:c>
      <x:c r="S15" s="23" t="str">
        <x:v>EVT_BUILD_RELEASED_FIRST_ARTICLE_REQUIRED</x:v>
      </x:c>
      <x:c r="T15" s="23" t="str">
        <x:v>EVT installed-route PDM AAD strain-relief validation</x:v>
      </x:c>
    </x:row>
    <x:row r="16" ht="15" hidden="0" customHeight="1">
      <x:c r="A16" s="23" t="str">
        <x:v>H-MIC3</x:v>
      </x:c>
      <x:c r="B16" s="23" t="str">
        <x:v>MIC3-03</x:v>
      </x:c>
      <x:c r="C16" s="23" t="str">
        <x:v>PCB-MAIN</x:v>
      </x:c>
      <x:c r="D16" s="23" t="str">
        <x:v>J_MIC3_MATING_5040510601</x:v>
      </x:c>
      <x:c r="E16" s="23" t="str">
        <x:v>3</x:v>
      </x:c>
      <x:c r="F16" s="23" t="str">
        <x:v>PCB-MIC3</x:v>
      </x:c>
      <x:c r="G16" s="23" t="str">
        <x:v>J1_MATING_5040510601</x:v>
      </x:c>
      <x:c r="H16" s="23" t="str">
        <x:v>3</x:v>
      </x:c>
      <x:c r="I16" s="23" t="str">
        <x:v>PDM_CLK</x:v>
      </x:c>
      <x:c r="J16" s="23" t="str">
        <x:v>AWG24_TE_55A0111-24_OD0P94MM</x:v>
      </x:c>
      <x:c r="K16" s="23" t="str">
        <x:v>WHITE</x:v>
      </x:c>
      <x:c r="L16" s="23" t="str">
        <x:v>KEEP_ADJACENT_TO_GND_AVOID_DATA_PARALLEL_RUN</x:v>
      </x:c>
      <x:c r="M16" s="23" t="str">
        <x:v>5040520098</x:v>
      </x:c>
      <x:c r="N16" s="23" t="str">
        <x:v>5040520098</x:v>
      </x:c>
      <x:c r="O16" s="23" t="str">
        <x:v>275</x:v>
      </x:c>
      <x:c r="P16" s="23" t="str">
        <x:v>5</x:v>
      </x:c>
      <x:c r="Q16" s="23" t="str">
        <x:v>MIC3-A__MIC3-B</x:v>
      </x:c>
      <x:c r="R16" s="23" t="str">
        <x:v>100_PERCENT_PIN_TO_PIN_NO_CROSS_SHORTS</x:v>
      </x:c>
      <x:c r="S16" s="23" t="str">
        <x:v>EVT_BUILD_RELEASED_FIRST_ARTICLE_REQUIRED</x:v>
      </x:c>
      <x:c r="T16" s="23" t="str">
        <x:v>EVT installed-route PDM AAD strain-relief validation</x:v>
      </x:c>
    </x:row>
    <x:row r="17" ht="15" hidden="0" customHeight="1">
      <x:c r="A17" s="23" t="str">
        <x:v>H-MIC3</x:v>
      </x:c>
      <x:c r="B17" s="23" t="str">
        <x:v>MIC3-04</x:v>
      </x:c>
      <x:c r="C17" s="23" t="str">
        <x:v>PCB-MAIN</x:v>
      </x:c>
      <x:c r="D17" s="23" t="str">
        <x:v>J_MIC3_MATING_5040510601</x:v>
      </x:c>
      <x:c r="E17" s="23" t="str">
        <x:v>4</x:v>
      </x:c>
      <x:c r="F17" s="23" t="str">
        <x:v>PCB-MIC3</x:v>
      </x:c>
      <x:c r="G17" s="23" t="str">
        <x:v>J1_MATING_5040510601</x:v>
      </x:c>
      <x:c r="H17" s="23" t="str">
        <x:v>4</x:v>
      </x:c>
      <x:c r="I17" s="23" t="str">
        <x:v>PDM_DATA3</x:v>
      </x:c>
      <x:c r="J17" s="23" t="str">
        <x:v>AWG24_TE_55A0111-24_OD0P94MM</x:v>
      </x:c>
      <x:c r="K17" s="23" t="str">
        <x:v>GREEN</x:v>
      </x:c>
      <x:c r="L17" s="23" t="str">
        <x:v>KEEP_ADJACENT_TO_GND_AVOID_CLK_PARALLEL_RUN</x:v>
      </x:c>
      <x:c r="M17" s="23" t="str">
        <x:v>5040520098</x:v>
      </x:c>
      <x:c r="N17" s="23" t="str">
        <x:v>5040520098</x:v>
      </x:c>
      <x:c r="O17" s="23" t="str">
        <x:v>275</x:v>
      </x:c>
      <x:c r="P17" s="23" t="str">
        <x:v>5</x:v>
      </x:c>
      <x:c r="Q17" s="23" t="str">
        <x:v>MIC3-A__MIC3-B</x:v>
      </x:c>
      <x:c r="R17" s="23" t="str">
        <x:v>100_PERCENT_PIN_TO_PIN_NO_CROSS_SHORTS</x:v>
      </x:c>
      <x:c r="S17" s="23" t="str">
        <x:v>EVT_BUILD_RELEASED_FIRST_ARTICLE_REQUIRED</x:v>
      </x:c>
      <x:c r="T17" s="23" t="str">
        <x:v>EVT installed-route PDM AAD strain-relief validation</x:v>
      </x:c>
    </x:row>
    <x:row r="18" ht="15" hidden="0" customHeight="1">
      <x:c r="A18" s="23" t="str">
        <x:v>H-MIC3</x:v>
      </x:c>
      <x:c r="B18" s="23" t="str">
        <x:v>MIC3-05</x:v>
      </x:c>
      <x:c r="C18" s="23" t="str">
        <x:v>PCB-MAIN</x:v>
      </x:c>
      <x:c r="D18" s="23" t="str">
        <x:v>J_MIC3_MATING_5040510601</x:v>
      </x:c>
      <x:c r="E18" s="23" t="str">
        <x:v>5</x:v>
      </x:c>
      <x:c r="F18" s="23" t="str">
        <x:v>PCB-MIC3</x:v>
      </x:c>
      <x:c r="G18" s="23" t="str">
        <x:v>J1_MATING_5040510601</x:v>
      </x:c>
      <x:c r="H18" s="23" t="str">
        <x:v>5</x:v>
      </x:c>
      <x:c r="I18" s="23" t="str">
        <x:v>MIC_WAKE3</x:v>
      </x:c>
      <x:c r="J18" s="23" t="str">
        <x:v>AWG24_TE_55A0111-24_OD0P94MM</x:v>
      </x:c>
      <x:c r="K18" s="23" t="str">
        <x:v>VIOLET</x:v>
      </x:c>
      <x:c r="L18" s="23" t="str">
        <x:v>KEEP_ADJACENT_TO_GND_AVOID_CLK_CROSSTALK</x:v>
      </x:c>
      <x:c r="M18" s="23" t="str">
        <x:v>5040520098</x:v>
      </x:c>
      <x:c r="N18" s="23" t="str">
        <x:v>5040520098</x:v>
      </x:c>
      <x:c r="O18" s="23" t="str">
        <x:v>275</x:v>
      </x:c>
      <x:c r="P18" s="23" t="str">
        <x:v>5</x:v>
      </x:c>
      <x:c r="Q18" s="23" t="str">
        <x:v>MIC3-A__MIC3-B</x:v>
      </x:c>
      <x:c r="R18" s="23" t="str">
        <x:v>100_PERCENT_PIN_TO_PIN_NO_CROSS_SHORTS</x:v>
      </x:c>
      <x:c r="S18" s="23" t="str">
        <x:v>EVT_BUILD_RELEASED_FIRST_ARTICLE_REQUIRED</x:v>
      </x:c>
      <x:c r="T18" s="23" t="str">
        <x:v>EVT installed-route PDM AAD strain-relief validation</x:v>
      </x:c>
    </x:row>
    <x:row r="19" ht="15" hidden="0" customHeight="1">
      <x:c r="A19" s="23" t="str">
        <x:v>H-MIC3</x:v>
      </x:c>
      <x:c r="B19" s="23" t="str">
        <x:v>MIC3-06</x:v>
      </x:c>
      <x:c r="C19" s="23" t="str">
        <x:v>PCB-MAIN</x:v>
      </x:c>
      <x:c r="D19" s="23" t="str">
        <x:v>J_MIC3_MATING_5040510601</x:v>
      </x:c>
      <x:c r="E19" s="23" t="str">
        <x:v>6</x:v>
      </x:c>
      <x:c r="F19" s="23" t="str">
        <x:v>PCB-MIC3</x:v>
      </x:c>
      <x:c r="G19" s="23" t="str">
        <x:v>J1_MATING_5040510601</x:v>
      </x:c>
      <x:c r="H19" s="23" t="str">
        <x:v>6</x:v>
      </x:c>
      <x:c r="I19" s="23" t="str">
        <x:v>AAD_CFG</x:v>
      </x:c>
      <x:c r="J19" s="23" t="str">
        <x:v>AWG24_TE_55A0111-24_OD0P94MM</x:v>
      </x:c>
      <x:c r="K19" s="23" t="str">
        <x:v>GREY</x:v>
      </x:c>
      <x:c r="L19" s="23" t="str">
        <x:v>KEEP_ADJACENT_TO_GND_AVOID_CLK_CROSSTALK</x:v>
      </x:c>
      <x:c r="M19" s="23" t="str">
        <x:v>5040520098</x:v>
      </x:c>
      <x:c r="N19" s="23" t="str">
        <x:v>5040520098</x:v>
      </x:c>
      <x:c r="O19" s="23" t="str">
        <x:v>275</x:v>
      </x:c>
      <x:c r="P19" s="23" t="str">
        <x:v>5</x:v>
      </x:c>
      <x:c r="Q19" s="23" t="str">
        <x:v>MIC3-A__MIC3-B</x:v>
      </x:c>
      <x:c r="R19" s="23" t="str">
        <x:v>100_PERCENT_PIN_TO_PIN_NO_CROSS_SHORTS</x:v>
      </x:c>
      <x:c r="S19" s="23" t="str">
        <x:v>EVT_BUILD_RELEASED_FIRST_ARTICLE_REQUIRED</x:v>
      </x:c>
      <x:c r="T19" s="23" t="str">
        <x:v>EVT installed-route PDM AAD strain-relief validation</x:v>
      </x:c>
    </x:row>
    <x:row r="20" ht="15" hidden="0" customHeight="1">
      <x:c r="A20" s="23" t="str">
        <x:v>H-MIC4</x:v>
      </x:c>
      <x:c r="B20" s="23" t="str">
        <x:v>MIC4-01</x:v>
      </x:c>
      <x:c r="C20" s="23" t="str">
        <x:v>PCB-MAIN</x:v>
      </x:c>
      <x:c r="D20" s="23" t="str">
        <x:v>J_MIC4_MATING_5040510601</x:v>
      </x:c>
      <x:c r="E20" s="23" t="str">
        <x:v>1</x:v>
      </x:c>
      <x:c r="F20" s="23" t="str">
        <x:v>PCB-MIC4</x:v>
      </x:c>
      <x:c r="G20" s="23" t="str">
        <x:v>J1_MATING_5040510601</x:v>
      </x:c>
      <x:c r="H20" s="23" t="str">
        <x:v>1</x:v>
      </x:c>
      <x:c r="I20" s="23" t="str">
        <x:v>1V8_MIC</x:v>
      </x:c>
      <x:c r="J20" s="23" t="str">
        <x:v>AWG24_TE_55A0111-24_OD0P94MM</x:v>
      </x:c>
      <x:c r="K20" s="23" t="str">
        <x:v>RED</x:v>
      </x:c>
      <x:c r="L20" s="23" t="str">
        <x:v>BUNDLE_WITH_GND</x:v>
      </x:c>
      <x:c r="M20" s="23" t="str">
        <x:v>5040520098</x:v>
      </x:c>
      <x:c r="N20" s="23" t="str">
        <x:v>5040520098</x:v>
      </x:c>
      <x:c r="O20" s="23" t="str">
        <x:v>275</x:v>
      </x:c>
      <x:c r="P20" s="23" t="str">
        <x:v>5</x:v>
      </x:c>
      <x:c r="Q20" s="23" t="str">
        <x:v>MIC4-A__MIC4-B</x:v>
      </x:c>
      <x:c r="R20" s="23" t="str">
        <x:v>100_PERCENT_PIN_TO_PIN_NO_CROSS_SHORTS</x:v>
      </x:c>
      <x:c r="S20" s="23" t="str">
        <x:v>EVT_BUILD_RELEASED_FIRST_ARTICLE_REQUIRED</x:v>
      </x:c>
      <x:c r="T20" s="23" t="str">
        <x:v>EVT installed-route PDM AAD strain-relief validation</x:v>
      </x:c>
    </x:row>
    <x:row r="21" ht="15" hidden="0" customHeight="1">
      <x:c r="A21" s="23" t="str">
        <x:v>H-MIC4</x:v>
      </x:c>
      <x:c r="B21" s="23" t="str">
        <x:v>MIC4-02</x:v>
      </x:c>
      <x:c r="C21" s="23" t="str">
        <x:v>PCB-MAIN</x:v>
      </x:c>
      <x:c r="D21" s="23" t="str">
        <x:v>J_MIC4_MATING_5040510601</x:v>
      </x:c>
      <x:c r="E21" s="23" t="str">
        <x:v>2</x:v>
      </x:c>
      <x:c r="F21" s="23" t="str">
        <x:v>PCB-MIC4</x:v>
      </x:c>
      <x:c r="G21" s="23" t="str">
        <x:v>J1_MATING_5040510601</x:v>
      </x:c>
      <x:c r="H21" s="23" t="str">
        <x:v>2</x:v>
      </x:c>
      <x:c r="I21" s="23" t="str">
        <x:v>GND</x:v>
      </x:c>
      <x:c r="J21" s="23" t="str">
        <x:v>AWG24_TE_55A0111-24_OD0P94MM</x:v>
      </x:c>
      <x:c r="K21" s="23" t="str">
        <x:v>BLACK</x:v>
      </x:c>
      <x:c r="L21" s="23" t="str">
        <x:v>COMMON_RETURN_ADJACENT_TO_SIGNAL_GROUP</x:v>
      </x:c>
      <x:c r="M21" s="23" t="str">
        <x:v>5040520098</x:v>
      </x:c>
      <x:c r="N21" s="23" t="str">
        <x:v>5040520098</x:v>
      </x:c>
      <x:c r="O21" s="23" t="str">
        <x:v>275</x:v>
      </x:c>
      <x:c r="P21" s="23" t="str">
        <x:v>5</x:v>
      </x:c>
      <x:c r="Q21" s="23" t="str">
        <x:v>MIC4-A__MIC4-B</x:v>
      </x:c>
      <x:c r="R21" s="23" t="str">
        <x:v>100_PERCENT_PIN_TO_PIN_NO_CROSS_SHORTS</x:v>
      </x:c>
      <x:c r="S21" s="23" t="str">
        <x:v>EVT_BUILD_RELEASED_FIRST_ARTICLE_REQUIRED</x:v>
      </x:c>
      <x:c r="T21" s="23" t="str">
        <x:v>EVT installed-route PDM AAD strain-relief validation</x:v>
      </x:c>
    </x:row>
    <x:row r="22" ht="15" hidden="0" customHeight="1">
      <x:c r="A22" s="23" t="str">
        <x:v>H-MIC4</x:v>
      </x:c>
      <x:c r="B22" s="23" t="str">
        <x:v>MIC4-03</x:v>
      </x:c>
      <x:c r="C22" s="23" t="str">
        <x:v>PCB-MAIN</x:v>
      </x:c>
      <x:c r="D22" s="23" t="str">
        <x:v>J_MIC4_MATING_5040510601</x:v>
      </x:c>
      <x:c r="E22" s="23" t="str">
        <x:v>3</x:v>
      </x:c>
      <x:c r="F22" s="23" t="str">
        <x:v>PCB-MIC4</x:v>
      </x:c>
      <x:c r="G22" s="23" t="str">
        <x:v>J1_MATING_5040510601</x:v>
      </x:c>
      <x:c r="H22" s="23" t="str">
        <x:v>3</x:v>
      </x:c>
      <x:c r="I22" s="23" t="str">
        <x:v>PDM_CLK</x:v>
      </x:c>
      <x:c r="J22" s="23" t="str">
        <x:v>AWG24_TE_55A0111-24_OD0P94MM</x:v>
      </x:c>
      <x:c r="K22" s="23" t="str">
        <x:v>WHITE</x:v>
      </x:c>
      <x:c r="L22" s="23" t="str">
        <x:v>KEEP_ADJACENT_TO_GND_AVOID_DATA_PARALLEL_RUN</x:v>
      </x:c>
      <x:c r="M22" s="23" t="str">
        <x:v>5040520098</x:v>
      </x:c>
      <x:c r="N22" s="23" t="str">
        <x:v>5040520098</x:v>
      </x:c>
      <x:c r="O22" s="23" t="str">
        <x:v>275</x:v>
      </x:c>
      <x:c r="P22" s="23" t="str">
        <x:v>5</x:v>
      </x:c>
      <x:c r="Q22" s="23" t="str">
        <x:v>MIC4-A__MIC4-B</x:v>
      </x:c>
      <x:c r="R22" s="23" t="str">
        <x:v>100_PERCENT_PIN_TO_PIN_NO_CROSS_SHORTS</x:v>
      </x:c>
      <x:c r="S22" s="23" t="str">
        <x:v>EVT_BUILD_RELEASED_FIRST_ARTICLE_REQUIRED</x:v>
      </x:c>
      <x:c r="T22" s="23" t="str">
        <x:v>EVT installed-route PDM AAD strain-relief validation</x:v>
      </x:c>
    </x:row>
    <x:row r="23" ht="15" hidden="0" customHeight="1">
      <x:c r="A23" s="23" t="str">
        <x:v>H-MIC4</x:v>
      </x:c>
      <x:c r="B23" s="23" t="str">
        <x:v>MIC4-04</x:v>
      </x:c>
      <x:c r="C23" s="23" t="str">
        <x:v>PCB-MAIN</x:v>
      </x:c>
      <x:c r="D23" s="23" t="str">
        <x:v>J_MIC4_MATING_5040510601</x:v>
      </x:c>
      <x:c r="E23" s="23" t="str">
        <x:v>4</x:v>
      </x:c>
      <x:c r="F23" s="23" t="str">
        <x:v>PCB-MIC4</x:v>
      </x:c>
      <x:c r="G23" s="23" t="str">
        <x:v>J1_MATING_5040510601</x:v>
      </x:c>
      <x:c r="H23" s="23" t="str">
        <x:v>4</x:v>
      </x:c>
      <x:c r="I23" s="23" t="str">
        <x:v>PDM_DATA4</x:v>
      </x:c>
      <x:c r="J23" s="23" t="str">
        <x:v>AWG24_TE_55A0111-24_OD0P94MM</x:v>
      </x:c>
      <x:c r="K23" s="23" t="str">
        <x:v>ORANGE</x:v>
      </x:c>
      <x:c r="L23" s="23" t="str">
        <x:v>KEEP_ADJACENT_TO_GND_AVOID_CLK_PARALLEL_RUN</x:v>
      </x:c>
      <x:c r="M23" s="23" t="str">
        <x:v>5040520098</x:v>
      </x:c>
      <x:c r="N23" s="23" t="str">
        <x:v>5040520098</x:v>
      </x:c>
      <x:c r="O23" s="23" t="str">
        <x:v>275</x:v>
      </x:c>
      <x:c r="P23" s="23" t="str">
        <x:v>5</x:v>
      </x:c>
      <x:c r="Q23" s="23" t="str">
        <x:v>MIC4-A__MIC4-B</x:v>
      </x:c>
      <x:c r="R23" s="23" t="str">
        <x:v>100_PERCENT_PIN_TO_PIN_NO_CROSS_SHORTS</x:v>
      </x:c>
      <x:c r="S23" s="23" t="str">
        <x:v>EVT_BUILD_RELEASED_FIRST_ARTICLE_REQUIRED</x:v>
      </x:c>
      <x:c r="T23" s="23" t="str">
        <x:v>EVT installed-route PDM AAD strain-relief validation</x:v>
      </x:c>
    </x:row>
    <x:row r="24" ht="15" hidden="0" customHeight="1">
      <x:c r="A24" s="23" t="str">
        <x:v>H-MIC4</x:v>
      </x:c>
      <x:c r="B24" s="23" t="str">
        <x:v>MIC4-05</x:v>
      </x:c>
      <x:c r="C24" s="23" t="str">
        <x:v>PCB-MAIN</x:v>
      </x:c>
      <x:c r="D24" s="23" t="str">
        <x:v>J_MIC4_MATING_5040510601</x:v>
      </x:c>
      <x:c r="E24" s="23" t="str">
        <x:v>5</x:v>
      </x:c>
      <x:c r="F24" s="23" t="str">
        <x:v>PCB-MIC4</x:v>
      </x:c>
      <x:c r="G24" s="23" t="str">
        <x:v>J1_MATING_5040510601</x:v>
      </x:c>
      <x:c r="H24" s="23" t="str">
        <x:v>5</x:v>
      </x:c>
      <x:c r="I24" s="23" t="str">
        <x:v>MIC_WAKE4</x:v>
      </x:c>
      <x:c r="J24" s="23" t="str">
        <x:v>AWG24_TE_55A0111-24_OD0P94MM</x:v>
      </x:c>
      <x:c r="K24" s="23" t="str">
        <x:v>VIOLET</x:v>
      </x:c>
      <x:c r="L24" s="23" t="str">
        <x:v>KEEP_ADJACENT_TO_GND_AVOID_CLK_CROSSTALK</x:v>
      </x:c>
      <x:c r="M24" s="23" t="str">
        <x:v>5040520098</x:v>
      </x:c>
      <x:c r="N24" s="23" t="str">
        <x:v>5040520098</x:v>
      </x:c>
      <x:c r="O24" s="23" t="str">
        <x:v>275</x:v>
      </x:c>
      <x:c r="P24" s="23" t="str">
        <x:v>5</x:v>
      </x:c>
      <x:c r="Q24" s="23" t="str">
        <x:v>MIC4-A__MIC4-B</x:v>
      </x:c>
      <x:c r="R24" s="23" t="str">
        <x:v>100_PERCENT_PIN_TO_PIN_NO_CROSS_SHORTS</x:v>
      </x:c>
      <x:c r="S24" s="23" t="str">
        <x:v>EVT_BUILD_RELEASED_FIRST_ARTICLE_REQUIRED</x:v>
      </x:c>
      <x:c r="T24" s="23" t="str">
        <x:v>EVT installed-route PDM AAD strain-relief validation</x:v>
      </x:c>
    </x:row>
    <x:row r="25" ht="15" hidden="0" customHeight="1">
      <x:c r="A25" s="23" t="str">
        <x:v>H-MIC4</x:v>
      </x:c>
      <x:c r="B25" s="23" t="str">
        <x:v>MIC4-06</x:v>
      </x:c>
      <x:c r="C25" s="23" t="str">
        <x:v>PCB-MAIN</x:v>
      </x:c>
      <x:c r="D25" s="23" t="str">
        <x:v>J_MIC4_MATING_5040510601</x:v>
      </x:c>
      <x:c r="E25" s="23" t="str">
        <x:v>6</x:v>
      </x:c>
      <x:c r="F25" s="23" t="str">
        <x:v>PCB-MIC4</x:v>
      </x:c>
      <x:c r="G25" s="23" t="str">
        <x:v>J1_MATING_5040510601</x:v>
      </x:c>
      <x:c r="H25" s="23" t="str">
        <x:v>6</x:v>
      </x:c>
      <x:c r="I25" s="23" t="str">
        <x:v>AAD_CFG</x:v>
      </x:c>
      <x:c r="J25" s="23" t="str">
        <x:v>AWG24_TE_55A0111-24_OD0P94MM</x:v>
      </x:c>
      <x:c r="K25" s="23" t="str">
        <x:v>GREY</x:v>
      </x:c>
      <x:c r="L25" s="23" t="str">
        <x:v>KEEP_ADJACENT_TO_GND_AVOID_CLK_CROSSTALK</x:v>
      </x:c>
      <x:c r="M25" s="23" t="str">
        <x:v>5040520098</x:v>
      </x:c>
      <x:c r="N25" s="23" t="str">
        <x:v>5040520098</x:v>
      </x:c>
      <x:c r="O25" s="23" t="str">
        <x:v>275</x:v>
      </x:c>
      <x:c r="P25" s="23" t="str">
        <x:v>5</x:v>
      </x:c>
      <x:c r="Q25" s="23" t="str">
        <x:v>MIC4-A__MIC4-B</x:v>
      </x:c>
      <x:c r="R25" s="23" t="str">
        <x:v>100_PERCENT_PIN_TO_PIN_NO_CROSS_SHORTS</x:v>
      </x:c>
      <x:c r="S25" s="23" t="str">
        <x:v>EVT_BUILD_RELEASED_FIRST_ARTICLE_REQUIRED</x:v>
      </x:c>
      <x:c r="T25" s="23" t="str">
        <x:v>EVT installed-route PDM AAD strain-relief validation</x:v>
      </x:c>
    </x:row>
    <x:row r="26" ht="15" hidden="0" customHeight="1">
      <x:c r="A26" s="23" t="str">
        <x:v>H-MAIN-PWR</x:v>
      </x:c>
      <x:c r="B26" s="23" t="str">
        <x:v>PWR-01</x:v>
      </x:c>
      <x:c r="C26" s="23" t="str">
        <x:v>PCB-PWR</x:v>
      </x:c>
      <x:c r="D26" s="23" t="str">
        <x:v>J_MAIN_PWR_MATING_430251200</x:v>
      </x:c>
      <x:c r="E26" s="23" t="str">
        <x:v>1</x:v>
      </x:c>
      <x:c r="F26" s="23" t="str">
        <x:v>PCB-MAIN</x:v>
      </x:c>
      <x:c r="G26" s="23" t="str">
        <x:v>J_PWR_MATING_430251200</x:v>
      </x:c>
      <x:c r="H26" s="23" t="str">
        <x:v>1</x:v>
      </x:c>
      <x:c r="I26" s="23" t="str">
        <x:v>3V8_MODEM</x:v>
      </x:c>
      <x:c r="J26" s="23" t="str">
        <x:v>AWG18_TE_55A0111-18_OD1P52MM</x:v>
      </x:c>
      <x:c r="K26" s="23" t="str">
        <x:v>RED</x:v>
      </x:c>
      <x:c r="L26" s="23" t="str">
        <x:v>DEDICATED_WITH_RETURN_PIN_2</x:v>
      </x:c>
      <x:c r="M26" s="23" t="str">
        <x:v>430300038</x:v>
      </x:c>
      <x:c r="N26" s="23" t="str">
        <x:v>430300038</x:v>
      </x:c>
      <x:c r="O26" s="23" t="str">
        <x:v>440</x:v>
      </x:c>
      <x:c r="P26" s="23" t="str">
        <x:v>5</x:v>
      </x:c>
      <x:c r="Q26" s="23" t="str">
        <x:v>PWR-A__MAIN-B</x:v>
      </x:c>
      <x:c r="R26" s="23" t="str">
        <x:v>100_PERCENT_PIN_TO_PIN_NO_CROSS_SHORTS</x:v>
      </x:c>
      <x:c r="S26" s="23" t="str">
        <x:v>EVT_BUILD_RELEASED_FIRST_ARTICLE_REQUIRED</x:v>
      </x:c>
      <x:c r="T26" s="23" t="str">
        <x:v>EVT rail-drop thermal and I2C 100kHz validation</x:v>
      </x:c>
    </x:row>
    <x:row r="27" ht="15" hidden="0" customHeight="1">
      <x:c r="A27" s="23" t="str">
        <x:v>H-MAIN-PWR</x:v>
      </x:c>
      <x:c r="B27" s="23" t="str">
        <x:v>PWR-02</x:v>
      </x:c>
      <x:c r="C27" s="23" t="str">
        <x:v>PCB-PWR</x:v>
      </x:c>
      <x:c r="D27" s="23" t="str">
        <x:v>J_MAIN_PWR_MATING_430251200</x:v>
      </x:c>
      <x:c r="E27" s="23" t="str">
        <x:v>2</x:v>
      </x:c>
      <x:c r="F27" s="23" t="str">
        <x:v>PCB-MAIN</x:v>
      </x:c>
      <x:c r="G27" s="23" t="str">
        <x:v>J_PWR_MATING_430251200</x:v>
      </x:c>
      <x:c r="H27" s="23" t="str">
        <x:v>2</x:v>
      </x:c>
      <x:c r="I27" s="23" t="str">
        <x:v>GND_MODEM</x:v>
      </x:c>
      <x:c r="J27" s="23" t="str">
        <x:v>AWG18_TE_55A0111-18_OD1P52MM</x:v>
      </x:c>
      <x:c r="K27" s="23" t="str">
        <x:v>BLACK</x:v>
      </x:c>
      <x:c r="L27" s="23" t="str">
        <x:v>DEDICATED_RETURN_FOR_PIN_1</x:v>
      </x:c>
      <x:c r="M27" s="23" t="str">
        <x:v>430300038</x:v>
      </x:c>
      <x:c r="N27" s="23" t="str">
        <x:v>430300038</x:v>
      </x:c>
      <x:c r="O27" s="23" t="str">
        <x:v>440</x:v>
      </x:c>
      <x:c r="P27" s="23" t="str">
        <x:v>5</x:v>
      </x:c>
      <x:c r="Q27" s="23" t="str">
        <x:v>PWR-A__MAIN-B</x:v>
      </x:c>
      <x:c r="R27" s="23" t="str">
        <x:v>100_PERCENT_PIN_TO_PIN_NO_CROSS_SHORTS</x:v>
      </x:c>
      <x:c r="S27" s="23" t="str">
        <x:v>EVT_BUILD_RELEASED_FIRST_ARTICLE_REQUIRED</x:v>
      </x:c>
      <x:c r="T27" s="23" t="str">
        <x:v>EVT rail-drop thermal and I2C 100kHz validation</x:v>
      </x:c>
    </x:row>
    <x:row r="28" ht="15" hidden="0" customHeight="1">
      <x:c r="A28" s="23" t="str">
        <x:v>H-MAIN-PWR</x:v>
      </x:c>
      <x:c r="B28" s="23" t="str">
        <x:v>PWR-03</x:v>
      </x:c>
      <x:c r="C28" s="23" t="str">
        <x:v>PCB-PWR</x:v>
      </x:c>
      <x:c r="D28" s="23" t="str">
        <x:v>J_MAIN_PWR_MATING_430251200</x:v>
      </x:c>
      <x:c r="E28" s="23" t="str">
        <x:v>3</x:v>
      </x:c>
      <x:c r="F28" s="23" t="str">
        <x:v>PCB-MAIN</x:v>
      </x:c>
      <x:c r="G28" s="23" t="str">
        <x:v>J_PWR_MATING_430251200</x:v>
      </x:c>
      <x:c r="H28" s="23" t="str">
        <x:v>3</x:v>
      </x:c>
      <x:c r="I28" s="23" t="str">
        <x:v>3V3_DIGITAL</x:v>
      </x:c>
      <x:c r="J28" s="23" t="str">
        <x:v>AWG18_TE_55A0111-18_OD1P52MM</x:v>
      </x:c>
      <x:c r="K28" s="23" t="str">
        <x:v>ORANGE</x:v>
      </x:c>
      <x:c r="L28" s="23" t="str">
        <x:v>DEDICATED_WITH_RETURN_PIN_4</x:v>
      </x:c>
      <x:c r="M28" s="23" t="str">
        <x:v>430300038</x:v>
      </x:c>
      <x:c r="N28" s="23" t="str">
        <x:v>430300038</x:v>
      </x:c>
      <x:c r="O28" s="23" t="str">
        <x:v>440</x:v>
      </x:c>
      <x:c r="P28" s="23" t="str">
        <x:v>5</x:v>
      </x:c>
      <x:c r="Q28" s="23" t="str">
        <x:v>PWR-A__MAIN-B</x:v>
      </x:c>
      <x:c r="R28" s="23" t="str">
        <x:v>100_PERCENT_PIN_TO_PIN_NO_CROSS_SHORTS</x:v>
      </x:c>
      <x:c r="S28" s="23" t="str">
        <x:v>EVT_BUILD_RELEASED_FIRST_ARTICLE_REQUIRED</x:v>
      </x:c>
      <x:c r="T28" s="23" t="str">
        <x:v>EVT rail-drop thermal and I2C 100kHz validation</x:v>
      </x:c>
    </x:row>
    <x:row r="29" ht="15" hidden="0" customHeight="1">
      <x:c r="A29" s="23" t="str">
        <x:v>H-MAIN-PWR</x:v>
      </x:c>
      <x:c r="B29" s="23" t="str">
        <x:v>PWR-04</x:v>
      </x:c>
      <x:c r="C29" s="23" t="str">
        <x:v>PCB-PWR</x:v>
      </x:c>
      <x:c r="D29" s="23" t="str">
        <x:v>J_MAIN_PWR_MATING_430251200</x:v>
      </x:c>
      <x:c r="E29" s="23" t="str">
        <x:v>4</x:v>
      </x:c>
      <x:c r="F29" s="23" t="str">
        <x:v>PCB-MAIN</x:v>
      </x:c>
      <x:c r="G29" s="23" t="str">
        <x:v>J_PWR_MATING_430251200</x:v>
      </x:c>
      <x:c r="H29" s="23" t="str">
        <x:v>4</x:v>
      </x:c>
      <x:c r="I29" s="23" t="str">
        <x:v>GND_DIGITAL</x:v>
      </x:c>
      <x:c r="J29" s="23" t="str">
        <x:v>AWG18_TE_55A0111-18_OD1P52MM</x:v>
      </x:c>
      <x:c r="K29" s="23" t="str">
        <x:v>BLACK_WHITE</x:v>
      </x:c>
      <x:c r="L29" s="23" t="str">
        <x:v>DEDICATED_RETURN_FOR_PIN_3</x:v>
      </x:c>
      <x:c r="M29" s="23" t="str">
        <x:v>430300038</x:v>
      </x:c>
      <x:c r="N29" s="23" t="str">
        <x:v>430300038</x:v>
      </x:c>
      <x:c r="O29" s="23" t="str">
        <x:v>440</x:v>
      </x:c>
      <x:c r="P29" s="23" t="str">
        <x:v>5</x:v>
      </x:c>
      <x:c r="Q29" s="23" t="str">
        <x:v>PWR-A__MAIN-B</x:v>
      </x:c>
      <x:c r="R29" s="23" t="str">
        <x:v>100_PERCENT_PIN_TO_PIN_NO_CROSS_SHORTS</x:v>
      </x:c>
      <x:c r="S29" s="23" t="str">
        <x:v>EVT_BUILD_RELEASED_FIRST_ARTICLE_REQUIRED</x:v>
      </x:c>
      <x:c r="T29" s="23" t="str">
        <x:v>EVT rail-drop thermal and I2C 100kHz validation</x:v>
      </x:c>
    </x:row>
    <x:row r="30" ht="15" hidden="0" customHeight="1">
      <x:c r="A30" s="23" t="str">
        <x:v>H-MAIN-PWR</x:v>
      </x:c>
      <x:c r="B30" s="23" t="str">
        <x:v>PWR-05</x:v>
      </x:c>
      <x:c r="C30" s="23" t="str">
        <x:v>PCB-PWR</x:v>
      </x:c>
      <x:c r="D30" s="23" t="str">
        <x:v>J_MAIN_PWR_MATING_430251200</x:v>
      </x:c>
      <x:c r="E30" s="23" t="str">
        <x:v>5</x:v>
      </x:c>
      <x:c r="F30" s="23" t="str">
        <x:v>PCB-MAIN</x:v>
      </x:c>
      <x:c r="G30" s="23" t="str">
        <x:v>J_PWR_MATING_430251200</x:v>
      </x:c>
      <x:c r="H30" s="23" t="str">
        <x:v>5</x:v>
      </x:c>
      <x:c r="I30" s="23" t="str">
        <x:v>1V8_MIC</x:v>
      </x:c>
      <x:c r="J30" s="23" t="str">
        <x:v>AWG18_TE_55A0111-18_OD1P52MM</x:v>
      </x:c>
      <x:c r="K30" s="23" t="str">
        <x:v>BROWN</x:v>
      </x:c>
      <x:c r="L30" s="23" t="str">
        <x:v>DEDICATED_WITH_RETURN_PIN_6</x:v>
      </x:c>
      <x:c r="M30" s="23" t="str">
        <x:v>430300038</x:v>
      </x:c>
      <x:c r="N30" s="23" t="str">
        <x:v>430300038</x:v>
      </x:c>
      <x:c r="O30" s="23" t="str">
        <x:v>440</x:v>
      </x:c>
      <x:c r="P30" s="23" t="str">
        <x:v>5</x:v>
      </x:c>
      <x:c r="Q30" s="23" t="str">
        <x:v>PWR-A__MAIN-B</x:v>
      </x:c>
      <x:c r="R30" s="23" t="str">
        <x:v>100_PERCENT_PIN_TO_PIN_NO_CROSS_SHORTS</x:v>
      </x:c>
      <x:c r="S30" s="23" t="str">
        <x:v>EVT_BUILD_RELEASED_FIRST_ARTICLE_REQUIRED</x:v>
      </x:c>
      <x:c r="T30" s="23" t="str">
        <x:v>EVT rail-drop thermal and I2C 100kHz validation</x:v>
      </x:c>
    </x:row>
    <x:row r="31" ht="15" hidden="0" customHeight="1">
      <x:c r="A31" s="23" t="str">
        <x:v>H-MAIN-PWR</x:v>
      </x:c>
      <x:c r="B31" s="23" t="str">
        <x:v>PWR-06</x:v>
      </x:c>
      <x:c r="C31" s="23" t="str">
        <x:v>PCB-PWR</x:v>
      </x:c>
      <x:c r="D31" s="23" t="str">
        <x:v>J_MAIN_PWR_MATING_430251200</x:v>
      </x:c>
      <x:c r="E31" s="23" t="str">
        <x:v>6</x:v>
      </x:c>
      <x:c r="F31" s="23" t="str">
        <x:v>PCB-MAIN</x:v>
      </x:c>
      <x:c r="G31" s="23" t="str">
        <x:v>J_PWR_MATING_430251200</x:v>
      </x:c>
      <x:c r="H31" s="23" t="str">
        <x:v>6</x:v>
      </x:c>
      <x:c r="I31" s="23" t="str">
        <x:v>GND_MIC</x:v>
      </x:c>
      <x:c r="J31" s="23" t="str">
        <x:v>AWG18_TE_55A0111-18_OD1P52MM</x:v>
      </x:c>
      <x:c r="K31" s="23" t="str">
        <x:v>BLACK_BLUE</x:v>
      </x:c>
      <x:c r="L31" s="23" t="str">
        <x:v>DEDICATED_RETURN_FOR_PIN_5</x:v>
      </x:c>
      <x:c r="M31" s="23" t="str">
        <x:v>430300038</x:v>
      </x:c>
      <x:c r="N31" s="23" t="str">
        <x:v>430300038</x:v>
      </x:c>
      <x:c r="O31" s="23" t="str">
        <x:v>440</x:v>
      </x:c>
      <x:c r="P31" s="23" t="str">
        <x:v>5</x:v>
      </x:c>
      <x:c r="Q31" s="23" t="str">
        <x:v>PWR-A__MAIN-B</x:v>
      </x:c>
      <x:c r="R31" s="23" t="str">
        <x:v>100_PERCENT_PIN_TO_PIN_NO_CROSS_SHORTS</x:v>
      </x:c>
      <x:c r="S31" s="23" t="str">
        <x:v>EVT_BUILD_RELEASED_FIRST_ARTICLE_REQUIRED</x:v>
      </x:c>
      <x:c r="T31" s="23" t="str">
        <x:v>EVT rail-drop thermal and I2C 100kHz validation</x:v>
      </x:c>
    </x:row>
    <x:row r="32" ht="15" hidden="0" customHeight="1">
      <x:c r="A32" s="23" t="str">
        <x:v>H-MAIN-PWR</x:v>
      </x:c>
      <x:c r="B32" s="23" t="str">
        <x:v>PWR-07</x:v>
      </x:c>
      <x:c r="C32" s="23" t="str">
        <x:v>PCB-PWR</x:v>
      </x:c>
      <x:c r="D32" s="23" t="str">
        <x:v>J_MAIN_PWR_MATING_430251200</x:v>
      </x:c>
      <x:c r="E32" s="23" t="str">
        <x:v>7</x:v>
      </x:c>
      <x:c r="F32" s="23" t="str">
        <x:v>PCB-MAIN</x:v>
      </x:c>
      <x:c r="G32" s="23" t="str">
        <x:v>J_PWR_MATING_430251200</x:v>
      </x:c>
      <x:c r="H32" s="23" t="str">
        <x:v>7</x:v>
      </x:c>
      <x:c r="I32" s="23" t="str">
        <x:v>PWR_GOOD</x:v>
      </x:c>
      <x:c r="J32" s="23" t="str">
        <x:v>AWG22_ALPHA_3051_OD1P575MM</x:v>
      </x:c>
      <x:c r="K32" s="23" t="str">
        <x:v>WHITE</x:v>
      </x:c>
      <x:c r="L32" s="23" t="str">
        <x:v>LOGIC_BUNDLE_KEEP_AWAY_FROM_SWITCH_NODES</x:v>
      </x:c>
      <x:c r="M32" s="23" t="str">
        <x:v>430300001</x:v>
      </x:c>
      <x:c r="N32" s="23" t="str">
        <x:v>430300001</x:v>
      </x:c>
      <x:c r="O32" s="23" t="str">
        <x:v>440</x:v>
      </x:c>
      <x:c r="P32" s="23" t="str">
        <x:v>5</x:v>
      </x:c>
      <x:c r="Q32" s="23" t="str">
        <x:v>PWR-A__MAIN-B</x:v>
      </x:c>
      <x:c r="R32" s="23" t="str">
        <x:v>100_PERCENT_PIN_TO_PIN_NO_CROSS_SHORTS</x:v>
      </x:c>
      <x:c r="S32" s="23" t="str">
        <x:v>EVT_BUILD_RELEASED_FIRST_ARTICLE_REQUIRED</x:v>
      </x:c>
      <x:c r="T32" s="23" t="str">
        <x:v>EVT rail-drop thermal and I2C 100kHz validation</x:v>
      </x:c>
    </x:row>
    <x:row r="33" ht="15" hidden="0" customHeight="1">
      <x:c r="A33" s="23" t="str">
        <x:v>H-MAIN-PWR</x:v>
      </x:c>
      <x:c r="B33" s="23" t="str">
        <x:v>PWR-08</x:v>
      </x:c>
      <x:c r="C33" s="23" t="str">
        <x:v>PCB-PWR</x:v>
      </x:c>
      <x:c r="D33" s="23" t="str">
        <x:v>J_MAIN_PWR_MATING_430251200</x:v>
      </x:c>
      <x:c r="E33" s="23" t="str">
        <x:v>8</x:v>
      </x:c>
      <x:c r="F33" s="23" t="str">
        <x:v>PCB-MAIN</x:v>
      </x:c>
      <x:c r="G33" s="23" t="str">
        <x:v>J_PWR_MATING_430251200</x:v>
      </x:c>
      <x:c r="H33" s="23" t="str">
        <x:v>8</x:v>
      </x:c>
      <x:c r="I33" s="23" t="str">
        <x:v>FAULT</x:v>
      </x:c>
      <x:c r="J33" s="23" t="str">
        <x:v>AWG22_ALPHA_3051_OD1P575MM</x:v>
      </x:c>
      <x:c r="K33" s="23" t="str">
        <x:v>YELLOW</x:v>
      </x:c>
      <x:c r="L33" s="23" t="str">
        <x:v>LOGIC_BUNDLE_KEEP_AWAY_FROM_SWITCH_NODES</x:v>
      </x:c>
      <x:c r="M33" s="23" t="str">
        <x:v>430300001</x:v>
      </x:c>
      <x:c r="N33" s="23" t="str">
        <x:v>430300001</x:v>
      </x:c>
      <x:c r="O33" s="23" t="str">
        <x:v>440</x:v>
      </x:c>
      <x:c r="P33" s="23" t="str">
        <x:v>5</x:v>
      </x:c>
      <x:c r="Q33" s="23" t="str">
        <x:v>PWR-A__MAIN-B</x:v>
      </x:c>
      <x:c r="R33" s="23" t="str">
        <x:v>100_PERCENT_PIN_TO_PIN_NO_CROSS_SHORTS</x:v>
      </x:c>
      <x:c r="S33" s="23" t="str">
        <x:v>EVT_BUILD_RELEASED_FIRST_ARTICLE_REQUIRED</x:v>
      </x:c>
      <x:c r="T33" s="23" t="str">
        <x:v>EVT rail-drop thermal and I2C 100kHz validation</x:v>
      </x:c>
    </x:row>
    <x:row r="34" ht="15" hidden="0" customHeight="1">
      <x:c r="A34" s="23" t="str">
        <x:v>H-MAIN-PWR</x:v>
      </x:c>
      <x:c r="B34" s="23" t="str">
        <x:v>PWR-09</x:v>
      </x:c>
      <x:c r="C34" s="23" t="str">
        <x:v>PCB-PWR</x:v>
      </x:c>
      <x:c r="D34" s="23" t="str">
        <x:v>J_MAIN_PWR_MATING_430251200</x:v>
      </x:c>
      <x:c r="E34" s="23" t="str">
        <x:v>9</x:v>
      </x:c>
      <x:c r="F34" s="23" t="str">
        <x:v>PCB-MAIN</x:v>
      </x:c>
      <x:c r="G34" s="23" t="str">
        <x:v>J_PWR_MATING_430251200</x:v>
      </x:c>
      <x:c r="H34" s="23" t="str">
        <x:v>9</x:v>
      </x:c>
      <x:c r="I34" s="23" t="str">
        <x:v>EN_MODEM</x:v>
      </x:c>
      <x:c r="J34" s="23" t="str">
        <x:v>AWG22_ALPHA_3051_OD1P575MM</x:v>
      </x:c>
      <x:c r="K34" s="23" t="str">
        <x:v>GREEN</x:v>
      </x:c>
      <x:c r="L34" s="23" t="str">
        <x:v>LOGIC_BUNDLE_KEEP_AWAY_FROM_SWITCH_NODES</x:v>
      </x:c>
      <x:c r="M34" s="23" t="str">
        <x:v>430300001</x:v>
      </x:c>
      <x:c r="N34" s="23" t="str">
        <x:v>430300001</x:v>
      </x:c>
      <x:c r="O34" s="23" t="str">
        <x:v>440</x:v>
      </x:c>
      <x:c r="P34" s="23" t="str">
        <x:v>5</x:v>
      </x:c>
      <x:c r="Q34" s="23" t="str">
        <x:v>PWR-A__MAIN-B</x:v>
      </x:c>
      <x:c r="R34" s="23" t="str">
        <x:v>100_PERCENT_PIN_TO_PIN_NO_CROSS_SHORTS</x:v>
      </x:c>
      <x:c r="S34" s="23" t="str">
        <x:v>EVT_BUILD_RELEASED_FIRST_ARTICLE_REQUIRED</x:v>
      </x:c>
      <x:c r="T34" s="23" t="str">
        <x:v>EVT rail-drop thermal and I2C 100kHz validation</x:v>
      </x:c>
    </x:row>
    <x:row r="35" ht="15" hidden="0" customHeight="1">
      <x:c r="A35" s="23" t="str">
        <x:v>H-MAIN-PWR</x:v>
      </x:c>
      <x:c r="B35" s="23" t="str">
        <x:v>PWR-10</x:v>
      </x:c>
      <x:c r="C35" s="23" t="str">
        <x:v>PCB-PWR</x:v>
      </x:c>
      <x:c r="D35" s="23" t="str">
        <x:v>J_MAIN_PWR_MATING_430251200</x:v>
      </x:c>
      <x:c r="E35" s="23" t="str">
        <x:v>10</x:v>
      </x:c>
      <x:c r="F35" s="23" t="str">
        <x:v>PCB-MAIN</x:v>
      </x:c>
      <x:c r="G35" s="23" t="str">
        <x:v>J_PWR_MATING_430251200</x:v>
      </x:c>
      <x:c r="H35" s="23" t="str">
        <x:v>10</x:v>
      </x:c>
      <x:c r="I35" s="23" t="str">
        <x:v>EN_AUX</x:v>
      </x:c>
      <x:c r="J35" s="23" t="str">
        <x:v>AWG22_ALPHA_3051_OD1P575MM</x:v>
      </x:c>
      <x:c r="K35" s="23" t="str">
        <x:v>BLUE</x:v>
      </x:c>
      <x:c r="L35" s="23" t="str">
        <x:v>LOGIC_BUNDLE_KEEP_AWAY_FROM_SWITCH_NODES</x:v>
      </x:c>
      <x:c r="M35" s="23" t="str">
        <x:v>430300001</x:v>
      </x:c>
      <x:c r="N35" s="23" t="str">
        <x:v>430300001</x:v>
      </x:c>
      <x:c r="O35" s="23" t="str">
        <x:v>440</x:v>
      </x:c>
      <x:c r="P35" s="23" t="str">
        <x:v>5</x:v>
      </x:c>
      <x:c r="Q35" s="23" t="str">
        <x:v>PWR-A__MAIN-B</x:v>
      </x:c>
      <x:c r="R35" s="23" t="str">
        <x:v>100_PERCENT_PIN_TO_PIN_NO_CROSS_SHORTS</x:v>
      </x:c>
      <x:c r="S35" s="23" t="str">
        <x:v>EVT_BUILD_RELEASED_FIRST_ARTICLE_REQUIRED</x:v>
      </x:c>
      <x:c r="T35" s="23" t="str">
        <x:v>EVT rail-drop thermal and I2C 100kHz validation</x:v>
      </x:c>
    </x:row>
    <x:row r="36" ht="15" hidden="0" customHeight="1">
      <x:c r="A36" s="23" t="str">
        <x:v>H-MAIN-PWR</x:v>
      </x:c>
      <x:c r="B36" s="23" t="str">
        <x:v>PWR-11</x:v>
      </x:c>
      <x:c r="C36" s="23" t="str">
        <x:v>PCB-PWR</x:v>
      </x:c>
      <x:c r="D36" s="23" t="str">
        <x:v>J_MAIN_PWR_MATING_430251200</x:v>
      </x:c>
      <x:c r="E36" s="23" t="str">
        <x:v>11</x:v>
      </x:c>
      <x:c r="F36" s="23" t="str">
        <x:v>PCB-MAIN</x:v>
      </x:c>
      <x:c r="G36" s="23" t="str">
        <x:v>J_PWR_MATING_430251200</x:v>
      </x:c>
      <x:c r="H36" s="23" t="str">
        <x:v>11</x:v>
      </x:c>
      <x:c r="I36" s="23" t="str">
        <x:v>I2C2_SCL</x:v>
      </x:c>
      <x:c r="J36" s="23" t="str">
        <x:v>AWG22_ALPHA_3051_OD1P575MM</x:v>
      </x:c>
      <x:c r="K36" s="23" t="str">
        <x:v>VIOLET</x:v>
      </x:c>
      <x:c r="L36" s="23" t="str">
        <x:v>ROUTE_WITH_PIN_12_AND_ADJACENT_GND_KEEP_SHORT</x:v>
      </x:c>
      <x:c r="M36" s="23" t="str">
        <x:v>430300001</x:v>
      </x:c>
      <x:c r="N36" s="23" t="str">
        <x:v>430300001</x:v>
      </x:c>
      <x:c r="O36" s="23" t="str">
        <x:v>440</x:v>
      </x:c>
      <x:c r="P36" s="23" t="str">
        <x:v>5</x:v>
      </x:c>
      <x:c r="Q36" s="23" t="str">
        <x:v>PWR-A__MAIN-B</x:v>
      </x:c>
      <x:c r="R36" s="23" t="str">
        <x:v>100_PERCENT_PIN_TO_PIN_NO_CROSS_SHORTS</x:v>
      </x:c>
      <x:c r="S36" s="23" t="str">
        <x:v>EVT_BUILD_RELEASED_FIRST_ARTICLE_REQUIRED</x:v>
      </x:c>
      <x:c r="T36" s="23" t="str">
        <x:v>EVT rail-drop thermal and I2C 100kHz validation</x:v>
      </x:c>
    </x:row>
    <x:row r="37" ht="15" hidden="0" customHeight="1">
      <x:c r="A37" s="23" t="str">
        <x:v>H-MAIN-PWR</x:v>
      </x:c>
      <x:c r="B37" s="23" t="str">
        <x:v>PWR-12</x:v>
      </x:c>
      <x:c r="C37" s="23" t="str">
        <x:v>PCB-PWR</x:v>
      </x:c>
      <x:c r="D37" s="23" t="str">
        <x:v>J_MAIN_PWR_MATING_430251200</x:v>
      </x:c>
      <x:c r="E37" s="23" t="str">
        <x:v>12</x:v>
      </x:c>
      <x:c r="F37" s="23" t="str">
        <x:v>PCB-MAIN</x:v>
      </x:c>
      <x:c r="G37" s="23" t="str">
        <x:v>J_PWR_MATING_430251200</x:v>
      </x:c>
      <x:c r="H37" s="23" t="str">
        <x:v>12</x:v>
      </x:c>
      <x:c r="I37" s="23" t="str">
        <x:v>I2C2_SDA</x:v>
      </x:c>
      <x:c r="J37" s="23" t="str">
        <x:v>AWG22_ALPHA_3051_OD1P575MM</x:v>
      </x:c>
      <x:c r="K37" s="23" t="str">
        <x:v>GREY</x:v>
      </x:c>
      <x:c r="L37" s="23" t="str">
        <x:v>ROUTE_WITH_PIN_11_AND_ADJACENT_GND_KEEP_SHORT</x:v>
      </x:c>
      <x:c r="M37" s="23" t="str">
        <x:v>430300001</x:v>
      </x:c>
      <x:c r="N37" s="23" t="str">
        <x:v>430300001</x:v>
      </x:c>
      <x:c r="O37" s="23" t="str">
        <x:v>440</x:v>
      </x:c>
      <x:c r="P37" s="23" t="str">
        <x:v>5</x:v>
      </x:c>
      <x:c r="Q37" s="23" t="str">
        <x:v>PWR-A__MAIN-B</x:v>
      </x:c>
      <x:c r="R37" s="23" t="str">
        <x:v>100_PERCENT_PIN_TO_PIN_NO_CROSS_SHORTS</x:v>
      </x:c>
      <x:c r="S37" s="23" t="str">
        <x:v>EVT_BUILD_RELEASED_FIRST_ARTICLE_REQUIRED</x:v>
      </x:c>
      <x:c r="T37" s="23" t="str">
        <x:v>EVT rail-drop thermal and I2C 100kHz validation</x:v>
      </x:c>
    </x:row>
    <x:row r="38" ht="15" hidden="0" customHeight="1">
      <x:c r="A38" s="23" t="str">
        <x:v>H-BAT-PWR</x:v>
      </x:c>
      <x:c r="B38" s="23" t="str">
        <x:v>BAT-01</x:v>
      </x:c>
      <x:c r="C38" s="23" t="str">
        <x:v>SYSTEM-BAT1</x:v>
      </x:c>
      <x:c r="D38" s="23" t="str">
        <x:v>RELION_RB40_M8_POSITIVE</x:v>
      </x:c>
      <x:c r="E38" s="23" t="str">
        <x:v>+</x:v>
      </x:c>
      <x:c r="F38" s="23" t="str">
        <x:v>PCB-PWR</x:v>
      </x:c>
      <x:c r="G38" s="23" t="str">
        <x:v>J_PWR_IN_MATING_430250200</x:v>
      </x:c>
      <x:c r="H38" s="23" t="str">
        <x:v>1</x:v>
      </x:c>
      <x:c r="I38" s="23" t="str">
        <x:v>VBAT_PLUS</x:v>
      </x:c>
      <x:c r="J38" s="23" t="str">
        <x:v>AWG18_TE_55A0111-18_OD1P52MM</x:v>
      </x:c>
      <x:c r="K38" s="23" t="str">
        <x:v>RED</x:v>
      </x:c>
      <x:c r="L38" s="23" t="str">
        <x:v>DEDICATED_WITH_RETURN</x:v>
      </x:c>
      <x:c r="M38" s="23" t="str">
        <x:v>TE_8-34114-1_M8</x:v>
      </x:c>
      <x:c r="N38" s="23" t="str">
        <x:v>430300038</x:v>
      </x:c>
      <x:c r="O38" s="23" t="str">
        <x:v>330</x:v>
      </x:c>
      <x:c r="P38" s="23" t="str">
        <x:v>5</x:v>
      </x:c>
      <x:c r="Q38" s="23" t="str">
        <x:v>BAT-A__PWR-B</x:v>
      </x:c>
      <x:c r="R38" s="23" t="str">
        <x:v>100_PERCENT_POLARITY_CONTINUITY_NO_CROSS_SHORTS</x:v>
      </x:c>
      <x:c r="S38" s="23" t="str">
        <x:v>EVT_BUILD_RELEASED_FIRST_ARTICLE_REQUIRED</x:v>
      </x:c>
      <x:c r="T38" s="23" t="str">
        <x:v>EVT 5A plus70C minus40C crimp and strain validation</x:v>
      </x:c>
    </x:row>
    <x:row r="39" ht="15" hidden="0" customHeight="1">
      <x:c r="A39" s="23" t="str">
        <x:v>H-BAT-PWR</x:v>
      </x:c>
      <x:c r="B39" s="23" t="str">
        <x:v>BAT-02</x:v>
      </x:c>
      <x:c r="C39" s="23" t="str">
        <x:v>SYSTEM-BAT1</x:v>
      </x:c>
      <x:c r="D39" s="23" t="str">
        <x:v>RELION_RB40_M8_NEGATIVE</x:v>
      </x:c>
      <x:c r="E39" s="23" t="str">
        <x:v>-</x:v>
      </x:c>
      <x:c r="F39" s="23" t="str">
        <x:v>PCB-PWR</x:v>
      </x:c>
      <x:c r="G39" s="23" t="str">
        <x:v>J_PWR_IN_MATING_430250200</x:v>
      </x:c>
      <x:c r="H39" s="23" t="str">
        <x:v>2</x:v>
      </x:c>
      <x:c r="I39" s="23" t="str">
        <x:v>VBAT_MINUS</x:v>
      </x:c>
      <x:c r="J39" s="23" t="str">
        <x:v>AWG18_TE_55A0111-18_OD1P52MM</x:v>
      </x:c>
      <x:c r="K39" s="23" t="str">
        <x:v>BLACK</x:v>
      </x:c>
      <x:c r="L39" s="23" t="str">
        <x:v>DEDICATED_RETURN</x:v>
      </x:c>
      <x:c r="M39" s="23" t="str">
        <x:v>TE_8-34114-1_M8</x:v>
      </x:c>
      <x:c r="N39" s="23" t="str">
        <x:v>430300038</x:v>
      </x:c>
      <x:c r="O39" s="23" t="str">
        <x:v>330</x:v>
      </x:c>
      <x:c r="P39" s="23" t="str">
        <x:v>5</x:v>
      </x:c>
      <x:c r="Q39" s="23" t="str">
        <x:v>BAT-A__PWR-B</x:v>
      </x:c>
      <x:c r="R39" s="23" t="str">
        <x:v>100_PERCENT_POLARITY_CONTINUITY_NO_CROSS_SHORTS</x:v>
      </x:c>
      <x:c r="S39" s="23" t="str">
        <x:v>EVT_BUILD_RELEASED_FIRST_ARTICLE_REQUIRED</x:v>
      </x:c>
      <x:c r="T39" s="23" t="str">
        <x:v>EVT 5A plus70C minus40C crimp and strain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323d2ed159d44a40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80000114440918" hidden="0" customWidth="1"/>
    <x:col min="2" max="2" width="18.1299991607666" hidden="0" customWidth="1"/>
    <x:col min="3" max="3" width="14.75" hidden="0" customWidth="1"/>
    <x:col min="4" max="4" width="14.25" hidden="0" customWidth="1"/>
    <x:col min="5" max="5" width="21.6299991607666" hidden="0" customWidth="1"/>
    <x:col min="6" max="6" width="16.6299991607666" hidden="0" customWidth="1"/>
    <x:col min="7" max="7" width="11.5" hidden="0" customWidth="1"/>
    <x:col min="8" max="8" width="38.130001068115234" hidden="0" customWidth="1"/>
    <x:col min="9" max="9" width="30.6299991607666" hidden="0" customWidth="1"/>
    <x:col min="10" max="10" width="30.6299991607666" hidden="0" customWidth="1"/>
    <x:col min="11" max="11" width="30.3799991607666" hidden="0" customWidth="1"/>
    <x:col min="12" max="12" width="38.380001068115234" hidden="0" customWidth="1"/>
  </x:cols>
  <x:sheetData>
    <x:row r="1" ht="15" hidden="0" customHeight="1">
      <x:c r="A1" s="19" t="str">
        <x:v>Harness_ID</x:v>
      </x:c>
      <x:c r="B1" s="19" t="str">
        <x:v>Quantity_per_station</x:v>
      </x:c>
      <x:c r="C1" s="19" t="str">
        <x:v>Base_route_mm</x:v>
      </x:c>
      <x:c r="D1" s="19" t="str">
        <x:v>Margin_percent</x:v>
      </x:c>
      <x:c r="E1" s="19" t="str">
        <x:v>Released_cut_length_mm</x:v>
      </x:c>
      <x:c r="F1" s="19" t="str">
        <x:v>Cut_tolerance_mm</x:v>
      </x:c>
      <x:c r="G1" s="19" t="str">
        <x:v>Conductors</x:v>
      </x:c>
      <x:c r="H1" s="19" t="str">
        <x:v>Wire_selection</x:v>
      </x:c>
      <x:c r="I1" s="19" t="str">
        <x:v>Connector_or_terminal_A</x:v>
      </x:c>
      <x:c r="J1" s="19" t="str">
        <x:v>Connector_or_terminal_B</x:v>
      </x:c>
      <x:c r="K1" s="19" t="str">
        <x:v>Maximum_conductor_resistance_ohm</x:v>
      </x:c>
      <x:c r="L1" s="19" t="str">
        <x:v>Status</x:v>
      </x:c>
    </x:row>
    <x:row r="2" ht="15" hidden="0" customHeight="1">
      <x:c r="A2" s="28" t="str">
        <x:v>H-MIC1</x:v>
      </x:c>
      <x:c r="B2" s="28" t="str">
        <x:v>1</x:v>
      </x:c>
      <x:c r="C2" s="28" t="str">
        <x:v>250</x:v>
      </x:c>
      <x:c r="D2" s="28" t="str">
        <x:v>10</x:v>
      </x:c>
      <x:c r="E2" s="28" t="str">
        <x:v>275</x:v>
      </x:c>
      <x:c r="F2" s="28" t="str">
        <x:v>5</x:v>
      </x:c>
      <x:c r="G2" s="28" t="str">
        <x:v>6</x:v>
      </x:c>
      <x:c r="H2" s="28" t="str">
        <x:v>TE 55A0111-24 24AWG</x:v>
      </x:c>
      <x:c r="I2" s="28" t="str">
        <x:v>Molex 5040510601 plus 5040520098</x:v>
      </x:c>
      <x:c r="J2" s="28" t="str">
        <x:v>Molex 5040510601 plus 5040520098</x:v>
      </x:c>
      <x:c r="K2" s="28" t="str">
        <x:v>0.15</x:v>
      </x:c>
      <x:c r="L2" s="28" t="str">
        <x:v>EVT_RELEASED_VALIDATE_INSTALLED_ROUTE</x:v>
      </x:c>
    </x:row>
    <x:row r="3" ht="15" hidden="0" customHeight="1">
      <x:c r="A3" s="28" t="str">
        <x:v>H-MIC2</x:v>
      </x:c>
      <x:c r="B3" s="28" t="str">
        <x:v>1</x:v>
      </x:c>
      <x:c r="C3" s="28" t="str">
        <x:v>250</x:v>
      </x:c>
      <x:c r="D3" s="28" t="str">
        <x:v>10</x:v>
      </x:c>
      <x:c r="E3" s="28" t="str">
        <x:v>275</x:v>
      </x:c>
      <x:c r="F3" s="28" t="str">
        <x:v>5</x:v>
      </x:c>
      <x:c r="G3" s="28" t="str">
        <x:v>6</x:v>
      </x:c>
      <x:c r="H3" s="28" t="str">
        <x:v>TE 55A0111-24 24AWG</x:v>
      </x:c>
      <x:c r="I3" s="28" t="str">
        <x:v>Molex 5040510601 plus 5040520098</x:v>
      </x:c>
      <x:c r="J3" s="28" t="str">
        <x:v>Molex 5040510601 plus 5040520098</x:v>
      </x:c>
      <x:c r="K3" s="28" t="str">
        <x:v>0.15</x:v>
      </x:c>
      <x:c r="L3" s="28" t="str">
        <x:v>EVT_RELEASED_VALIDATE_INSTALLED_ROUTE</x:v>
      </x:c>
    </x:row>
    <x:row r="4" ht="15" hidden="0" customHeight="1">
      <x:c r="A4" s="28" t="str">
        <x:v>H-MIC3</x:v>
      </x:c>
      <x:c r="B4" s="28" t="str">
        <x:v>1</x:v>
      </x:c>
      <x:c r="C4" s="28" t="str">
        <x:v>250</x:v>
      </x:c>
      <x:c r="D4" s="28" t="str">
        <x:v>10</x:v>
      </x:c>
      <x:c r="E4" s="28" t="str">
        <x:v>275</x:v>
      </x:c>
      <x:c r="F4" s="28" t="str">
        <x:v>5</x:v>
      </x:c>
      <x:c r="G4" s="28" t="str">
        <x:v>6</x:v>
      </x:c>
      <x:c r="H4" s="28" t="str">
        <x:v>TE 55A0111-24 24AWG</x:v>
      </x:c>
      <x:c r="I4" s="28" t="str">
        <x:v>Molex 5040510601 plus 5040520098</x:v>
      </x:c>
      <x:c r="J4" s="28" t="str">
        <x:v>Molex 5040510601 plus 5040520098</x:v>
      </x:c>
      <x:c r="K4" s="28" t="str">
        <x:v>0.15</x:v>
      </x:c>
      <x:c r="L4" s="28" t="str">
        <x:v>EVT_RELEASED_VALIDATE_INSTALLED_ROUTE</x:v>
      </x:c>
    </x:row>
    <x:row r="5" ht="15" hidden="0" customHeight="1">
      <x:c r="A5" s="28" t="str">
        <x:v>H-MIC4</x:v>
      </x:c>
      <x:c r="B5" s="28" t="str">
        <x:v>1</x:v>
      </x:c>
      <x:c r="C5" s="28" t="str">
        <x:v>250</x:v>
      </x:c>
      <x:c r="D5" s="28" t="str">
        <x:v>10</x:v>
      </x:c>
      <x:c r="E5" s="28" t="str">
        <x:v>275</x:v>
      </x:c>
      <x:c r="F5" s="28" t="str">
        <x:v>5</x:v>
      </x:c>
      <x:c r="G5" s="28" t="str">
        <x:v>6</x:v>
      </x:c>
      <x:c r="H5" s="28" t="str">
        <x:v>TE 55A0111-24 24AWG</x:v>
      </x:c>
      <x:c r="I5" s="28" t="str">
        <x:v>Molex 5040510601 plus 5040520098</x:v>
      </x:c>
      <x:c r="J5" s="28" t="str">
        <x:v>Molex 5040510601 plus 5040520098</x:v>
      </x:c>
      <x:c r="K5" s="28" t="str">
        <x:v>0.15</x:v>
      </x:c>
      <x:c r="L5" s="28" t="str">
        <x:v>EVT_RELEASED_VALIDATE_INSTALLED_ROUTE</x:v>
      </x:c>
    </x:row>
    <x:row r="6" ht="15" hidden="0" customHeight="1">
      <x:c r="A6" s="28" t="str">
        <x:v>H-MAIN-PWR</x:v>
      </x:c>
      <x:c r="B6" s="28" t="str">
        <x:v>1</x:v>
      </x:c>
      <x:c r="C6" s="28" t="str">
        <x:v>400</x:v>
      </x:c>
      <x:c r="D6" s="28" t="str">
        <x:v>10</x:v>
      </x:c>
      <x:c r="E6" s="28" t="str">
        <x:v>440</x:v>
      </x:c>
      <x:c r="F6" s="28" t="str">
        <x:v>5</x:v>
      </x:c>
      <x:c r="G6" s="28" t="str">
        <x:v>12</x:v>
      </x:c>
      <x:c r="H6" s="28" t="str">
        <x:v>TE 55A0111-18 18AWG pins 1-6; Alpha 3051 22AWG pins 7-12</x:v>
      </x:c>
      <x:c r="I6" s="28" t="str">
        <x:v>Molex 430251200 plus 430300038 and 430300001</x:v>
      </x:c>
      <x:c r="J6" s="28" t="str">
        <x:v>Molex 430251200 plus 430300038 and 430300001</x:v>
      </x:c>
      <x:c r="K6" s="28" t="str">
        <x:v>0.15</x:v>
      </x:c>
      <x:c r="L6" s="28" t="str">
        <x:v>EVT_RELEASED_VALIDATE_I2C_100KHZ_AND_RAIL_DROP</x:v>
      </x:c>
    </x:row>
    <x:row r="7" ht="15" hidden="0" customHeight="1">
      <x:c r="A7" s="28" t="str">
        <x:v>H-BAT-PWR</x:v>
      </x:c>
      <x:c r="B7" s="28" t="str">
        <x:v>1</x:v>
      </x:c>
      <x:c r="C7" s="28" t="str">
        <x:v>300</x:v>
      </x:c>
      <x:c r="D7" s="28" t="str">
        <x:v>10</x:v>
      </x:c>
      <x:c r="E7" s="28" t="str">
        <x:v>330</x:v>
      </x:c>
      <x:c r="F7" s="28" t="str">
        <x:v>5</x:v>
      </x:c>
      <x:c r="G7" s="28" t="str">
        <x:v>2</x:v>
      </x:c>
      <x:c r="H7" s="28" t="str">
        <x:v>TE 55A0111-18 18AWG</x:v>
      </x:c>
      <x:c r="I7" s="28" t="str">
        <x:v>TE 8-34114-1 M8 ring</x:v>
      </x:c>
      <x:c r="J7" s="28" t="str">
        <x:v>Molex 430250200 plus 430300038</x:v>
      </x:c>
      <x:c r="K7" s="28" t="str">
        <x:v>0.10</x:v>
      </x:c>
      <x:c r="L7" s="28" t="str">
        <x:v>EVT_RELEASED_VALIDATE_5A_PLUS70C_AND_MINUS40C</x:v>
      </x:c>
    </x:row>
  </x:sheetData>
  <x:pageMargins left="0.7" right="0.7" top="0.75" bottom="0.75" header="0.3" footer="0.3"/>
  <x:tableParts count="1">
    <x:tablePart xmlns:r="http://schemas.openxmlformats.org/officeDocument/2006/relationships" r:id="R56b84f44d16544d0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28.75" hidden="0" customWidth="1"/>
    <x:col min="3" max="3" width="9.630000114440918" hidden="0" customWidth="1"/>
    <x:col min="4" max="4" width="12.75" hidden="0" customWidth="1"/>
    <x:col min="5" max="5" width="14.380000114440918" hidden="0" customWidth="1"/>
    <x:col min="6" max="6" width="5" hidden="0" customWidth="1"/>
    <x:col min="7" max="7" width="16" hidden="0" customWidth="1"/>
    <x:col min="8" max="8" width="12.75" hidden="0" customWidth="1"/>
    <x:col min="9" max="9" width="15.380000114440918" hidden="0" customWidth="1"/>
    <x:col min="10" max="10" width="29.8799991607666" hidden="0" customWidth="1"/>
    <x:col min="11" max="11" width="39.380001068115234" hidden="0" customWidth="1"/>
    <x:col min="12" max="12" width="52.630001068115234" hidden="0" customWidth="1"/>
    <x:col min="13" max="13" width="80.87999725341797" hidden="0" customWidth="1"/>
  </x:cols>
  <x:sheetData>
    <x:row r="1" ht="15" hidden="0" customHeight="1">
      <x:c r="A1" s="19" t="str">
        <x:v>Net</x:v>
      </x:c>
      <x:c r="B1" s="19" t="str">
        <x:v>Function</x:v>
      </x:c>
      <x:c r="C1" s="19" t="str">
        <x:v>MCU_Pin</x:v>
      </x:c>
      <x:c r="D1" s="19" t="str">
        <x:v>LQFP100_Pin</x:v>
      </x:c>
      <x:c r="E1" s="19" t="str">
        <x:v>CubeMX_Signal</x:v>
      </x:c>
      <x:c r="F1" s="19" t="str">
        <x:v>AF</x:v>
      </x:c>
      <x:c r="G1" s="19" t="str">
        <x:v>Direction_at_MCU</x:v>
      </x:c>
      <x:c r="H1" s="19" t="str">
        <x:v>MCU_Domain</x:v>
      </x:c>
      <x:c r="I1" s="19" t="str">
        <x:v>External_Domain</x:v>
      </x:c>
      <x:c r="J1" s="19" t="str">
        <x:v>External_Device</x:v>
      </x:c>
      <x:c r="K1" s="19" t="str">
        <x:v>Status</x:v>
      </x:c>
      <x:c r="L1" s="19" t="str">
        <x:v>Evidence</x:v>
      </x:c>
      <x:c r="M1" s="19" t="str">
        <x:v>Notes</x:v>
      </x:c>
    </x:row>
    <x:row r="2" ht="15" hidden="0" customHeight="1">
      <x:c r="A2" s="17" t="str">
        <x:v>PDM_CLK</x:v>
      </x:c>
      <x:c r="B2" s="17" t="str">
        <x:v>Microphone common PDM clock</x:v>
      </x:c>
      <x:c r="C2" s="17" t="str">
        <x:v>PE9</x:v>
      </x:c>
      <x:c r="D2" s="17" t="str">
        <x:v>37</x:v>
      </x:c>
      <x:c r="E2" s="17" t="str">
        <x:v>MDF1_CCK0</x:v>
      </x:c>
      <x:c r="F2" s="17" t="str">
        <x:v>AF6</x:v>
      </x:c>
      <x:c r="G2" s="17" t="str">
        <x:v>OUT</x:v>
      </x:c>
      <x:c r="H2" s="17" t="str">
        <x:v>3V3</x:v>
      </x:c>
      <x:c r="I2" s="17" t="str">
        <x:v>1V8</x:v>
      </x:c>
      <x:c r="J2" s="17" t="str">
        <x:v>4x T5838</x:v>
      </x:c>
      <x:c r="K2" s="17" t="str">
        <x:v>DATASHEET_VERIFIED_CUBEMX_PENDING</x:v>
      </x:c>
      <x:c r="L2" s="17" t="str">
        <x:v>STM32U585VITxQ.xml + DS13086 Rev10</x:v>
      </x:c>
      <x:c r="M2" s="17" t="str">
        <x:v>Translate 3V3 to 1V8 through directional level translator; common fanout</x:v>
      </x:c>
    </x:row>
    <x:row r="3" ht="15" hidden="0" customHeight="1">
      <x:c r="A3" s="17" t="str">
        <x:v>PDM_DATA1</x:v>
      </x:c>
      <x:c r="B3" s="17" t="str">
        <x:v>Microphone PDM data channel 1</x:v>
      </x:c>
      <x:c r="C3" s="17" t="str">
        <x:v>PB1</x:v>
      </x:c>
      <x:c r="D3" s="17" t="str">
        <x:v>33</x:v>
      </x:c>
      <x:c r="E3" s="17" t="str">
        <x:v>MDF1_SDI0</x:v>
      </x:c>
      <x:c r="F3" s="17" t="str">
        <x:v>AF6</x:v>
      </x:c>
      <x:c r="G3" s="17" t="str">
        <x:v>IN</x:v>
      </x:c>
      <x:c r="H3" s="17" t="str">
        <x:v>3V3</x:v>
      </x:c>
      <x:c r="I3" s="17" t="str">
        <x:v>1V8</x:v>
      </x:c>
      <x:c r="J3" s="17" t="str">
        <x:v>T5838 MIC1</x:v>
      </x:c>
      <x:c r="K3" s="17" t="str">
        <x:v>DATASHEET_VERIFIED_CUBEMX_PENDING</x:v>
      </x:c>
      <x:c r="L3" s="17" t="str">
        <x:v>STM32U585VITxQ.xml + DS13086 Rev10</x:v>
      </x:c>
      <x:c r="M3" s="17" t="str">
        <x:v>Translate 1V8 to 3V3</x:v>
      </x:c>
    </x:row>
    <x:row r="4" ht="15" hidden="0" customHeight="1">
      <x:c r="A4" s="17" t="str">
        <x:v>PDM_DATA2</x:v>
      </x:c>
      <x:c r="B4" s="17" t="str">
        <x:v>Microphone PDM data channel 2</x:v>
      </x:c>
      <x:c r="C4" s="17" t="str">
        <x:v>PD6</x:v>
      </x:c>
      <x:c r="D4" s="17" t="str">
        <x:v>87</x:v>
      </x:c>
      <x:c r="E4" s="17" t="str">
        <x:v>MDF1_SDI1</x:v>
      </x:c>
      <x:c r="F4" s="17" t="str">
        <x:v>AF6</x:v>
      </x:c>
      <x:c r="G4" s="17" t="str">
        <x:v>IN</x:v>
      </x:c>
      <x:c r="H4" s="17" t="str">
        <x:v>3V3</x:v>
      </x:c>
      <x:c r="I4" s="17" t="str">
        <x:v>1V8</x:v>
      </x:c>
      <x:c r="J4" s="17" t="str">
        <x:v>T5838 MIC2</x:v>
      </x:c>
      <x:c r="K4" s="17" t="str">
        <x:v>DATASHEET_VERIFIED_CUBEMX_PENDING</x:v>
      </x:c>
      <x:c r="L4" s="17" t="str">
        <x:v>STM32U585VITxQ.xml + DS13086 Rev10</x:v>
      </x:c>
      <x:c r="M4" s="17" t="str">
        <x:v>Translate 1V8 to 3V3</x:v>
      </x:c>
    </x:row>
    <x:row r="5" ht="15" hidden="0" customHeight="1">
      <x:c r="A5" s="17" t="str">
        <x:v>PDM_DATA3</x:v>
      </x:c>
      <x:c r="B5" s="17" t="str">
        <x:v>Microphone PDM data channel 3</x:v>
      </x:c>
      <x:c r="C5" s="17" t="str">
        <x:v>PE7</x:v>
      </x:c>
      <x:c r="D5" s="17" t="str">
        <x:v>35</x:v>
      </x:c>
      <x:c r="E5" s="17" t="str">
        <x:v>MDF1_SDI2</x:v>
      </x:c>
      <x:c r="F5" s="17" t="str">
        <x:v>AF6</x:v>
      </x:c>
      <x:c r="G5" s="17" t="str">
        <x:v>IN</x:v>
      </x:c>
      <x:c r="H5" s="17" t="str">
        <x:v>3V3</x:v>
      </x:c>
      <x:c r="I5" s="17" t="str">
        <x:v>1V8</x:v>
      </x:c>
      <x:c r="J5" s="17" t="str">
        <x:v>T5838 MIC3</x:v>
      </x:c>
      <x:c r="K5" s="17" t="str">
        <x:v>DATASHEET_VERIFIED_CUBEMX_PENDING</x:v>
      </x:c>
      <x:c r="L5" s="17" t="str">
        <x:v>STM32U585VITxQ.xml + DS13086 Rev10</x:v>
      </x:c>
      <x:c r="M5" s="17" t="str">
        <x:v>Translate 1V8 to 3V3</x:v>
      </x:c>
    </x:row>
    <x:row r="6" ht="15" hidden="0" customHeight="1">
      <x:c r="A6" s="17" t="str">
        <x:v>PDM_DATA4</x:v>
      </x:c>
      <x:c r="B6" s="17" t="str">
        <x:v>Microphone PDM data channel 4</x:v>
      </x:c>
      <x:c r="C6" s="17" t="str">
        <x:v>PE4</x:v>
      </x:c>
      <x:c r="D6" s="17" t="str">
        <x:v>3</x:v>
      </x:c>
      <x:c r="E6" s="17" t="str">
        <x:v>MDF1_SDI3</x:v>
      </x:c>
      <x:c r="F6" s="17" t="str">
        <x:v>AF6</x:v>
      </x:c>
      <x:c r="G6" s="17" t="str">
        <x:v>IN</x:v>
      </x:c>
      <x:c r="H6" s="17" t="str">
        <x:v>3V3</x:v>
      </x:c>
      <x:c r="I6" s="17" t="str">
        <x:v>1V8</x:v>
      </x:c>
      <x:c r="J6" s="17" t="str">
        <x:v>T5838 MIC4</x:v>
      </x:c>
      <x:c r="K6" s="17" t="str">
        <x:v>DATASHEET_VERIFIED_CUBEMX_PENDING</x:v>
      </x:c>
      <x:c r="L6" s="17" t="str">
        <x:v>STM32U585VITxQ.xml + DS13086 Rev10</x:v>
      </x:c>
      <x:c r="M6" s="17" t="str">
        <x:v>Translate 1V8 to 3V3</x:v>
      </x:c>
    </x:row>
    <x:row r="7" ht="15" hidden="0" customHeight="1">
      <x:c r="A7" s="17" t="str">
        <x:v>MIC_WAKE</x:v>
      </x:c>
      <x:c r="B7" s="17" t="str">
        <x:v>Aggregated T5838 Acoustic Activity Detect wake</x:v>
      </x:c>
      <x:c r="C7" s="17" t="str">
        <x:v>PA8</x:v>
      </x:c>
      <x:c r="D7" s="17" t="str">
        <x:v>67</x:v>
      </x:c>
      <x:c r="E7" s="17" t="str">
        <x:v>GPIO</x:v>
      </x:c>
      <x:c r="F7" s="17" t="str">
        <x:v>GPIO</x:v>
      </x:c>
      <x:c r="G7" s="17" t="str">
        <x:v>IN</x:v>
      </x:c>
      <x:c r="H7" s="17" t="str">
        <x:v>3V3</x:v>
      </x:c>
      <x:c r="I7" s="17" t="str">
        <x:v>3V3</x:v>
      </x:c>
      <x:c r="J7" s="17" t="str">
        <x:v>U18 SN74AXC1T45 from U17 OR of MIC_WAKE1..4</x:v>
      </x:c>
      <x:c r="K7" s="17" t="str">
        <x:v>DATASHEET_VERIFIED_CUBEMX_PENDING</x:v>
      </x:c>
      <x:c r="L7" s="17" t="str">
        <x:v>DS13086 Rev10 Figure 14 LQFP100_SMPS pinout + STM32U585VITxQ exact pin DB</x:v>
      </x:c>
      <x:c r="M7" s="17" t="str">
        <x:v>EXTI/wake source; T5838 WAKE signals remain individual at harness then OR at 1.8 V and translate to 3.3 V; verify Stop-mode wake in CubeMX</x:v>
      </x:c>
    </x:row>
    <x:row r="8" ht="15" hidden="0" customHeight="1">
      <x:c r="A8" s="17" t="str">
        <x:v>NOR_CLK</x:v>
      </x:c>
      <x:c r="B8" s="17" t="str">
        <x:v>QSPI NOR clock</x:v>
      </x:c>
      <x:c r="C8" s="17" t="str">
        <x:v>PE10</x:v>
      </x:c>
      <x:c r="D8" s="17" t="str">
        <x:v>38</x:v>
      </x:c>
      <x:c r="E8" s="17" t="str">
        <x:v>OCTOSPIM_P1_CLK</x:v>
      </x:c>
      <x:c r="F8" s="17" t="str">
        <x:v>AF10</x:v>
      </x:c>
      <x:c r="G8" s="17" t="str">
        <x:v>OUT</x:v>
      </x:c>
      <x:c r="H8" s="17" t="str">
        <x:v>3V3</x:v>
      </x:c>
      <x:c r="I8" s="17" t="str">
        <x:v>3V3</x:v>
      </x:c>
      <x:c r="J8" s="17" t="str">
        <x:v>W25Q512JVFIQ</x:v>
      </x:c>
      <x:c r="K8" s="17" t="str">
        <x:v>DATASHEET_VERIFIED_CUBEMX_PENDING</x:v>
      </x:c>
      <x:c r="L8" s="17" t="str">
        <x:v>STM32U585VITxQ.xml + DS13086 Rev10</x:v>
      </x:c>
      <x:c r="M8" s="17" t="str"/>
    </x:row>
    <x:row r="9" ht="15" hidden="0" customHeight="1">
      <x:c r="A9" s="17" t="str">
        <x:v>NOR_NCS</x:v>
      </x:c>
      <x:c r="B9" s="17" t="str">
        <x:v>QSPI NOR chip select</x:v>
      </x:c>
      <x:c r="C9" s="17" t="str">
        <x:v>PE11</x:v>
      </x:c>
      <x:c r="D9" s="17" t="str">
        <x:v>39</x:v>
      </x:c>
      <x:c r="E9" s="17" t="str">
        <x:v>OCTOSPIM_P1_NCS</x:v>
      </x:c>
      <x:c r="F9" s="17" t="str">
        <x:v>AF10</x:v>
      </x:c>
      <x:c r="G9" s="17" t="str">
        <x:v>OUT</x:v>
      </x:c>
      <x:c r="H9" s="17" t="str">
        <x:v>3V3</x:v>
      </x:c>
      <x:c r="I9" s="17" t="str">
        <x:v>3V3</x:v>
      </x:c>
      <x:c r="J9" s="17" t="str">
        <x:v>W25Q512JVFIQ</x:v>
      </x:c>
      <x:c r="K9" s="17" t="str">
        <x:v>DATASHEET_VERIFIED_CUBEMX_PENDING</x:v>
      </x:c>
      <x:c r="L9" s="17" t="str">
        <x:v>STM32U585VITxQ.xml + DS13086 Rev10</x:v>
      </x:c>
      <x:c r="M9" s="17" t="str"/>
    </x:row>
    <x:row r="10" ht="15" hidden="0" customHeight="1">
      <x:c r="A10" s="17" t="str">
        <x:v>NOR_IO0</x:v>
      </x:c>
      <x:c r="B10" s="17" t="str">
        <x:v>QSPI NOR IO0</x:v>
      </x:c>
      <x:c r="C10" s="17" t="str">
        <x:v>PE12</x:v>
      </x:c>
      <x:c r="D10" s="17" t="str">
        <x:v>40</x:v>
      </x:c>
      <x:c r="E10" s="17" t="str">
        <x:v>OCTOSPIM_P1_IO0</x:v>
      </x:c>
      <x:c r="F10" s="17" t="str">
        <x:v>AF10</x:v>
      </x:c>
      <x:c r="G10" s="17" t="str">
        <x:v>BIDIR</x:v>
      </x:c>
      <x:c r="H10" s="17" t="str">
        <x:v>3V3</x:v>
      </x:c>
      <x:c r="I10" s="17" t="str">
        <x:v>3V3</x:v>
      </x:c>
      <x:c r="J10" s="17" t="str">
        <x:v>W25Q512JVFIQ</x:v>
      </x:c>
      <x:c r="K10" s="17" t="str">
        <x:v>DATASHEET_VERIFIED_CUBEMX_PENDING</x:v>
      </x:c>
      <x:c r="L10" s="17" t="str">
        <x:v>STM32U585VITxQ.xml + DS13086 Rev10</x:v>
      </x:c>
      <x:c r="M10" s="17" t="str"/>
    </x:row>
    <x:row r="11" ht="15" hidden="0" customHeight="1">
      <x:c r="A11" s="17" t="str">
        <x:v>NOR_IO1</x:v>
      </x:c>
      <x:c r="B11" s="17" t="str">
        <x:v>QSPI NOR IO1</x:v>
      </x:c>
      <x:c r="C11" s="17" t="str">
        <x:v>PE13</x:v>
      </x:c>
      <x:c r="D11" s="17" t="str">
        <x:v>41</x:v>
      </x:c>
      <x:c r="E11" s="17" t="str">
        <x:v>OCTOSPIM_P1_IO1</x:v>
      </x:c>
      <x:c r="F11" s="17" t="str">
        <x:v>AF10</x:v>
      </x:c>
      <x:c r="G11" s="17" t="str">
        <x:v>BIDIR</x:v>
      </x:c>
      <x:c r="H11" s="17" t="str">
        <x:v>3V3</x:v>
      </x:c>
      <x:c r="I11" s="17" t="str">
        <x:v>3V3</x:v>
      </x:c>
      <x:c r="J11" s="17" t="str">
        <x:v>W25Q512JVFIQ</x:v>
      </x:c>
      <x:c r="K11" s="17" t="str">
        <x:v>DATASHEET_VERIFIED_CUBEMX_PENDING</x:v>
      </x:c>
      <x:c r="L11" s="17" t="str">
        <x:v>STM32U585VITxQ.xml + DS13086 Rev10</x:v>
      </x:c>
      <x:c r="M11" s="17" t="str"/>
    </x:row>
    <x:row r="12" ht="15" hidden="0" customHeight="1">
      <x:c r="A12" s="17" t="str">
        <x:v>NOR_IO2</x:v>
      </x:c>
      <x:c r="B12" s="17" t="str">
        <x:v>QSPI NOR IO2</x:v>
      </x:c>
      <x:c r="C12" s="17" t="str">
        <x:v>PE14</x:v>
      </x:c>
      <x:c r="D12" s="17" t="str">
        <x:v>42</x:v>
      </x:c>
      <x:c r="E12" s="17" t="str">
        <x:v>OCTOSPIM_P1_IO2</x:v>
      </x:c>
      <x:c r="F12" s="17" t="str">
        <x:v>AF10</x:v>
      </x:c>
      <x:c r="G12" s="17" t="str">
        <x:v>BIDIR</x:v>
      </x:c>
      <x:c r="H12" s="17" t="str">
        <x:v>3V3</x:v>
      </x:c>
      <x:c r="I12" s="17" t="str">
        <x:v>3V3</x:v>
      </x:c>
      <x:c r="J12" s="17" t="str">
        <x:v>W25Q512JVFIQ</x:v>
      </x:c>
      <x:c r="K12" s="17" t="str">
        <x:v>DATASHEET_VERIFIED_CUBEMX_PENDING</x:v>
      </x:c>
      <x:c r="L12" s="17" t="str">
        <x:v>STM32U585VITxQ.xml + DS13086 Rev10</x:v>
      </x:c>
      <x:c r="M12" s="17" t="str"/>
    </x:row>
    <x:row r="13" ht="15" hidden="0" customHeight="1">
      <x:c r="A13" s="17" t="str">
        <x:v>NOR_IO3</x:v>
      </x:c>
      <x:c r="B13" s="17" t="str">
        <x:v>QSPI NOR IO3</x:v>
      </x:c>
      <x:c r="C13" s="17" t="str">
        <x:v>PE15</x:v>
      </x:c>
      <x:c r="D13" s="17" t="str">
        <x:v>43</x:v>
      </x:c>
      <x:c r="E13" s="17" t="str">
        <x:v>OCTOSPIM_P1_IO3</x:v>
      </x:c>
      <x:c r="F13" s="17" t="str">
        <x:v>AF10</x:v>
      </x:c>
      <x:c r="G13" s="17" t="str">
        <x:v>BIDIR</x:v>
      </x:c>
      <x:c r="H13" s="17" t="str">
        <x:v>3V3</x:v>
      </x:c>
      <x:c r="I13" s="17" t="str">
        <x:v>3V3</x:v>
      </x:c>
      <x:c r="J13" s="17" t="str">
        <x:v>W25Q512JVFIQ</x:v>
      </x:c>
      <x:c r="K13" s="17" t="str">
        <x:v>DATASHEET_VERIFIED_CUBEMX_PENDING</x:v>
      </x:c>
      <x:c r="L13" s="17" t="str">
        <x:v>STM32U585VITxQ.xml + DS13086 Rev10</x:v>
      </x:c>
      <x:c r="M13" s="17" t="str"/>
    </x:row>
    <x:row r="14" ht="15" hidden="0" customHeight="1">
      <x:c r="A14" s="17" t="str">
        <x:v>SD_D0</x:v>
      </x:c>
      <x:c r="B14" s="17" t="str">
        <x:v>microSD data 0</x:v>
      </x:c>
      <x:c r="C14" s="17" t="str">
        <x:v>PC8</x:v>
      </x:c>
      <x:c r="D14" s="17" t="str">
        <x:v>65</x:v>
      </x:c>
      <x:c r="E14" s="17" t="str">
        <x:v>SDMMC1_D0</x:v>
      </x:c>
      <x:c r="F14" s="17" t="str">
        <x:v>AF12</x:v>
      </x:c>
      <x:c r="G14" s="17" t="str">
        <x:v>BIDIR</x:v>
      </x:c>
      <x:c r="H14" s="17" t="str">
        <x:v>3V3</x:v>
      </x:c>
      <x:c r="I14" s="17" t="str">
        <x:v>3V3</x:v>
      </x:c>
      <x:c r="J14" s="17" t="str">
        <x:v>microSD</x:v>
      </x:c>
      <x:c r="K14" s="17" t="str">
        <x:v>DATASHEET_VERIFIED_CUBEMX_PENDING</x:v>
      </x:c>
      <x:c r="L14" s="17" t="str">
        <x:v>STM32U585VITxQ.xml + DS13086 Rev10</x:v>
      </x:c>
      <x:c r="M14" s="17" t="str"/>
    </x:row>
    <x:row r="15" ht="15" hidden="0" customHeight="1">
      <x:c r="A15" s="17" t="str">
        <x:v>SD_D1</x:v>
      </x:c>
      <x:c r="B15" s="17" t="str">
        <x:v>microSD data 1</x:v>
      </x:c>
      <x:c r="C15" s="17" t="str">
        <x:v>PC9</x:v>
      </x:c>
      <x:c r="D15" s="17" t="str">
        <x:v>66</x:v>
      </x:c>
      <x:c r="E15" s="17" t="str">
        <x:v>SDMMC1_D1</x:v>
      </x:c>
      <x:c r="F15" s="17" t="str">
        <x:v>AF12</x:v>
      </x:c>
      <x:c r="G15" s="17" t="str">
        <x:v>BIDIR</x:v>
      </x:c>
      <x:c r="H15" s="17" t="str">
        <x:v>3V3</x:v>
      </x:c>
      <x:c r="I15" s="17" t="str">
        <x:v>3V3</x:v>
      </x:c>
      <x:c r="J15" s="17" t="str">
        <x:v>microSD</x:v>
      </x:c>
      <x:c r="K15" s="17" t="str">
        <x:v>DATASHEET_VERIFIED_CUBEMX_PENDING</x:v>
      </x:c>
      <x:c r="L15" s="17" t="str">
        <x:v>STM32U585VITxQ.xml + DS13086 Rev10</x:v>
      </x:c>
      <x:c r="M15" s="17" t="str"/>
    </x:row>
    <x:row r="16" ht="15" hidden="0" customHeight="1">
      <x:c r="A16" s="17" t="str">
        <x:v>SD_D2</x:v>
      </x:c>
      <x:c r="B16" s="17" t="str">
        <x:v>microSD data 2</x:v>
      </x:c>
      <x:c r="C16" s="17" t="str">
        <x:v>PC10</x:v>
      </x:c>
      <x:c r="D16" s="17" t="str">
        <x:v>78</x:v>
      </x:c>
      <x:c r="E16" s="17" t="str">
        <x:v>SDMMC1_D2</x:v>
      </x:c>
      <x:c r="F16" s="17" t="str">
        <x:v>AF12</x:v>
      </x:c>
      <x:c r="G16" s="17" t="str">
        <x:v>BIDIR</x:v>
      </x:c>
      <x:c r="H16" s="17" t="str">
        <x:v>3V3</x:v>
      </x:c>
      <x:c r="I16" s="17" t="str">
        <x:v>3V3</x:v>
      </x:c>
      <x:c r="J16" s="17" t="str">
        <x:v>microSD</x:v>
      </x:c>
      <x:c r="K16" s="17" t="str">
        <x:v>DATASHEET_VERIFIED_CUBEMX_PENDING</x:v>
      </x:c>
      <x:c r="L16" s="17" t="str">
        <x:v>STM32U585VITxQ.xml + DS13086 Rev10</x:v>
      </x:c>
      <x:c r="M16" s="17" t="str"/>
    </x:row>
    <x:row r="17" ht="15" hidden="0" customHeight="1">
      <x:c r="A17" s="17" t="str">
        <x:v>SD_D3</x:v>
      </x:c>
      <x:c r="B17" s="17" t="str">
        <x:v>microSD data 3</x:v>
      </x:c>
      <x:c r="C17" s="17" t="str">
        <x:v>PC11</x:v>
      </x:c>
      <x:c r="D17" s="17" t="str">
        <x:v>79</x:v>
      </x:c>
      <x:c r="E17" s="17" t="str">
        <x:v>SDMMC1_D3</x:v>
      </x:c>
      <x:c r="F17" s="17" t="str">
        <x:v>AF12</x:v>
      </x:c>
      <x:c r="G17" s="17" t="str">
        <x:v>BIDIR</x:v>
      </x:c>
      <x:c r="H17" s="17" t="str">
        <x:v>3V3</x:v>
      </x:c>
      <x:c r="I17" s="17" t="str">
        <x:v>3V3</x:v>
      </x:c>
      <x:c r="J17" s="17" t="str">
        <x:v>microSD</x:v>
      </x:c>
      <x:c r="K17" s="17" t="str">
        <x:v>DATASHEET_VERIFIED_CUBEMX_PENDING</x:v>
      </x:c>
      <x:c r="L17" s="17" t="str">
        <x:v>STM32U585VITxQ.xml + DS13086 Rev10</x:v>
      </x:c>
      <x:c r="M17" s="17" t="str"/>
    </x:row>
    <x:row r="18" ht="15" hidden="0" customHeight="1">
      <x:c r="A18" s="17" t="str">
        <x:v>SD_CK</x:v>
      </x:c>
      <x:c r="B18" s="17" t="str">
        <x:v>microSD clock</x:v>
      </x:c>
      <x:c r="C18" s="17" t="str">
        <x:v>PC12</x:v>
      </x:c>
      <x:c r="D18" s="17" t="str">
        <x:v>80</x:v>
      </x:c>
      <x:c r="E18" s="17" t="str">
        <x:v>SDMMC1_CK</x:v>
      </x:c>
      <x:c r="F18" s="17" t="str">
        <x:v>AF12</x:v>
      </x:c>
      <x:c r="G18" s="17" t="str">
        <x:v>OUT</x:v>
      </x:c>
      <x:c r="H18" s="17" t="str">
        <x:v>3V3</x:v>
      </x:c>
      <x:c r="I18" s="17" t="str">
        <x:v>3V3</x:v>
      </x:c>
      <x:c r="J18" s="17" t="str">
        <x:v>microSD</x:v>
      </x:c>
      <x:c r="K18" s="17" t="str">
        <x:v>DATASHEET_VERIFIED_CUBEMX_PENDING</x:v>
      </x:c>
      <x:c r="L18" s="17" t="str">
        <x:v>STM32U585VITxQ.xml + DS13086 Rev10</x:v>
      </x:c>
      <x:c r="M18" s="17" t="str"/>
    </x:row>
    <x:row r="19" ht="15" hidden="0" customHeight="1">
      <x:c r="A19" s="17" t="str">
        <x:v>SD_CMD</x:v>
      </x:c>
      <x:c r="B19" s="17" t="str">
        <x:v>microSD command</x:v>
      </x:c>
      <x:c r="C19" s="17" t="str">
        <x:v>PD2</x:v>
      </x:c>
      <x:c r="D19" s="17" t="str">
        <x:v>83</x:v>
      </x:c>
      <x:c r="E19" s="17" t="str">
        <x:v>SDMMC1_CMD</x:v>
      </x:c>
      <x:c r="F19" s="17" t="str">
        <x:v>AF12</x:v>
      </x:c>
      <x:c r="G19" s="17" t="str">
        <x:v>BIDIR</x:v>
      </x:c>
      <x:c r="H19" s="17" t="str">
        <x:v>3V3</x:v>
      </x:c>
      <x:c r="I19" s="17" t="str">
        <x:v>3V3</x:v>
      </x:c>
      <x:c r="J19" s="17" t="str">
        <x:v>microSD</x:v>
      </x:c>
      <x:c r="K19" s="17" t="str">
        <x:v>DATASHEET_VERIFIED_CUBEMX_PENDING</x:v>
      </x:c>
      <x:c r="L19" s="17" t="str">
        <x:v>STM32U585VITxQ.xml + DS13086 Rev10</x:v>
      </x:c>
      <x:c r="M19" s="17" t="str"/>
    </x:row>
    <x:row r="20" ht="15" hidden="0" customHeight="1">
      <x:c r="A20" s="17" t="str">
        <x:v>SD_DET</x:v>
      </x:c>
      <x:c r="B20" s="17" t="str">
        <x:v>microSD card detect</x:v>
      </x:c>
      <x:c r="C20" s="17" t="str">
        <x:v>PC13</x:v>
      </x:c>
      <x:c r="D20" s="17" t="str">
        <x:v>7</x:v>
      </x:c>
      <x:c r="E20" s="17" t="str">
        <x:v>GPIO</x:v>
      </x:c>
      <x:c r="F20" s="17" t="str">
        <x:v>GPIO</x:v>
      </x:c>
      <x:c r="G20" s="17" t="str">
        <x:v>IN</x:v>
      </x:c>
      <x:c r="H20" s="17" t="str">
        <x:v>3V3</x:v>
      </x:c>
      <x:c r="I20" s="17" t="str">
        <x:v>CONTACT</x:v>
      </x:c>
      <x:c r="J20" s="17" t="str">
        <x:v>microSD socket</x:v>
      </x:c>
      <x:c r="K20" s="17" t="str">
        <x:v>DATASHEET_VERIFIED_CUBEMX_PENDING</x:v>
      </x:c>
      <x:c r="L20" s="17" t="str">
        <x:v>STM32U585VITxQ.xml</x:v>
      </x:c>
      <x:c r="M20" s="17" t="str">
        <x:v>Slow GPIO suitable for detect</x:v>
      </x:c>
    </x:row>
    <x:row r="21" ht="15" hidden="0" customHeight="1">
      <x:c r="A21" s="17" t="str">
        <x:v>GNSS_TX</x:v>
      </x:c>
      <x:c r="B21" s="17" t="str">
        <x:v>GNSS UART transmit</x:v>
      </x:c>
      <x:c r="C21" s="17" t="str">
        <x:v>PA2</x:v>
      </x:c>
      <x:c r="D21" s="17" t="str">
        <x:v>24</x:v>
      </x:c>
      <x:c r="E21" s="17" t="str">
        <x:v>USART2_TX</x:v>
      </x:c>
      <x:c r="F21" s="17" t="str">
        <x:v>AF7</x:v>
      </x:c>
      <x:c r="G21" s="17" t="str">
        <x:v>OUT</x:v>
      </x:c>
      <x:c r="H21" s="17" t="str">
        <x:v>3V3</x:v>
      </x:c>
      <x:c r="I21" s="17" t="str">
        <x:v>3V3</x:v>
      </x:c>
      <x:c r="J21" s="17" t="str">
        <x:v>MAX-M10S</x:v>
      </x:c>
      <x:c r="K21" s="17" t="str">
        <x:v>DATASHEET_VERIFIED_CUBEMX_PENDING</x:v>
      </x:c>
      <x:c r="L21" s="17" t="str">
        <x:v>STM32U585VITxQ.xml + DS13086 Rev10</x:v>
      </x:c>
      <x:c r="M21" s="17" t="str">
        <x:v>MCU TX to GNSS RX</x:v>
      </x:c>
    </x:row>
    <x:row r="22" ht="15" hidden="0" customHeight="1">
      <x:c r="A22" s="17" t="str">
        <x:v>GNSS_RX</x:v>
      </x:c>
      <x:c r="B22" s="17" t="str">
        <x:v>GNSS UART receive</x:v>
      </x:c>
      <x:c r="C22" s="17" t="str">
        <x:v>PA3</x:v>
      </x:c>
      <x:c r="D22" s="17" t="str">
        <x:v>25</x:v>
      </x:c>
      <x:c r="E22" s="17" t="str">
        <x:v>USART2_RX</x:v>
      </x:c>
      <x:c r="F22" s="17" t="str">
        <x:v>AF7</x:v>
      </x:c>
      <x:c r="G22" s="17" t="str">
        <x:v>IN</x:v>
      </x:c>
      <x:c r="H22" s="17" t="str">
        <x:v>3V3</x:v>
      </x:c>
      <x:c r="I22" s="17" t="str">
        <x:v>3V3</x:v>
      </x:c>
      <x:c r="J22" s="17" t="str">
        <x:v>MAX-M10S</x:v>
      </x:c>
      <x:c r="K22" s="17" t="str">
        <x:v>DATASHEET_VERIFIED_CUBEMX_PENDING</x:v>
      </x:c>
      <x:c r="L22" s="17" t="str">
        <x:v>STM32U585VITxQ.xml + DS13086 Rev10</x:v>
      </x:c>
      <x:c r="M22" s="17" t="str">
        <x:v>GNSS TX to MCU RX</x:v>
      </x:c>
    </x:row>
    <x:row r="23" ht="15" hidden="0" customHeight="1">
      <x:c r="A23" s="17" t="str">
        <x:v>GNSS_PPS</x:v>
      </x:c>
      <x:c r="B23" s="17" t="str">
        <x:v>GNSS TIMEPULSE timestamp</x:v>
      </x:c>
      <x:c r="C23" s="17" t="str">
        <x:v>PA0</x:v>
      </x:c>
      <x:c r="D23" s="17" t="str">
        <x:v>22</x:v>
      </x:c>
      <x:c r="E23" s="17" t="str">
        <x:v>TIM2_CH1</x:v>
      </x:c>
      <x:c r="F23" s="17" t="str">
        <x:v>AF1</x:v>
      </x:c>
      <x:c r="G23" s="17" t="str">
        <x:v>IN</x:v>
      </x:c>
      <x:c r="H23" s="17" t="str">
        <x:v>3V3</x:v>
      </x:c>
      <x:c r="I23" s="17" t="str">
        <x:v>3V3</x:v>
      </x:c>
      <x:c r="J23" s="17" t="str">
        <x:v>MAX-M10S</x:v>
      </x:c>
      <x:c r="K23" s="17" t="str">
        <x:v>DATASHEET_VERIFIED_CUBEMX_PENDING</x:v>
      </x:c>
      <x:c r="L23" s="17" t="str">
        <x:v>STM32U585VITxQ.xml + DS13086 Rev10</x:v>
      </x:c>
      <x:c r="M23" s="17" t="str">
        <x:v>Timer input capture</x:v>
      </x:c>
    </x:row>
    <x:row r="24" ht="15" hidden="0" customHeight="1">
      <x:c r="A24" s="17" t="str">
        <x:v>LORA_NSS</x:v>
      </x:c>
      <x:c r="B24" s="17" t="str">
        <x:v>LoRa SPI chip select</x:v>
      </x:c>
      <x:c r="C24" s="17" t="str">
        <x:v>PA4</x:v>
      </x:c>
      <x:c r="D24" s="17" t="str">
        <x:v>28</x:v>
      </x:c>
      <x:c r="E24" s="17" t="str">
        <x:v>SPI1_NSS</x:v>
      </x:c>
      <x:c r="F24" s="17" t="str">
        <x:v>AF5</x:v>
      </x:c>
      <x:c r="G24" s="17" t="str">
        <x:v>OUT</x:v>
      </x:c>
      <x:c r="H24" s="17" t="str">
        <x:v>3V3</x:v>
      </x:c>
      <x:c r="I24" s="17" t="str">
        <x:v>3V3</x:v>
      </x:c>
      <x:c r="J24" s="17" t="str">
        <x:v>E22-900M22S</x:v>
      </x:c>
      <x:c r="K24" s="17" t="str">
        <x:v>DATASHEET_VERIFIED_CUBEMX_PENDING</x:v>
      </x:c>
      <x:c r="L24" s="17" t="str">
        <x:v>STM32U585VITxQ.xml + DS13086 Rev10</x:v>
      </x:c>
      <x:c r="M24" s="17" t="str"/>
    </x:row>
    <x:row r="25" ht="15" hidden="0" customHeight="1">
      <x:c r="A25" s="17" t="str">
        <x:v>LORA_SCK</x:v>
      </x:c>
      <x:c r="B25" s="17" t="str">
        <x:v>LoRa SPI clock</x:v>
      </x:c>
      <x:c r="C25" s="17" t="str">
        <x:v>PA5</x:v>
      </x:c>
      <x:c r="D25" s="17" t="str">
        <x:v>29</x:v>
      </x:c>
      <x:c r="E25" s="17" t="str">
        <x:v>SPI1_SCK</x:v>
      </x:c>
      <x:c r="F25" s="17" t="str">
        <x:v>AF5</x:v>
      </x:c>
      <x:c r="G25" s="17" t="str">
        <x:v>OUT</x:v>
      </x:c>
      <x:c r="H25" s="17" t="str">
        <x:v>3V3</x:v>
      </x:c>
      <x:c r="I25" s="17" t="str">
        <x:v>3V3</x:v>
      </x:c>
      <x:c r="J25" s="17" t="str">
        <x:v>E22-900M22S</x:v>
      </x:c>
      <x:c r="K25" s="17" t="str">
        <x:v>DATASHEET_VERIFIED_CUBEMX_PENDING</x:v>
      </x:c>
      <x:c r="L25" s="17" t="str">
        <x:v>STM32U585VITxQ.xml + DS13086 Rev10</x:v>
      </x:c>
      <x:c r="M25" s="17" t="str"/>
    </x:row>
    <x:row r="26" ht="15" hidden="0" customHeight="1">
      <x:c r="A26" s="17" t="str">
        <x:v>LORA_MISO</x:v>
      </x:c>
      <x:c r="B26" s="17" t="str">
        <x:v>LoRa SPI MISO</x:v>
      </x:c>
      <x:c r="C26" s="17" t="str">
        <x:v>PA6</x:v>
      </x:c>
      <x:c r="D26" s="17" t="str">
        <x:v>30</x:v>
      </x:c>
      <x:c r="E26" s="17" t="str">
        <x:v>SPI1_MISO</x:v>
      </x:c>
      <x:c r="F26" s="17" t="str">
        <x:v>AF5</x:v>
      </x:c>
      <x:c r="G26" s="17" t="str">
        <x:v>IN</x:v>
      </x:c>
      <x:c r="H26" s="17" t="str">
        <x:v>3V3</x:v>
      </x:c>
      <x:c r="I26" s="17" t="str">
        <x:v>3V3</x:v>
      </x:c>
      <x:c r="J26" s="17" t="str">
        <x:v>E22-900M22S</x:v>
      </x:c>
      <x:c r="K26" s="17" t="str">
        <x:v>DATASHEET_VERIFIED_CUBEMX_PENDING</x:v>
      </x:c>
      <x:c r="L26" s="17" t="str">
        <x:v>STM32U585VITxQ.xml + DS13086 Rev10</x:v>
      </x:c>
      <x:c r="M26" s="17" t="str"/>
    </x:row>
    <x:row r="27" ht="15" hidden="0" customHeight="1">
      <x:c r="A27" s="17" t="str">
        <x:v>LORA_MOSI</x:v>
      </x:c>
      <x:c r="B27" s="17" t="str">
        <x:v>LoRa SPI MOSI</x:v>
      </x:c>
      <x:c r="C27" s="17" t="str">
        <x:v>PA7</x:v>
      </x:c>
      <x:c r="D27" s="17" t="str">
        <x:v>31</x:v>
      </x:c>
      <x:c r="E27" s="17" t="str">
        <x:v>SPI1_MOSI</x:v>
      </x:c>
      <x:c r="F27" s="17" t="str">
        <x:v>AF5</x:v>
      </x:c>
      <x:c r="G27" s="17" t="str">
        <x:v>OUT</x:v>
      </x:c>
      <x:c r="H27" s="17" t="str">
        <x:v>3V3</x:v>
      </x:c>
      <x:c r="I27" s="17" t="str">
        <x:v>3V3</x:v>
      </x:c>
      <x:c r="J27" s="17" t="str">
        <x:v>E22-900M22S</x:v>
      </x:c>
      <x:c r="K27" s="17" t="str">
        <x:v>DATASHEET_VERIFIED_CUBEMX_PENDING</x:v>
      </x:c>
      <x:c r="L27" s="17" t="str">
        <x:v>STM32U585VITxQ.xml + DS13086 Rev10</x:v>
      </x:c>
      <x:c r="M27" s="17" t="str"/>
    </x:row>
    <x:row r="28" ht="15" hidden="0" customHeight="1">
      <x:c r="A28" s="17" t="str">
        <x:v>LORA_DIO1</x:v>
      </x:c>
      <x:c r="B28" s="17" t="str">
        <x:v>LoRa interrupt</x:v>
      </x:c>
      <x:c r="C28" s="17" t="str">
        <x:v>PC2</x:v>
      </x:c>
      <x:c r="D28" s="17" t="str">
        <x:v>17</x:v>
      </x:c>
      <x:c r="E28" s="17" t="str">
        <x:v>GPIO</x:v>
      </x:c>
      <x:c r="F28" s="17" t="str">
        <x:v>GPIO</x:v>
      </x:c>
      <x:c r="G28" s="17" t="str">
        <x:v>IN</x:v>
      </x:c>
      <x:c r="H28" s="17" t="str">
        <x:v>3V3</x:v>
      </x:c>
      <x:c r="I28" s="17" t="str">
        <x:v>3V3</x:v>
      </x:c>
      <x:c r="J28" s="17" t="str">
        <x:v>E22-900M22S</x:v>
      </x:c>
      <x:c r="K28" s="17" t="str">
        <x:v>DATASHEET_VERIFIED_CUBEMX_GENERATED_OPEN_PENDING</x:v>
      </x:c>
      <x:c r="L28" s="17" t="str">
        <x:v>STM32U585VITxQ.xml CubeMX DB.6.0.120</x:v>
      </x:c>
      <x:c r="M28" s="17" t="str">
        <x:v>EXTI2; moved from PD8 to remove the PA8/PD8 EXTI8 source conflict while preserving MIC_WAKE on PA8</x:v>
      </x:c>
    </x:row>
    <x:row r="29" ht="15" hidden="0" customHeight="1">
      <x:c r="A29" s="17" t="str">
        <x:v>LORA_TXEN</x:v>
      </x:c>
      <x:c r="B29" s="17" t="str">
        <x:v>LoRa RF switch transmit enable</x:v>
      </x:c>
      <x:c r="C29" s="17" t="str">
        <x:v>PB15</x:v>
      </x:c>
      <x:c r="D29" s="17" t="str">
        <x:v>54</x:v>
      </x:c>
      <x:c r="E29" s="17" t="str">
        <x:v>GPIO</x:v>
      </x:c>
      <x:c r="F29" s="17" t="str">
        <x:v>GPIO</x:v>
      </x:c>
      <x:c r="G29" s="17" t="str">
        <x:v>OUT</x:v>
      </x:c>
      <x:c r="H29" s="17" t="str">
        <x:v>3V3</x:v>
      </x:c>
      <x:c r="I29" s="17" t="str">
        <x:v>3V3</x:v>
      </x:c>
      <x:c r="J29" s="17" t="str">
        <x:v>E22-900M22S</x:v>
      </x:c>
      <x:c r="K29" s="17" t="str">
        <x:v>DATASHEET_VERIFIED_CUBEMX_GENERATED_OPEN_PENDING</x:v>
      </x:c>
      <x:c r="L29" s="17" t="str">
        <x:v>STM32U585VITxQ.xml CubeMX DB.6.0.120 + Ebyte E22-M v1.2</x:v>
      </x:c>
      <x:c r="M29" s="17" t="str">
        <x:v>Active HIGH; external 100 kOhm pull-down; initialize LOW; mutually exclusive with LORA_RXEN</x:v>
      </x:c>
    </x:row>
    <x:row r="30" ht="15" hidden="0" customHeight="1">
      <x:c r="A30" s="17" t="str">
        <x:v>LORA_RXEN</x:v>
      </x:c>
      <x:c r="B30" s="17" t="str">
        <x:v>LoRa RF switch receive enable</x:v>
      </x:c>
      <x:c r="C30" s="17" t="str">
        <x:v>PD8</x:v>
      </x:c>
      <x:c r="D30" s="17" t="str">
        <x:v>55</x:v>
      </x:c>
      <x:c r="E30" s="17" t="str">
        <x:v>GPIO</x:v>
      </x:c>
      <x:c r="F30" s="17" t="str">
        <x:v>GPIO</x:v>
      </x:c>
      <x:c r="G30" s="17" t="str">
        <x:v>OUT</x:v>
      </x:c>
      <x:c r="H30" s="17" t="str">
        <x:v>3V3</x:v>
      </x:c>
      <x:c r="I30" s="17" t="str">
        <x:v>3V3</x:v>
      </x:c>
      <x:c r="J30" s="17" t="str">
        <x:v>E22-900M22S</x:v>
      </x:c>
      <x:c r="K30" s="17" t="str">
        <x:v>DATASHEET_VERIFIED_CUBEMX_GENERATED_OPEN_PENDING</x:v>
      </x:c>
      <x:c r="L30" s="17" t="str">
        <x:v>STM32U585VITxQ.xml CubeMX DB.6.0.120 + Ebyte E22-M v1.2</x:v>
      </x:c>
      <x:c r="M30" s="17" t="str">
        <x:v>Active HIGH; external 100 kOhm pull-down; initialize LOW; mutually exclusive with LORA_TXEN</x:v>
      </x:c>
    </x:row>
    <x:row r="31" ht="15" hidden="0" customHeight="1">
      <x:c r="A31" s="17" t="str">
        <x:v>LORA_BUSY</x:v>
      </x:c>
      <x:c r="B31" s="17" t="str">
        <x:v>LoRa busy</x:v>
      </x:c>
      <x:c r="C31" s="17" t="str">
        <x:v>PD9</x:v>
      </x:c>
      <x:c r="D31" s="17" t="str">
        <x:v>56</x:v>
      </x:c>
      <x:c r="E31" s="17" t="str">
        <x:v>GPIO</x:v>
      </x:c>
      <x:c r="F31" s="17" t="str">
        <x:v>GPIO</x:v>
      </x:c>
      <x:c r="G31" s="17" t="str">
        <x:v>IN</x:v>
      </x:c>
      <x:c r="H31" s="17" t="str">
        <x:v>3V3</x:v>
      </x:c>
      <x:c r="I31" s="17" t="str">
        <x:v>3V3</x:v>
      </x:c>
      <x:c r="J31" s="17" t="str">
        <x:v>E22-900M22S</x:v>
      </x:c>
      <x:c r="K31" s="17" t="str">
        <x:v>DATASHEET_VERIFIED_CUBEMX_PENDING</x:v>
      </x:c>
      <x:c r="L31" s="17" t="str">
        <x:v>STM32U585VITxQ.xml</x:v>
      </x:c>
      <x:c r="M31" s="17" t="str"/>
    </x:row>
    <x:row r="32" ht="15" hidden="0" customHeight="1">
      <x:c r="A32" s="17" t="str">
        <x:v>LORA_RESET_N</x:v>
      </x:c>
      <x:c r="B32" s="17" t="str">
        <x:v>LoRa reset</x:v>
      </x:c>
      <x:c r="C32" s="17" t="str">
        <x:v>PD10</x:v>
      </x:c>
      <x:c r="D32" s="17" t="str">
        <x:v>57</x:v>
      </x:c>
      <x:c r="E32" s="17" t="str">
        <x:v>GPIO</x:v>
      </x:c>
      <x:c r="F32" s="17" t="str">
        <x:v>GPIO</x:v>
      </x:c>
      <x:c r="G32" s="17" t="str">
        <x:v>OUT</x:v>
      </x:c>
      <x:c r="H32" s="17" t="str">
        <x:v>3V3</x:v>
      </x:c>
      <x:c r="I32" s="17" t="str">
        <x:v>3V3</x:v>
      </x:c>
      <x:c r="J32" s="17" t="str">
        <x:v>E22-900M22S</x:v>
      </x:c>
      <x:c r="K32" s="17" t="str">
        <x:v>DATASHEET_VERIFIED_CUBEMX_PENDING</x:v>
      </x:c>
      <x:c r="L32" s="17" t="str">
        <x:v>STM32U585VITxQ.xml</x:v>
      </x:c>
      <x:c r="M32" s="17" t="str">
        <x:v>Default inactive</x:v>
      </x:c>
    </x:row>
    <x:row r="33" ht="15" hidden="0" customHeight="1">
      <x:c r="A33" s="17" t="str">
        <x:v>CELL_TX</x:v>
      </x:c>
      <x:c r="B33" s="17" t="str">
        <x:v>Cellular main UART transmit</x:v>
      </x:c>
      <x:c r="C33" s="17" t="str">
        <x:v>PB6</x:v>
      </x:c>
      <x:c r="D33" s="17" t="str">
        <x:v>92</x:v>
      </x:c>
      <x:c r="E33" s="17" t="str">
        <x:v>USART1_TX</x:v>
      </x:c>
      <x:c r="F33" s="17" t="str">
        <x:v>AF7</x:v>
      </x:c>
      <x:c r="G33" s="17" t="str">
        <x:v>OUT</x:v>
      </x:c>
      <x:c r="H33" s="17" t="str">
        <x:v>3V3</x:v>
      </x:c>
      <x:c r="I33" s="17" t="str">
        <x:v>1V8</x:v>
      </x:c>
      <x:c r="J33" s="17" t="str">
        <x:v>BG95-M3</x:v>
      </x:c>
      <x:c r="K33" s="17" t="str">
        <x:v>DATASHEET_VERIFIED_CUBEMX_PENDING</x:v>
      </x:c>
      <x:c r="L33" s="17" t="str">
        <x:v>STM32U585VITxQ.xml + DS13086 Rev10 + Quectel BG95 HW Design</x:v>
      </x:c>
      <x:c r="M33" s="17" t="str">
        <x:v>Directional level translation mandatory</x:v>
      </x:c>
    </x:row>
    <x:row r="34" ht="15" hidden="0" customHeight="1">
      <x:c r="A34" s="17" t="str">
        <x:v>CELL_RX</x:v>
      </x:c>
      <x:c r="B34" s="17" t="str">
        <x:v>Cellular main UART receive</x:v>
      </x:c>
      <x:c r="C34" s="17" t="str">
        <x:v>PB7</x:v>
      </x:c>
      <x:c r="D34" s="17" t="str">
        <x:v>93</x:v>
      </x:c>
      <x:c r="E34" s="17" t="str">
        <x:v>USART1_RX</x:v>
      </x:c>
      <x:c r="F34" s="17" t="str">
        <x:v>AF7</x:v>
      </x:c>
      <x:c r="G34" s="17" t="str">
        <x:v>IN</x:v>
      </x:c>
      <x:c r="H34" s="17" t="str">
        <x:v>3V3</x:v>
      </x:c>
      <x:c r="I34" s="17" t="str">
        <x:v>1V8</x:v>
      </x:c>
      <x:c r="J34" s="17" t="str">
        <x:v>BG95-M3</x:v>
      </x:c>
      <x:c r="K34" s="17" t="str">
        <x:v>DATASHEET_VERIFIED_CUBEMX_PENDING</x:v>
      </x:c>
      <x:c r="L34" s="17" t="str">
        <x:v>STM32U585VITxQ.xml + DS13086 Rev10 + Quectel BG95 HW Design</x:v>
      </x:c>
      <x:c r="M34" s="17" t="str">
        <x:v>Directional level translation mandatory</x:v>
      </x:c>
    </x:row>
    <x:row r="35" ht="15" hidden="0" customHeight="1">
      <x:c r="A35" s="17" t="str">
        <x:v>CELL_PWRKEY_CMD</x:v>
      </x:c>
      <x:c r="B35" s="17" t="str">
        <x:v>Cellular PWRKEY control</x:v>
      </x:c>
      <x:c r="C35" s="17" t="str">
        <x:v>PD11</x:v>
      </x:c>
      <x:c r="D35" s="17" t="str">
        <x:v>58</x:v>
      </x:c>
      <x:c r="E35" s="17" t="str">
        <x:v>GPIO</x:v>
      </x:c>
      <x:c r="F35" s="17" t="str">
        <x:v>GPIO</x:v>
      </x:c>
      <x:c r="G35" s="17" t="str">
        <x:v>OUT</x:v>
      </x:c>
      <x:c r="H35" s="17" t="str">
        <x:v>3V3</x:v>
      </x:c>
      <x:c r="I35" s="17" t="str">
        <x:v>1V8_CONTROL</x:v>
      </x:c>
      <x:c r="J35" s="17" t="str">
        <x:v>BG95-M3</x:v>
      </x:c>
      <x:c r="K35" s="17" t="str">
        <x:v>DATASHEET_VERIFIED_CUBEMX_PENDING</x:v>
      </x:c>
      <x:c r="L35" s="17" t="str">
        <x:v>STM32U585VITxQ.xml + Quectel BG95 HW Design</x:v>
      </x:c>
      <x:c r="M35" s="17" t="str">
        <x:v>Use approved open-drain/transistor interface not direct 3V3 drive</x:v>
      </x:c>
    </x:row>
    <x:row r="36" ht="15" hidden="0" customHeight="1">
      <x:c r="A36" s="17" t="str">
        <x:v>CELL_RESET_N_CMD</x:v>
      </x:c>
      <x:c r="B36" s="17" t="str">
        <x:v>Cellular reset control</x:v>
      </x:c>
      <x:c r="C36" s="17" t="str">
        <x:v>PD12</x:v>
      </x:c>
      <x:c r="D36" s="17" t="str">
        <x:v>59</x:v>
      </x:c>
      <x:c r="E36" s="17" t="str">
        <x:v>GPIO</x:v>
      </x:c>
      <x:c r="F36" s="17" t="str">
        <x:v>GPIO</x:v>
      </x:c>
      <x:c r="G36" s="17" t="str">
        <x:v>OUT</x:v>
      </x:c>
      <x:c r="H36" s="17" t="str">
        <x:v>3V3</x:v>
      </x:c>
      <x:c r="I36" s="17" t="str">
        <x:v>1V8_CONTROL</x:v>
      </x:c>
      <x:c r="J36" s="17" t="str">
        <x:v>BG95-M3</x:v>
      </x:c>
      <x:c r="K36" s="17" t="str">
        <x:v>DATASHEET_VERIFIED_CUBEMX_PENDING</x:v>
      </x:c>
      <x:c r="L36" s="17" t="str">
        <x:v>STM32U585VITxQ.xml + Quectel BG95 HW Design</x:v>
      </x:c>
      <x:c r="M36" s="17" t="str">
        <x:v>Use approved interface</x:v>
      </x:c>
    </x:row>
    <x:row r="37" ht="15" hidden="0" customHeight="1">
      <x:c r="A37" s="17" t="str">
        <x:v>CELL_STATUS</x:v>
      </x:c>
      <x:c r="B37" s="17" t="str">
        <x:v>Cellular status input</x:v>
      </x:c>
      <x:c r="C37" s="17" t="str">
        <x:v>PD13</x:v>
      </x:c>
      <x:c r="D37" s="17" t="str">
        <x:v>60</x:v>
      </x:c>
      <x:c r="E37" s="17" t="str">
        <x:v>GPIO</x:v>
      </x:c>
      <x:c r="F37" s="17" t="str">
        <x:v>GPIO</x:v>
      </x:c>
      <x:c r="G37" s="17" t="str">
        <x:v>IN</x:v>
      </x:c>
      <x:c r="H37" s="17" t="str">
        <x:v>3V3</x:v>
      </x:c>
      <x:c r="I37" s="17" t="str">
        <x:v>1V8</x:v>
      </x:c>
      <x:c r="J37" s="17" t="str">
        <x:v>BG95-M3</x:v>
      </x:c>
      <x:c r="K37" s="17" t="str">
        <x:v>DATASHEET_VERIFIED_CUBEMX_PENDING</x:v>
      </x:c>
      <x:c r="L37" s="17" t="str">
        <x:v>STM32U585VITxQ.xml + Quectel BG95 HW Design</x:v>
      </x:c>
      <x:c r="M37" s="17" t="str">
        <x:v>Level translate if VIH margin not guaranteed</x:v>
      </x:c>
    </x:row>
    <x:row r="38" ht="15" hidden="0" customHeight="1">
      <x:c r="A38" s="17" t="str">
        <x:v>CELL_DTR</x:v>
      </x:c>
      <x:c r="B38" s="17" t="str">
        <x:v>Cellular DTR control</x:v>
      </x:c>
      <x:c r="C38" s="17" t="str">
        <x:v>PD14</x:v>
      </x:c>
      <x:c r="D38" s="17" t="str">
        <x:v>61</x:v>
      </x:c>
      <x:c r="E38" s="17" t="str">
        <x:v>GPIO</x:v>
      </x:c>
      <x:c r="F38" s="17" t="str">
        <x:v>GPIO</x:v>
      </x:c>
      <x:c r="G38" s="17" t="str">
        <x:v>OUT</x:v>
      </x:c>
      <x:c r="H38" s="17" t="str">
        <x:v>3V3</x:v>
      </x:c>
      <x:c r="I38" s="17" t="str">
        <x:v>1V8</x:v>
      </x:c>
      <x:c r="J38" s="17" t="str">
        <x:v>BG95-M3</x:v>
      </x:c>
      <x:c r="K38" s="17" t="str">
        <x:v>DATASHEET_VERIFIED_CUBEMX_PENDING</x:v>
      </x:c>
      <x:c r="L38" s="17" t="str">
        <x:v>STM32U585VITxQ.xml + Quectel BG95 HW Design</x:v>
      </x:c>
      <x:c r="M38" s="17" t="str">
        <x:v>Level translation mandatory</x:v>
      </x:c>
    </x:row>
    <x:row r="39" ht="15" hidden="0" customHeight="1">
      <x:c r="A39" s="17" t="str">
        <x:v>CELL_RI</x:v>
      </x:c>
      <x:c r="B39" s="17" t="str">
        <x:v>Cellular ring indicator</x:v>
      </x:c>
      <x:c r="C39" s="17" t="str">
        <x:v>PD15</x:v>
      </x:c>
      <x:c r="D39" s="17" t="str">
        <x:v>62</x:v>
      </x:c>
      <x:c r="E39" s="17" t="str">
        <x:v>GPIO</x:v>
      </x:c>
      <x:c r="F39" s="17" t="str">
        <x:v>GPIO</x:v>
      </x:c>
      <x:c r="G39" s="17" t="str">
        <x:v>IN</x:v>
      </x:c>
      <x:c r="H39" s="17" t="str">
        <x:v>3V3</x:v>
      </x:c>
      <x:c r="I39" s="17" t="str">
        <x:v>1V8</x:v>
      </x:c>
      <x:c r="J39" s="17" t="str">
        <x:v>BG95-M3</x:v>
      </x:c>
      <x:c r="K39" s="17" t="str">
        <x:v>DATASHEET_VERIFIED_CUBEMX_PENDING</x:v>
      </x:c>
      <x:c r="L39" s="17" t="str">
        <x:v>STM32U585VITxQ.xml + Quectel BG95 HW Design</x:v>
      </x:c>
      <x:c r="M39" s="17" t="str">
        <x:v>Level translation mandatory</x:v>
      </x:c>
    </x:row>
    <x:row r="40" ht="15" hidden="0" customHeight="1">
      <x:c r="A40" s="17" t="str">
        <x:v>SIM_MUX_SEL</x:v>
      </x:c>
      <x:c r="B40" s="17" t="str">
        <x:v>Dual-SIM mux select</x:v>
      </x:c>
      <x:c r="C40" s="17" t="str">
        <x:v>PE0</x:v>
      </x:c>
      <x:c r="D40" s="17" t="str">
        <x:v>97</x:v>
      </x:c>
      <x:c r="E40" s="17" t="str">
        <x:v>GPIO</x:v>
      </x:c>
      <x:c r="F40" s="17" t="str">
        <x:v>GPIO</x:v>
      </x:c>
      <x:c r="G40" s="17" t="str">
        <x:v>OUT</x:v>
      </x:c>
      <x:c r="H40" s="17" t="str">
        <x:v>3V3</x:v>
      </x:c>
      <x:c r="I40" s="17" t="str">
        <x:v>3V3_CTRL</x:v>
      </x:c>
      <x:c r="J40" s="17" t="str">
        <x:v>SIM mux</x:v>
      </x:c>
      <x:c r="K40" s="17" t="str">
        <x:v>DATASHEET_VERIFIED_CUBEMX_PENDING</x:v>
      </x:c>
      <x:c r="L40" s="17" t="str">
        <x:v>STM32U585VITxQ.xml</x:v>
      </x:c>
      <x:c r="M40" s="17" t="str">
        <x:v>Safe default selects SIM1; switching only with modem USIM off</x:v>
      </x:c>
    </x:row>
    <x:row r="41" ht="15" hidden="0" customHeight="1">
      <x:c r="A41" s="17" t="str">
        <x:v>SIM_MUX_EN</x:v>
      </x:c>
      <x:c r="B41" s="17" t="str">
        <x:v>Dual-SIM mux enable</x:v>
      </x:c>
      <x:c r="C41" s="17" t="str">
        <x:v>PE2</x:v>
      </x:c>
      <x:c r="D41" s="17" t="str">
        <x:v>1</x:v>
      </x:c>
      <x:c r="E41" s="17" t="str">
        <x:v>GPIO</x:v>
      </x:c>
      <x:c r="F41" s="17" t="str">
        <x:v>GPIO</x:v>
      </x:c>
      <x:c r="G41" s="17" t="str">
        <x:v>OUT</x:v>
      </x:c>
      <x:c r="H41" s="17" t="str">
        <x:v>3V3</x:v>
      </x:c>
      <x:c r="I41" s="17" t="str">
        <x:v>3V3_CTRL</x:v>
      </x:c>
      <x:c r="J41" s="17" t="str">
        <x:v>SIM mux</x:v>
      </x:c>
      <x:c r="K41" s="17" t="str">
        <x:v>DATASHEET_VERIFIED_CUBEMX_PENDING</x:v>
      </x:c>
      <x:c r="L41" s="17" t="str">
        <x:v>STM32U585VITxQ.xml</x:v>
      </x:c>
      <x:c r="M41" s="17" t="str">
        <x:v>Safe default disabled during reset</x:v>
      </x:c>
    </x:row>
    <x:row r="42" ht="15" hidden="0" customHeight="1">
      <x:c r="A42" s="17" t="str">
        <x:v>SIM1_DET</x:v>
      </x:c>
      <x:c r="B42" s="17" t="str">
        <x:v>SIM1 card detect</x:v>
      </x:c>
      <x:c r="C42" s="17" t="str">
        <x:v>PE3</x:v>
      </x:c>
      <x:c r="D42" s="17" t="str">
        <x:v>2</x:v>
      </x:c>
      <x:c r="E42" s="17" t="str">
        <x:v>GPIO</x:v>
      </x:c>
      <x:c r="F42" s="17" t="str">
        <x:v>GPIO</x:v>
      </x:c>
      <x:c r="G42" s="17" t="str">
        <x:v>IN</x:v>
      </x:c>
      <x:c r="H42" s="17" t="str">
        <x:v>3V3</x:v>
      </x:c>
      <x:c r="I42" s="17" t="str">
        <x:v>CONTACT</x:v>
      </x:c>
      <x:c r="J42" s="17" t="str">
        <x:v>SIM1 socket</x:v>
      </x:c>
      <x:c r="K42" s="17" t="str">
        <x:v>DATASHEET_VERIFIED_CUBEMX_PENDING</x:v>
      </x:c>
      <x:c r="L42" s="17" t="str">
        <x:v>STM32U585VITxQ.xml</x:v>
      </x:c>
      <x:c r="M42" s="17" t="str"/>
    </x:row>
    <x:row r="43" ht="15" hidden="0" customHeight="1">
      <x:c r="A43" s="17" t="str">
        <x:v>SIM2_DET</x:v>
      </x:c>
      <x:c r="B43" s="17" t="str">
        <x:v>SIM2 card detect</x:v>
      </x:c>
      <x:c r="C43" s="17" t="str">
        <x:v>PE5</x:v>
      </x:c>
      <x:c r="D43" s="17" t="str">
        <x:v>4</x:v>
      </x:c>
      <x:c r="E43" s="17" t="str">
        <x:v>GPIO</x:v>
      </x:c>
      <x:c r="F43" s="17" t="str">
        <x:v>GPIO</x:v>
      </x:c>
      <x:c r="G43" s="17" t="str">
        <x:v>IN</x:v>
      </x:c>
      <x:c r="H43" s="17" t="str">
        <x:v>3V3</x:v>
      </x:c>
      <x:c r="I43" s="17" t="str">
        <x:v>CONTACT</x:v>
      </x:c>
      <x:c r="J43" s="17" t="str">
        <x:v>SIM2 socket</x:v>
      </x:c>
      <x:c r="K43" s="17" t="str">
        <x:v>DATASHEET_VERIFIED_CUBEMX_PENDING</x:v>
      </x:c>
      <x:c r="L43" s="17" t="str">
        <x:v>STM32U585VITxQ.xml</x:v>
      </x:c>
      <x:c r="M43" s="17" t="str"/>
    </x:row>
    <x:row r="44" ht="15" hidden="0" customHeight="1">
      <x:c r="A44" s="17" t="str">
        <x:v>BLE_TX</x:v>
      </x:c>
      <x:c r="B44" s="17" t="str">
        <x:v>BLE service UART transmit</x:v>
      </x:c>
      <x:c r="C44" s="17" t="str">
        <x:v>PB10</x:v>
      </x:c>
      <x:c r="D44" s="17" t="str">
        <x:v>44</x:v>
      </x:c>
      <x:c r="E44" s="17" t="str">
        <x:v>USART3_TX</x:v>
      </x:c>
      <x:c r="F44" s="17" t="str">
        <x:v>AF7</x:v>
      </x:c>
      <x:c r="G44" s="17" t="str">
        <x:v>OUT</x:v>
      </x:c>
      <x:c r="H44" s="17" t="str">
        <x:v>3V3</x:v>
      </x:c>
      <x:c r="I44" s="17" t="str">
        <x:v>3V3</x:v>
      </x:c>
      <x:c r="J44" s="17" t="str">
        <x:v>Raytac MDBT50Q-P1MV2 nRF52840</x:v>
      </x:c>
      <x:c r="K44" s="17" t="str">
        <x:v>AUTHORITY_LOCKED_CUBEMX_PENDING</x:v>
      </x:c>
      <x:c r="L44" s="17" t="str">
        <x:v>STM32U585VITxQ.xml + DS13086 Rev10 + PCB_MAIN_BLE_PIN_AUTHORITY_REV_A.csv</x:v>
      </x:c>
      <x:c r="M44" s="17" t="str">
        <x:v>MCU TX drives U11 pad24 P0.08 UARTE RX through a populated 22 Ohm source-series tuning position</x:v>
      </x:c>
    </x:row>
    <x:row r="45" ht="15" hidden="0" customHeight="1">
      <x:c r="A45" s="17" t="str">
        <x:v>BLE_RX</x:v>
      </x:c>
      <x:c r="B45" s="17" t="str">
        <x:v>BLE service UART receive</x:v>
      </x:c>
      <x:c r="C45" s="17" t="str">
        <x:v>PB11</x:v>
      </x:c>
      <x:c r="D45" s="17" t="str">
        <x:v>45</x:v>
      </x:c>
      <x:c r="E45" s="17" t="str">
        <x:v>USART3_RX</x:v>
      </x:c>
      <x:c r="F45" s="17" t="str">
        <x:v>AF7</x:v>
      </x:c>
      <x:c r="G45" s="17" t="str">
        <x:v>IN</x:v>
      </x:c>
      <x:c r="H45" s="17" t="str">
        <x:v>3V3</x:v>
      </x:c>
      <x:c r="I45" s="17" t="str">
        <x:v>3V3</x:v>
      </x:c>
      <x:c r="J45" s="17" t="str">
        <x:v>Raytac MDBT50Q-P1MV2 nRF52840</x:v>
      </x:c>
      <x:c r="K45" s="17" t="str">
        <x:v>AUTHORITY_LOCKED_CUBEMX_PENDING</x:v>
      </x:c>
      <x:c r="L45" s="17" t="str">
        <x:v>STM32U585VITxQ.xml + DS13086 Rev10 + PCB_MAIN_BLE_PIN_AUTHORITY_REV_A.csv</x:v>
      </x:c>
      <x:c r="M45" s="17" t="str">
        <x:v>U11 pad22 P0.06 UARTE TX drives MCU RX through a populated 22 Ohm U11-side source-series tuning position</x:v>
      </x:c>
    </x:row>
    <x:row r="46" ht="15" hidden="0" customHeight="1">
      <x:c r="A46" s="17" t="str">
        <x:v>BLE_EN</x:v>
      </x:c>
      <x:c r="B46" s="17" t="str">
        <x:v>BLE module active-HIGH run request</x:v>
      </x:c>
      <x:c r="C46" s="17" t="str">
        <x:v>PE6</x:v>
      </x:c>
      <x:c r="D46" s="17" t="str">
        <x:v>5</x:v>
      </x:c>
      <x:c r="E46" s="17" t="str">
        <x:v>GPIO</x:v>
      </x:c>
      <x:c r="F46" s="17" t="str">
        <x:v>GPIO</x:v>
      </x:c>
      <x:c r="G46" s="17" t="str">
        <x:v>OUT</x:v>
      </x:c>
      <x:c r="H46" s="17" t="str">
        <x:v>3V3</x:v>
      </x:c>
      <x:c r="I46" s="17" t="str">
        <x:v>3V3</x:v>
      </x:c>
      <x:c r="J46" s="17" t="str">
        <x:v>Raytac MDBT50Q-P1MV2 nRF52840</x:v>
      </x:c>
      <x:c r="K46" s="17" t="str">
        <x:v>AUTHORITY_LOCKED_CUBEMX_PENDING</x:v>
      </x:c>
      <x:c r="L46" s="17" t="str">
        <x:v>STM32U585VITxQ.xml + PCB_MAIN_BLE_PIN_AUTHORITY_REV_A.csv</x:v>
      </x:c>
      <x:c r="M46" s="17" t="str">
        <x:v>Fail-closed non-inverting open-drain buffer drives U11 pad40 P0.18/nRESET; LOW or STM32 reset holds U11 reset</x:v>
      </x:c>
    </x:row>
    <x:row r="47" ht="15" hidden="0" customHeight="1">
      <x:c r="A47" s="17" t="str">
        <x:v>BLE_DFU_REQ</x:v>
      </x:c>
      <x:c r="B47" s="17" t="str">
        <x:v>BLE active-LOW application DFU/recovery request</x:v>
      </x:c>
      <x:c r="C47" s="17" t="str">
        <x:v>PB2</x:v>
      </x:c>
      <x:c r="D47" s="17" t="str">
        <x:v>34</x:v>
      </x:c>
      <x:c r="E47" s="17" t="str">
        <x:v>GPIO</x:v>
      </x:c>
      <x:c r="F47" s="17" t="str">
        <x:v>GPIO</x:v>
      </x:c>
      <x:c r="G47" s="17" t="str">
        <x:v>OUT_OD</x:v>
      </x:c>
      <x:c r="H47" s="17" t="str">
        <x:v>3V3</x:v>
      </x:c>
      <x:c r="I47" s="17" t="str">
        <x:v>3V3</x:v>
      </x:c>
      <x:c r="J47" s="17" t="str">
        <x:v>Raytac MDBT50Q-P1MV2 nRF52840</x:v>
      </x:c>
      <x:c r="K47" s="17" t="str">
        <x:v>AUTHORITY_LOCKED_CUBEMX_PENDING</x:v>
      </x:c>
      <x:c r="L47" s="17" t="str">
        <x:v>STM32U585VITxQ.xml + PCB_MAIN_BLE_PIN_AUTHORITY_REV_A.csv</x:v>
      </x:c>
      <x:c r="M47" s="17" t="str">
        <x:v>Open-drain request to U11 pad39 P0.15 with 10 kOhm U11-side pull-up; never drive HIGH; nRF SWD remains separate</x:v>
      </x:c>
    </x:row>
    <x:row r="48" ht="15" hidden="0" customHeight="1">
      <x:c r="A48" s="17" t="str">
        <x:v>I2C2_SCL</x:v>
      </x:c>
      <x:c r="B48" s="17" t="str">
        <x:v>Power and sensor I2C clock</x:v>
      </x:c>
      <x:c r="C48" s="17" t="str">
        <x:v>PB13</x:v>
      </x:c>
      <x:c r="D48" s="17" t="str">
        <x:v>52</x:v>
      </x:c>
      <x:c r="E48" s="17" t="str">
        <x:v>I2C2_SCL</x:v>
      </x:c>
      <x:c r="F48" s="17" t="str">
        <x:v>AF4</x:v>
      </x:c>
      <x:c r="G48" s="17" t="str">
        <x:v>BIDIR_OD</x:v>
      </x:c>
      <x:c r="H48" s="17" t="str">
        <x:v>3V3</x:v>
      </x:c>
      <x:c r="I48" s="17" t="str">
        <x:v>3V3</x:v>
      </x:c>
      <x:c r="J48" s="17" t="str">
        <x:v>INA226/STTS22H/LIS2DW12</x:v>
      </x:c>
      <x:c r="K48" s="17" t="str">
        <x:v>DATASHEET_VERIFIED_CUBEMX_PENDING</x:v>
      </x:c>
      <x:c r="L48" s="17" t="str">
        <x:v>STM32U585VITxQ.xml + DS13086 Rev10</x:v>
      </x:c>
      <x:c r="M48" s="17" t="str">
        <x:v>Check addresses before schematic freeze</x:v>
      </x:c>
    </x:row>
    <x:row r="49" ht="15" hidden="0" customHeight="1">
      <x:c r="A49" s="17" t="str">
        <x:v>I2C2_SDA</x:v>
      </x:c>
      <x:c r="B49" s="17" t="str">
        <x:v>Power and sensor I2C data</x:v>
      </x:c>
      <x:c r="C49" s="17" t="str">
        <x:v>PB14</x:v>
      </x:c>
      <x:c r="D49" s="17" t="str">
        <x:v>53</x:v>
      </x:c>
      <x:c r="E49" s="17" t="str">
        <x:v>I2C2_SDA</x:v>
      </x:c>
      <x:c r="F49" s="17" t="str">
        <x:v>AF4</x:v>
      </x:c>
      <x:c r="G49" s="17" t="str">
        <x:v>BIDIR_OD</x:v>
      </x:c>
      <x:c r="H49" s="17" t="str">
        <x:v>3V3</x:v>
      </x:c>
      <x:c r="I49" s="17" t="str">
        <x:v>3V3</x:v>
      </x:c>
      <x:c r="J49" s="17" t="str">
        <x:v>INA226/STTS22H/LIS2DW12</x:v>
      </x:c>
      <x:c r="K49" s="17" t="str">
        <x:v>DATASHEET_VERIFIED_CUBEMX_PENDING</x:v>
      </x:c>
      <x:c r="L49" s="17" t="str">
        <x:v>STM32U585VITxQ.xml + DS13086 Rev10</x:v>
      </x:c>
      <x:c r="M49" s="17" t="str">
        <x:v>Check addresses before schematic freeze</x:v>
      </x:c>
    </x:row>
    <x:row r="50" ht="15" hidden="0" customHeight="1">
      <x:c r="A50" s="17" t="str">
        <x:v>PWR_GOOD</x:v>
      </x:c>
      <x:c r="B50" s="17" t="str">
        <x:v>Power interface good input</x:v>
      </x:c>
      <x:c r="C50" s="17" t="str">
        <x:v>PD0</x:v>
      </x:c>
      <x:c r="D50" s="17" t="str">
        <x:v>81</x:v>
      </x:c>
      <x:c r="E50" s="17" t="str">
        <x:v>GPIO</x:v>
      </x:c>
      <x:c r="F50" s="17" t="str">
        <x:v>GPIO</x:v>
      </x:c>
      <x:c r="G50" s="17" t="str">
        <x:v>IN</x:v>
      </x:c>
      <x:c r="H50" s="17" t="str">
        <x:v>3V3</x:v>
      </x:c>
      <x:c r="I50" s="17" t="str">
        <x:v>3V3</x:v>
      </x:c>
      <x:c r="J50" s="17" t="str">
        <x:v>PCB-PWR</x:v>
      </x:c>
      <x:c r="K50" s="17" t="str">
        <x:v>DATASHEET_VERIFIED_CUBEMX_PENDING</x:v>
      </x:c>
      <x:c r="L50" s="17" t="str">
        <x:v>STM32U585VITxQ.xml</x:v>
      </x:c>
      <x:c r="M50" s="17" t="str"/>
    </x:row>
    <x:row r="51" ht="15" hidden="0" customHeight="1">
      <x:c r="A51" s="17" t="str">
        <x:v>PWR_FAULT</x:v>
      </x:c>
      <x:c r="B51" s="17" t="str">
        <x:v>Power interface fault input</x:v>
      </x:c>
      <x:c r="C51" s="17" t="str">
        <x:v>PD1</x:v>
      </x:c>
      <x:c r="D51" s="17" t="str">
        <x:v>82</x:v>
      </x:c>
      <x:c r="E51" s="17" t="str">
        <x:v>GPIO</x:v>
      </x:c>
      <x:c r="F51" s="17" t="str">
        <x:v>GPIO</x:v>
      </x:c>
      <x:c r="G51" s="17" t="str">
        <x:v>IN</x:v>
      </x:c>
      <x:c r="H51" s="17" t="str">
        <x:v>3V3</x:v>
      </x:c>
      <x:c r="I51" s="17" t="str">
        <x:v>3V3</x:v>
      </x:c>
      <x:c r="J51" s="17" t="str">
        <x:v>PCB-PWR</x:v>
      </x:c>
      <x:c r="K51" s="17" t="str">
        <x:v>DATASHEET_VERIFIED_CUBEMX_PENDING</x:v>
      </x:c>
      <x:c r="L51" s="17" t="str">
        <x:v>STM32U585VITxQ.xml</x:v>
      </x:c>
      <x:c r="M51" s="17" t="str">
        <x:v>Fail-safe state defined on PCB-PWR</x:v>
      </x:c>
    </x:row>
    <x:row r="52" ht="15" hidden="0" customHeight="1">
      <x:c r="A52" s="17" t="str">
        <x:v>EN_MODEM</x:v>
      </x:c>
      <x:c r="B52" s="17" t="str">
        <x:v>Modem power enable</x:v>
      </x:c>
      <x:c r="C52" s="17" t="str">
        <x:v>PD4</x:v>
      </x:c>
      <x:c r="D52" s="17" t="str">
        <x:v>85</x:v>
      </x:c>
      <x:c r="E52" s="17" t="str">
        <x:v>GPIO</x:v>
      </x:c>
      <x:c r="F52" s="17" t="str">
        <x:v>GPIO</x:v>
      </x:c>
      <x:c r="G52" s="17" t="str">
        <x:v>OUT</x:v>
      </x:c>
      <x:c r="H52" s="17" t="str">
        <x:v>3V3</x:v>
      </x:c>
      <x:c r="I52" s="17" t="str">
        <x:v>3V3</x:v>
      </x:c>
      <x:c r="J52" s="17" t="str">
        <x:v>PCB-PWR</x:v>
      </x:c>
      <x:c r="K52" s="17" t="str">
        <x:v>DATASHEET_VERIFIED_CUBEMX_PENDING</x:v>
      </x:c>
      <x:c r="L52" s="17" t="str">
        <x:v>STM32U585VITxQ.xml</x:v>
      </x:c>
      <x:c r="M52" s="17" t="str">
        <x:v>Default OFF at reset</x:v>
      </x:c>
    </x:row>
    <x:row r="53" ht="15" hidden="0" customHeight="1">
      <x:c r="A53" s="17" t="str">
        <x:v>EN_AUX</x:v>
      </x:c>
      <x:c r="B53" s="17" t="str">
        <x:v>Auxiliary RF/microphone enable</x:v>
      </x:c>
      <x:c r="C53" s="17" t="str">
        <x:v>PD5</x:v>
      </x:c>
      <x:c r="D53" s="17" t="str">
        <x:v>86</x:v>
      </x:c>
      <x:c r="E53" s="17" t="str">
        <x:v>GPIO</x:v>
      </x:c>
      <x:c r="F53" s="17" t="str">
        <x:v>GPIO</x:v>
      </x:c>
      <x:c r="G53" s="17" t="str">
        <x:v>OUT</x:v>
      </x:c>
      <x:c r="H53" s="17" t="str">
        <x:v>3V3</x:v>
      </x:c>
      <x:c r="I53" s="17" t="str">
        <x:v>3V3</x:v>
      </x:c>
      <x:c r="J53" s="17" t="str">
        <x:v>PCB-PWR</x:v>
      </x:c>
      <x:c r="K53" s="17" t="str">
        <x:v>DATASHEET_VERIFIED_CUBEMX_PENDING</x:v>
      </x:c>
      <x:c r="L53" s="17" t="str">
        <x:v>STM32U585VITxQ.xml</x:v>
      </x:c>
      <x:c r="M53" s="17" t="str">
        <x:v>May split only by ICD revision</x:v>
      </x:c>
    </x:row>
    <x:row r="54" ht="15" hidden="0" customHeight="1">
      <x:c r="A54" s="17" t="str">
        <x:v>ACCEL_INT</x:v>
      </x:c>
      <x:c r="B54" s="17" t="str">
        <x:v>Accelerometer interrupt</x:v>
      </x:c>
      <x:c r="C54" s="17" t="str">
        <x:v>PC6</x:v>
      </x:c>
      <x:c r="D54" s="17" t="str">
        <x:v>63</x:v>
      </x:c>
      <x:c r="E54" s="17" t="str">
        <x:v>GPIO</x:v>
      </x:c>
      <x:c r="F54" s="17" t="str">
        <x:v>GPIO</x:v>
      </x:c>
      <x:c r="G54" s="17" t="str">
        <x:v>IN</x:v>
      </x:c>
      <x:c r="H54" s="17" t="str">
        <x:v>3V3</x:v>
      </x:c>
      <x:c r="I54" s="17" t="str">
        <x:v>3V3</x:v>
      </x:c>
      <x:c r="J54" s="17" t="str">
        <x:v>LIS2DW12</x:v>
      </x:c>
      <x:c r="K54" s="17" t="str">
        <x:v>DATASHEET_VERIFIED_CUBEMX_PENDING</x:v>
      </x:c>
      <x:c r="L54" s="17" t="str">
        <x:v>STM32U585VITxQ.xml</x:v>
      </x:c>
      <x:c r="M54" s="17" t="str">
        <x:v>EXTI capable</x:v>
      </x:c>
    </x:row>
    <x:row r="55" ht="15" hidden="0" customHeight="1">
      <x:c r="A55" s="17" t="str">
        <x:v>TAMPER_IN</x:v>
      </x:c>
      <x:c r="B55" s="17" t="str">
        <x:v>Enclosure tamper input</x:v>
      </x:c>
      <x:c r="C55" s="17" t="str">
        <x:v>PC7</x:v>
      </x:c>
      <x:c r="D55" s="17" t="str">
        <x:v>64</x:v>
      </x:c>
      <x:c r="E55" s="17" t="str">
        <x:v>GPIO</x:v>
      </x:c>
      <x:c r="F55" s="17" t="str">
        <x:v>GPIO</x:v>
      </x:c>
      <x:c r="G55" s="17" t="str">
        <x:v>IN</x:v>
      </x:c>
      <x:c r="H55" s="17" t="str">
        <x:v>3V3</x:v>
      </x:c>
      <x:c r="I55" s="17" t="str">
        <x:v>CONTACT</x:v>
      </x:c>
      <x:c r="J55" s="17" t="str">
        <x:v>Tamper switch</x:v>
      </x:c>
      <x:c r="K55" s="17" t="str">
        <x:v>DATASHEET_VERIFIED_CUBEMX_PENDING</x:v>
      </x:c>
      <x:c r="L55" s="17" t="str">
        <x:v>STM32U585VITxQ.xml</x:v>
      </x:c>
      <x:c r="M55" s="17" t="str">
        <x:v>Debounce/protection required</x:v>
      </x:c>
    </x:row>
    <x:row r="56" ht="15" hidden="0" customHeight="1">
      <x:c r="A56" s="17" t="str">
        <x:v>TEST_UART_RX</x:v>
      </x:c>
      <x:c r="B56" s="17" t="str">
        <x:v>Production diagnostic UART receive</x:v>
      </x:c>
      <x:c r="C56" s="17" t="str">
        <x:v>PC0</x:v>
      </x:c>
      <x:c r="D56" s="17" t="str">
        <x:v>15</x:v>
      </x:c>
      <x:c r="E56" s="17" t="str">
        <x:v>LPUART1_RX</x:v>
      </x:c>
      <x:c r="F56" s="17" t="str">
        <x:v>AF8</x:v>
      </x:c>
      <x:c r="G56" s="17" t="str">
        <x:v>IN</x:v>
      </x:c>
      <x:c r="H56" s="17" t="str">
        <x:v>3V3</x:v>
      </x:c>
      <x:c r="I56" s="17" t="str">
        <x:v>3V3</x:v>
      </x:c>
      <x:c r="J56" s="17" t="str">
        <x:v>EOL fixture</x:v>
      </x:c>
      <x:c r="K56" s="17" t="str">
        <x:v>DATASHEET_VERIFIED_CUBEMX_PENDING</x:v>
      </x:c>
      <x:c r="L56" s="17" t="str">
        <x:v>STM32U585VITxQ.xml + DS13086 Rev10</x:v>
      </x:c>
      <x:c r="M56" s="17" t="str">
        <x:v>Fixture only</x:v>
      </x:c>
    </x:row>
    <x:row r="57" ht="15" hidden="0" customHeight="1">
      <x:c r="A57" s="17" t="str">
        <x:v>TEST_UART_TX</x:v>
      </x:c>
      <x:c r="B57" s="17" t="str">
        <x:v>Production diagnostic UART transmit</x:v>
      </x:c>
      <x:c r="C57" s="17" t="str">
        <x:v>PC1</x:v>
      </x:c>
      <x:c r="D57" s="17" t="str">
        <x:v>16</x:v>
      </x:c>
      <x:c r="E57" s="17" t="str">
        <x:v>LPUART1_TX</x:v>
      </x:c>
      <x:c r="F57" s="17" t="str">
        <x:v>AF8</x:v>
      </x:c>
      <x:c r="G57" s="17" t="str">
        <x:v>OUT</x:v>
      </x:c>
      <x:c r="H57" s="17" t="str">
        <x:v>3V3</x:v>
      </x:c>
      <x:c r="I57" s="17" t="str">
        <x:v>3V3</x:v>
      </x:c>
      <x:c r="J57" s="17" t="str">
        <x:v>EOL fixture</x:v>
      </x:c>
      <x:c r="K57" s="17" t="str">
        <x:v>DATASHEET_VERIFIED_CUBEMX_PENDING</x:v>
      </x:c>
      <x:c r="L57" s="17" t="str">
        <x:v>STM32U585VITxQ.xml + DS13086 Rev10</x:v>
      </x:c>
      <x:c r="M57" s="17" t="str">
        <x:v>Fixture only</x:v>
      </x:c>
    </x:row>
    <x:row r="58" ht="15" hidden="0" customHeight="1">
      <x:c r="A58" s="17" t="str">
        <x:v>USB_VBUS</x:v>
      </x:c>
      <x:c r="B58" s="17" t="str">
        <x:v>USB service VBUS sense</x:v>
      </x:c>
      <x:c r="C58" s="17" t="str">
        <x:v>PA9</x:v>
      </x:c>
      <x:c r="D58" s="17" t="str">
        <x:v>68</x:v>
      </x:c>
      <x:c r="E58" s="17" t="str">
        <x:v>USB_OTG_FS_VBUS</x:v>
      </x:c>
      <x:c r="F58" s="17" t="str">
        <x:v>AF10</x:v>
      </x:c>
      <x:c r="G58" s="17" t="str">
        <x:v>IN</x:v>
      </x:c>
      <x:c r="H58" s="17" t="str">
        <x:v>3V3</x:v>
      </x:c>
      <x:c r="I58" s="17" t="str">
        <x:v>5V_SENSE</x:v>
      </x:c>
      <x:c r="J58" s="17" t="str">
        <x:v>USB-C</x:v>
      </x:c>
      <x:c r="K58" s="17" t="str">
        <x:v>DATASHEET_VERIFIED_CUBEMX_PENDING</x:v>
      </x:c>
      <x:c r="L58" s="17" t="str">
        <x:v>STM32U585VITxQ.xml + DS13086 Rev10</x:v>
      </x:c>
      <x:c r="M58" s="17" t="str">
        <x:v>Implement ST recommended VBUS sensing/protection</x:v>
      </x:c>
    </x:row>
    <x:row r="59" ht="15" hidden="0" customHeight="1">
      <x:c r="A59" s="17" t="str">
        <x:v>USB_DM</x:v>
      </x:c>
      <x:c r="B59" s="17" t="str">
        <x:v>USB service D-</x:v>
      </x:c>
      <x:c r="C59" s="17" t="str">
        <x:v>PA11</x:v>
      </x:c>
      <x:c r="D59" s="17" t="str">
        <x:v>70</x:v>
      </x:c>
      <x:c r="E59" s="17" t="str">
        <x:v>USB_OTG_FS_DM</x:v>
      </x:c>
      <x:c r="F59" s="17" t="str">
        <x:v>AF10</x:v>
      </x:c>
      <x:c r="G59" s="17" t="str">
        <x:v>BIDIR</x:v>
      </x:c>
      <x:c r="H59" s="17" t="str">
        <x:v>3V3</x:v>
      </x:c>
      <x:c r="I59" s="17" t="str">
        <x:v>USB2</x:v>
      </x:c>
      <x:c r="J59" s="17" t="str">
        <x:v>USB-C</x:v>
      </x:c>
      <x:c r="K59" s="17" t="str">
        <x:v>DATASHEET_VERIFIED_CUBEMX_PENDING</x:v>
      </x:c>
      <x:c r="L59" s="17" t="str">
        <x:v>STM32U585VITxQ.xml + DS13086 Rev10</x:v>
      </x:c>
      <x:c r="M59" s="17" t="str">
        <x:v>Differential pair and ESD</x:v>
      </x:c>
    </x:row>
    <x:row r="60" ht="15" hidden="0" customHeight="1">
      <x:c r="A60" s="17" t="str">
        <x:v>USB_DP</x:v>
      </x:c>
      <x:c r="B60" s="17" t="str">
        <x:v>USB service D+</x:v>
      </x:c>
      <x:c r="C60" s="17" t="str">
        <x:v>PA12</x:v>
      </x:c>
      <x:c r="D60" s="17" t="str">
        <x:v>71</x:v>
      </x:c>
      <x:c r="E60" s="17" t="str">
        <x:v>USB_OTG_FS_DP</x:v>
      </x:c>
      <x:c r="F60" s="17" t="str">
        <x:v>AF10</x:v>
      </x:c>
      <x:c r="G60" s="17" t="str">
        <x:v>BIDIR</x:v>
      </x:c>
      <x:c r="H60" s="17" t="str">
        <x:v>3V3</x:v>
      </x:c>
      <x:c r="I60" s="17" t="str">
        <x:v>USB2</x:v>
      </x:c>
      <x:c r="J60" s="17" t="str">
        <x:v>USB-C</x:v>
      </x:c>
      <x:c r="K60" s="17" t="str">
        <x:v>DATASHEET_VERIFIED_CUBEMX_PENDING</x:v>
      </x:c>
      <x:c r="L60" s="17" t="str">
        <x:v>STM32U585VITxQ.xml + DS13086 Rev10</x:v>
      </x:c>
      <x:c r="M60" s="17" t="str">
        <x:v>Differential pair and ESD</x:v>
      </x:c>
    </x:row>
    <x:row r="61" ht="15" hidden="0" customHeight="1">
      <x:c r="A61" s="17" t="str">
        <x:v>SWDIO</x:v>
      </x:c>
      <x:c r="B61" s="17" t="str">
        <x:v>SWD data</x:v>
      </x:c>
      <x:c r="C61" s="17" t="str">
        <x:v>PA13</x:v>
      </x:c>
      <x:c r="D61" s="17" t="str">
        <x:v>72</x:v>
      </x:c>
      <x:c r="E61" s="17" t="str">
        <x:v>DEBUG_JTMS-SWDIO</x:v>
      </x:c>
      <x:c r="F61" s="17" t="str">
        <x:v>SYS</x:v>
      </x:c>
      <x:c r="G61" s="17" t="str">
        <x:v>BIDIR</x:v>
      </x:c>
      <x:c r="H61" s="17" t="str">
        <x:v>3V3</x:v>
      </x:c>
      <x:c r="I61" s="17" t="str">
        <x:v>3V3</x:v>
      </x:c>
      <x:c r="J61" s="17" t="str">
        <x:v>ST-LINK</x:v>
      </x:c>
      <x:c r="K61" s="17" t="str">
        <x:v>RESERVED_VERIFIED</x:v>
      </x:c>
      <x:c r="L61" s="17" t="str">
        <x:v>STM32U585VITxQ.xml</x:v>
      </x:c>
      <x:c r="M61" s="17" t="str">
        <x:v>Always fixture-accessible</x:v>
      </x:c>
    </x:row>
    <x:row r="62" ht="15" hidden="0" customHeight="1">
      <x:c r="A62" s="17" t="str">
        <x:v>SWCLK</x:v>
      </x:c>
      <x:c r="B62" s="17" t="str">
        <x:v>SWD clock</x:v>
      </x:c>
      <x:c r="C62" s="17" t="str">
        <x:v>PA14</x:v>
      </x:c>
      <x:c r="D62" s="17" t="str">
        <x:v>76</x:v>
      </x:c>
      <x:c r="E62" s="17" t="str">
        <x:v>DEBUG_JTCK-SWCLK</x:v>
      </x:c>
      <x:c r="F62" s="17" t="str">
        <x:v>SYS</x:v>
      </x:c>
      <x:c r="G62" s="17" t="str">
        <x:v>IN</x:v>
      </x:c>
      <x:c r="H62" s="17" t="str">
        <x:v>3V3</x:v>
      </x:c>
      <x:c r="I62" s="17" t="str">
        <x:v>3V3</x:v>
      </x:c>
      <x:c r="J62" s="17" t="str">
        <x:v>ST-LINK</x:v>
      </x:c>
      <x:c r="K62" s="17" t="str">
        <x:v>RESERVED_VERIFIED</x:v>
      </x:c>
      <x:c r="L62" s="17" t="str">
        <x:v>STM32U585VITxQ.xml</x:v>
      </x:c>
      <x:c r="M62" s="17" t="str">
        <x:v>Always fixture-accessible</x:v>
      </x:c>
    </x:row>
    <x:row r="63" ht="15" hidden="0" customHeight="1">
      <x:c r="A63" s="17" t="str">
        <x:v>BOOT0</x:v>
      </x:c>
      <x:c r="B63" s="17" t="str">
        <x:v>MCU boot strap</x:v>
      </x:c>
      <x:c r="C63" s="17" t="str">
        <x:v>PH3</x:v>
      </x:c>
      <x:c r="D63" s="17" t="str">
        <x:v>94</x:v>
      </x:c>
      <x:c r="E63" s="17" t="str">
        <x:v>GPIO</x:v>
      </x:c>
      <x:c r="F63" s="17" t="str">
        <x:v>GPIO</x:v>
      </x:c>
      <x:c r="G63" s="17" t="str">
        <x:v>IN</x:v>
      </x:c>
      <x:c r="H63" s="17" t="str">
        <x:v>3V3</x:v>
      </x:c>
      <x:c r="I63" s="17" t="str">
        <x:v>STRAP</x:v>
      </x:c>
      <x:c r="J63" s="17" t="str">
        <x:v>EOL fixture</x:v>
      </x:c>
      <x:c r="K63" s="17" t="str">
        <x:v>DATASHEET_VERIFIED_CUBEMX_PENDING</x:v>
      </x:c>
      <x:c r="L63" s="17" t="str">
        <x:v>STM32U585VITxQ.xml</x:v>
      </x:c>
      <x:c r="M63" s="17" t="str">
        <x:v>Fixed normal-boot bias plus recovery test point</x:v>
      </x:c>
    </x:row>
    <x:row r="64" ht="15" hidden="0" customHeight="1">
      <x:c r="A64" s="17" t="str">
        <x:v>REV_STRAP0</x:v>
      </x:c>
      <x:c r="B64" s="17" t="str">
        <x:v>Hardware revision strap 0</x:v>
      </x:c>
      <x:c r="C64" s="17" t="str">
        <x:v>PB8</x:v>
      </x:c>
      <x:c r="D64" s="17" t="str">
        <x:v>95</x:v>
      </x:c>
      <x:c r="E64" s="17" t="str">
        <x:v>GPIO</x:v>
      </x:c>
      <x:c r="F64" s="17" t="str">
        <x:v>GPIO</x:v>
      </x:c>
      <x:c r="G64" s="17" t="str">
        <x:v>IN</x:v>
      </x:c>
      <x:c r="H64" s="17" t="str">
        <x:v>3V3</x:v>
      </x:c>
      <x:c r="I64" s="17" t="str">
        <x:v>STRAP</x:v>
      </x:c>
      <x:c r="J64" s="17" t="str">
        <x:v>Resistor strap</x:v>
      </x:c>
      <x:c r="K64" s="17" t="str">
        <x:v>DATASHEET_VERIFIED_CUBEMX_PENDING</x:v>
      </x:c>
      <x:c r="L64" s="17" t="str">
        <x:v>STM32U585VITxQ.xml</x:v>
      </x:c>
      <x:c r="M64" s="17" t="str"/>
    </x:row>
    <x:row r="65" ht="15" hidden="0" customHeight="1">
      <x:c r="A65" s="17" t="str">
        <x:v>REV_STRAP1</x:v>
      </x:c>
      <x:c r="B65" s="17" t="str">
        <x:v>Hardware revision strap 1</x:v>
      </x:c>
      <x:c r="C65" s="17" t="str">
        <x:v>PB9</x:v>
      </x:c>
      <x:c r="D65" s="17" t="str">
        <x:v>96</x:v>
      </x:c>
      <x:c r="E65" s="17" t="str">
        <x:v>GPIO</x:v>
      </x:c>
      <x:c r="F65" s="17" t="str">
        <x:v>GPIO</x:v>
      </x:c>
      <x:c r="G65" s="17" t="str">
        <x:v>IN</x:v>
      </x:c>
      <x:c r="H65" s="17" t="str">
        <x:v>3V3</x:v>
      </x:c>
      <x:c r="I65" s="17" t="str">
        <x:v>STRAP</x:v>
      </x:c>
      <x:c r="J65" s="17" t="str">
        <x:v>Resistor strap</x:v>
      </x:c>
      <x:c r="K65" s="17" t="str">
        <x:v>DATASHEET_VERIFIED_CUBEMX_PENDING</x:v>
      </x:c>
      <x:c r="L65" s="17" t="str">
        <x:v>STM32U585VITxQ.xml</x:v>
      </x:c>
      <x:c r="M65" s="17" t="str"/>
    </x:row>
    <x:row r="66" ht="15" hidden="0" customHeight="1">
      <x:c r="A66" s="17" t="str">
        <x:v>LSE_IN</x:v>
      </x:c>
      <x:c r="B66" s="17" t="str">
        <x:v>32.768 kHz clock input</x:v>
      </x:c>
      <x:c r="C66" s="17" t="str">
        <x:v>PC14</x:v>
      </x:c>
      <x:c r="D66" s="17" t="str">
        <x:v>8</x:v>
      </x:c>
      <x:c r="E66" s="17" t="str">
        <x:v>RCC_OSC32_IN</x:v>
      </x:c>
      <x:c r="F66" s="17" t="str">
        <x:v>RCC</x:v>
      </x:c>
      <x:c r="G66" s="17" t="str">
        <x:v>IN</x:v>
      </x:c>
      <x:c r="H66" s="17" t="str">
        <x:v>3V3</x:v>
      </x:c>
      <x:c r="I66" s="17" t="str">
        <x:v>CLOCK</x:v>
      </x:c>
      <x:c r="J66" s="17" t="str">
        <x:v>SiT1552/LSE source</x:v>
      </x:c>
      <x:c r="K66" s="17" t="str">
        <x:v>CLOCK_TOPOLOGY_PENDING</x:v>
      </x:c>
      <x:c r="L66" s="17" t="str">
        <x:v>STM32U585VITxQ.xml</x:v>
      </x:c>
      <x:c r="M66" s="17" t="str">
        <x:v>Exact oscillator connection to be frozen with clock-tree decision</x:v>
      </x:c>
    </x:row>
    <x:row r="67" ht="15" hidden="0" customHeight="1">
      <x:c r="A67" s="17" t="str">
        <x:v>LSE_OUT</x:v>
      </x:c>
      <x:c r="B67" s="17" t="str">
        <x:v>32.768 kHz clock output/reserved</x:v>
      </x:c>
      <x:c r="C67" s="17" t="str">
        <x:v>PC15</x:v>
      </x:c>
      <x:c r="D67" s="17" t="str">
        <x:v>9</x:v>
      </x:c>
      <x:c r="E67" s="17" t="str">
        <x:v>RCC_OSC32_OUT</x:v>
      </x:c>
      <x:c r="F67" s="17" t="str">
        <x:v>RCC</x:v>
      </x:c>
      <x:c r="G67" s="17" t="str">
        <x:v>OUT</x:v>
      </x:c>
      <x:c r="H67" s="17" t="str">
        <x:v>3V3</x:v>
      </x:c>
      <x:c r="I67" s="17" t="str">
        <x:v>CLOCK</x:v>
      </x:c>
      <x:c r="J67" s="17" t="str">
        <x:v>SiT1552/LSE source</x:v>
      </x:c>
      <x:c r="K67" s="17" t="str">
        <x:v>CLOCK_TOPOLOGY_PENDING</x:v>
      </x:c>
      <x:c r="L67" s="17" t="str">
        <x:v>STM32U585VITxQ.xml</x:v>
      </x:c>
      <x:c r="M67" s="17" t="str">
        <x:v>May be NC when external clock drives OSC32_IN per ST clock 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ec81756c08744a2c"/>
  </x:tableParts>
</x:worksheet>
</file>