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e05e15a45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abb351a4c074d57"/>
    <x:sheet xmlns:r="http://schemas.openxmlformats.org/officeDocument/2006/relationships" name="Параметры" sheetId="2" r:id="Rf9cb0f70117a4706"/>
    <x:sheet xmlns:r="http://schemas.openxmlformats.org/officeDocument/2006/relationships" name="Маршрут" sheetId="3" r:id="R9f723207e4ca4c7b"/>
    <x:sheet xmlns:r="http://schemas.openxmlformats.org/officeDocument/2006/relationships" name="Карта жгутов" sheetId="4" r:id="R99cfb18d7cf24ce1"/>
    <x:sheet xmlns:r="http://schemas.openxmlformats.org/officeDocument/2006/relationships" name="Жгуты 41" sheetId="5" r:id="R05c3e32d91b149db"/>
    <x:sheet xmlns:r="http://schemas.openxmlformats.org/officeDocument/2006/relationships" name="Сборка 41" sheetId="6" r:id="Rb679065661e54a3d"/>
    <x:sheet xmlns:r="http://schemas.openxmlformats.org/officeDocument/2006/relationships" name="Первое включение" sheetId="7" r:id="Rb999846353d34a05"/>
    <x:sheet xmlns:r="http://schemas.openxmlformats.org/officeDocument/2006/relationships" name="EOL 41" sheetId="8" r:id="R6233b87e60e846a5"/>
    <x:sheet xmlns:r="http://schemas.openxmlformats.org/officeDocument/2006/relationships" name="Монтаж 41" sheetId="9" r:id="Ra063521f40d14339"/>
    <x:sheet xmlns:r="http://schemas.openxmlformats.org/officeDocument/2006/relationships" name="Трэвеллер 41" sheetId="10" r:id="R34bb0dcacb6f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Arial"/>
    </x:font>
    <x:font>
      <x:i/>
      <x:sz val="9"/>
      <x:color rgb="FF1F4E78"/>
      <x:name val="Arial"/>
    </x:font>
    <x:font>
      <x:b/>
      <x:sz val="9"/>
      <x:color rgb="FFFFFFFF"/>
      <x:name val="Arial"/>
    </x:font>
    <x:font>
      <x:sz val="9"/>
      <x:color rgb="FF000000"/>
      <x:name val="Arial"/>
    </x:font>
    <x:font>
      <x:b/>
      <x:sz val="9"/>
      <x:color rgb="FF000000"/>
      <x:name val="Arial"/>
    </x:font>
    <x:font>
      <x:sz val="8.5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3">
    <x:border>
      <x:left/>
      <x:right/>
      <x:top/>
      <x:bottom/>
      <x:diagonal/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/>
    <x:xf numFmtId="0" fontId="5" fillId="4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6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9a76302094001" /><Relationship Type="http://schemas.openxmlformats.org/officeDocument/2006/relationships/theme" Target="/xl/theme/theme1.xml" Id="R724a655fbc1c484e" /><Relationship Type="http://schemas.openxmlformats.org/officeDocument/2006/relationships/sharedStrings" Target="/xl/sharedStrings.xml" Id="R734973d45d154604" /><Relationship Type="http://schemas.openxmlformats.org/officeDocument/2006/relationships/worksheet" Target="/xl/worksheets/sheet1.xml" Id="R4abb351a4c074d57" /><Relationship Type="http://schemas.openxmlformats.org/officeDocument/2006/relationships/worksheet" Target="/xl/worksheets/sheet2.xml" Id="Rf9cb0f70117a4706" /><Relationship Type="http://schemas.openxmlformats.org/officeDocument/2006/relationships/worksheet" Target="/xl/worksheets/sheet3.xml" Id="R9f723207e4ca4c7b" /><Relationship Type="http://schemas.openxmlformats.org/officeDocument/2006/relationships/worksheet" Target="/xl/worksheets/sheet4.xml" Id="R99cfb18d7cf24ce1" /><Relationship Type="http://schemas.openxmlformats.org/officeDocument/2006/relationships/worksheet" Target="/xl/worksheets/sheet5.xml" Id="R05c3e32d91b149db" /><Relationship Type="http://schemas.openxmlformats.org/officeDocument/2006/relationships/worksheet" Target="/xl/worksheets/sheet6.xml" Id="Rb679065661e54a3d" /><Relationship Type="http://schemas.openxmlformats.org/officeDocument/2006/relationships/worksheet" Target="/xl/worksheets/sheet7.xml" Id="Rb999846353d34a05" /><Relationship Type="http://schemas.openxmlformats.org/officeDocument/2006/relationships/worksheet" Target="/xl/worksheets/sheet8.xml" Id="R6233b87e60e846a5" /><Relationship Type="http://schemas.openxmlformats.org/officeDocument/2006/relationships/worksheet" Target="/xl/worksheets/sheet9.xml" Id="Ra063521f40d14339" /><Relationship Type="http://schemas.openxmlformats.org/officeDocument/2006/relationships/worksheet" Target="/xl/worksheets/sheet10.xml" Id="R34bb0dcacb6f4e7a" /></Relationships>
</file>

<file path=xl/tables/table1.xml><?xml version="1.0" encoding="utf-8"?>
<x:table xmlns:x="http://schemas.openxmlformats.org/spreadsheetml/2006/main" id="1" name="ParametersRevB" displayName="ParametersRevB" ref="A4:J28" headerRowCount="1" totalsRowCount="0" totalsRowShown="0">
  <x:autoFilter ref="A4:J28"/>
  <x:tableColumns count="10">
    <x:tableColumn id="1" name="Parameter_ID"/>
    <x:tableColumn id="2" name="Parameter_RU_EN"/>
    <x:tableColumn id="3" name="Required_Source"/>
    <x:tableColumn id="4" name="Unit"/>
    <x:tableColumn id="5" name="Approved_Value"/>
    <x:tableColumn id="6" name="Status"/>
    <x:tableColumn id="7" name="Approver"/>
    <x:tableColumn id="8" name="Approval_Date"/>
    <x:tableColumn id="9" name="Evidence_SHA256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mblyRouteRevB" displayName="AssemblyRouteRevB" ref="A4:I36" headerRowCount="1" totalsRowCount="0" totalsRowShown="0">
  <x:autoFilter ref="A4:I36"/>
  <x:tableColumns count="9">
    <x:tableColumn id="1" name="Step"/>
    <x:tableColumn id="2" name="Gate"/>
    <x:tableColumn id="3" name="Operation_RU_EN"/>
    <x:tableColumn id="4" name="Applies_To"/>
    <x:tableColumn id="5" name="Prerequisite_or_Parameters"/>
    <x:tableColumn id="6" name="Acceptance"/>
    <x:tableColumn id="7" name="Evidence"/>
    <x:tableColumn id="8" name="Rework_or_Hold"/>
    <x:tableColumn id="9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rnessOpsRevB" displayName="HarnessOpsRevB" ref="A4:J21" headerRowCount="1" totalsRowCount="0" totalsRowShown="0">
  <x:autoFilter ref="A4:J21"/>
  <x:tableColumns count="10">
    <x:tableColumn id="1" name="Operation_ID"/>
    <x:tableColumn id="2" name="Operation_RU_EN"/>
    <x:tableColumn id="3" name="Applies_To"/>
    <x:tableColumn id="4" name="Required_Input_or_Parameter"/>
    <x:tableColumn id="5" name="Acceptance"/>
    <x:tableColumn id="6" name="Failure_Disposition"/>
    <x:tableColumn id="7" name="Operator"/>
    <x:tableColumn id="8" name="QC"/>
    <x:tableColumn id="9" name="Evidence_SHA256"/>
    <x:tableColumn id="10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rnessResults41" displayName="HarnessResults41" ref="A4:O250" headerRowCount="1" totalsRowCount="0" totalsRowShown="0">
  <x:autoFilter ref="A4:O250"/>
  <x:tableColumns count="15">
    <x:tableColumn id="1" name="Serial"/>
    <x:tableColumn id="2" name="Lot"/>
    <x:tableColumn id="3" name="Harness"/>
    <x:tableColumn id="4" name="Length_spec_mm"/>
    <x:tableColumn id="5" name="Tolerance_mm"/>
    <x:tableColumn id="6" name="First_Off"/>
    <x:tableColumn id="7" name="Continuity"/>
    <x:tableColumn id="8" name="Cross_Short"/>
    <x:tableColumn id="9" name="Resistance"/>
    <x:tableColumn id="10" name="Length"/>
    <x:tableColumn id="11" name="Visual"/>
    <x:tableColumn id="12" name="Tester_Log_SHA256"/>
    <x:tableColumn id="13" name="Operator"/>
    <x:tableColumn id="14" name="QC"/>
    <x:tableColumn id="15" name="Overal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ssembly41" displayName="Assembly41" ref="A4:S45" headerRowCount="1" totalsRowCount="0" totalsRowShown="0">
  <x:autoFilter ref="A4:S45"/>
  <x:tableColumns count="19">
    <x:tableColumn id="1" name="Serial"/>
    <x:tableColumn id="2" name="Lot"/>
    <x:tableColumn id="3" name="Traveller_ID"/>
    <x:tableColumn id="4" name="PCBA_Accepted"/>
    <x:tableColumn id="5" name="Harness_Set_Accepted"/>
    <x:tableColumn id="6" name="Enclosure_Accepted"/>
    <x:tableColumn id="7" name="PCB_MAIN_Installed"/>
    <x:tableColumn id="8" name="Four_PCB_MIC_Installed"/>
    <x:tableColumn id="9" name="MIC_Geometry"/>
    <x:tableColumn id="10" name="PCB_PWR_Installed"/>
    <x:tableColumn id="11" name="Interconnect"/>
    <x:tableColumn id="12" name="Seals_and_Vents"/>
    <x:tableColumn id="13" name="Torque_Record"/>
    <x:tableColumn id="14" name="Labels_and_QR"/>
    <x:tableColumn id="15" name="Assembly_Evidence_SHA256"/>
    <x:tableColumn id="16" name="NCR_ID"/>
    <x:tableColumn id="17" name="Operator"/>
    <x:tableColumn id="18" name="Reviewer"/>
    <x:tableColumn id="19" name="Overal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rstPower41" displayName="FirstPower41" ref="A4:V45" headerRowCount="1" totalsRowCount="0" totalsRowShown="0">
  <x:autoFilter ref="A4:V45"/>
  <x:tableColumns count="22">
    <x:tableColumn id="1" name="Serial"/>
    <x:tableColumn id="2" name="Attempt"/>
    <x:tableColumn id="3" name="Timestamp_UTC"/>
    <x:tableColumn id="4" name="PAR_P01_Status"/>
    <x:tableColumn id="5" name="PAR_P02_Status"/>
    <x:tableColumn id="6" name="PAR_P03_Status"/>
    <x:tableColumn id="7" name="Polarity_Result"/>
    <x:tableColumn id="8" name="Rail_Resistance_Result"/>
    <x:tableColumn id="9" name="Input_V"/>
    <x:tableColumn id="10" name="Current_Limit_A"/>
    <x:tableColumn id="11" name="Inrush_A"/>
    <x:tableColumn id="12" name="Steady_A"/>
    <x:tableColumn id="13" name="Rail_3V3_V"/>
    <x:tableColumn id="14" name="Rail_3V8_V"/>
    <x:tableColumn id="15" name="Rail_1V8_V"/>
    <x:tableColumn id="16" name="Thermal_Result"/>
    <x:tableColumn id="17" name="Power_Log_SHA256"/>
    <x:tableColumn id="18" name="Thermal_Image_SHA256"/>
    <x:tableColumn id="19" name="NCR_ID"/>
    <x:tableColumn id="20" name="Operator"/>
    <x:tableColumn id="21" name="Reviewer"/>
    <x:tableColumn id="22" name="Overal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EOLRecords41" displayName="EOLRecords41" ref="A4:U45" headerRowCount="1" totalsRowCount="0" totalsRowShown="0">
  <x:autoFilter ref="A4:U45"/>
  <x:tableColumns count="21">
    <x:tableColumn id="1" name="Serial"/>
    <x:tableColumn id="2" name="Attempt"/>
    <x:tableColumn id="3" name="Timestamp_UTC"/>
    <x:tableColumn id="4" name="HW_Rev"/>
    <x:tableColumn id="5" name="FW_Release"/>
    <x:tableColumn id="6" name="LoRa_Profile"/>
    <x:tableColumn id="7" name="Fixture_ID"/>
    <x:tableColumn id="8" name="Fixture_SW"/>
    <x:tableColumn id="9" name="Power_Result"/>
    <x:tableColumn id="10" name="Audio_Result"/>
    <x:tableColumn id="11" name="Timing_Result"/>
    <x:tableColumn id="12" name="Cellular_Result"/>
    <x:tableColumn id="13" name="LoRa_Result"/>
    <x:tableColumn id="14" name="BLE_Result"/>
    <x:tableColumn id="15" name="Mechanics_Result"/>
    <x:tableColumn id="16" name="Record_Result"/>
    <x:tableColumn id="17" name="Overall"/>
    <x:tableColumn id="18" name="Evidence_Directory_SHA256"/>
    <x:tableColumn id="19" name="Deviation_ID"/>
    <x:tableColumn id="20" name="Operator"/>
    <x:tableColumn id="21" name="Review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stallation41" displayName="Installation41" ref="A4:X45" headerRowCount="1" totalsRowCount="0" totalsRowShown="0">
  <x:autoFilter ref="A4:X45"/>
  <x:tableColumns count="24">
    <x:tableColumn id="1" name="Serial"/>
    <x:tableColumn id="2" name="Site_ID"/>
    <x:tableColumn id="3" name="Latitude"/>
    <x:tableColumn id="4" name="Longitude"/>
    <x:tableColumn id="5" name="Altitude_m"/>
    <x:tableColumn id="6" name="PAR_I01_Status"/>
    <x:tableColumn id="7" name="PAR_I02_Status"/>
    <x:tableColumn id="8" name="PAR_I03_Status"/>
    <x:tableColumn id="9" name="Site_Readiness"/>
    <x:tableColumn id="10" name="Mechanical"/>
    <x:tableColumn id="11" name="Grounding"/>
    <x:tableColumn id="12" name="Power"/>
    <x:tableColumn id="13" name="SIM1"/>
    <x:tableColumn id="14" name="SIM2"/>
    <x:tableColumn id="15" name="TLS_MQTT"/>
    <x:tableColumn id="16" name="GNSS_Time"/>
    <x:tableColumn id="17" name="Acoustic"/>
    <x:tableColumn id="18" name="Leak_Test"/>
    <x:tableColumn id="19" name="Photo_Set_SHA256"/>
    <x:tableColumn id="20" name="Commissioning_Log_SHA256"/>
    <x:tableColumn id="21" name="NCR_ID"/>
    <x:tableColumn id="22" name="Installer"/>
    <x:tableColumn id="23" name="Reviewer"/>
    <x:tableColumn id="24" name="Overal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raveller41" displayName="Traveller41" ref="A4:Q45" headerRowCount="1" totalsRowCount="0" totalsRowShown="0">
  <x:autoFilter ref="A4:Q45"/>
  <x:tableColumns count="17">
    <x:tableColumn id="1" name="Serial"/>
    <x:tableColumn id="2" name="Lot"/>
    <x:tableColumn id="3" name="Traveller_ID"/>
    <x:tableColumn id="4" name="Procurement_Selected"/>
    <x:tableColumn id="5" name="PCBA"/>
    <x:tableColumn id="6" name="Harnesses"/>
    <x:tableColumn id="7" name="Assembly"/>
    <x:tableColumn id="8" name="First_Power"/>
    <x:tableColumn id="9" name="Provisioning"/>
    <x:tableColumn id="10" name="EOL"/>
    <x:tableColumn id="11" name="Leak_Test"/>
    <x:tableColumn id="12" name="Installation"/>
    <x:tableColumn id="13" name="Unit_Passport"/>
    <x:tableColumn id="14" name="Open_NCR_Count"/>
    <x:tableColumn id="15" name="Evidence_Root_SHA256"/>
    <x:tableColumn id="16" name="QA_Reviewer"/>
    <x:tableColumn id="17" name="Overal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fe1d05fb754a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fc9a923e294a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49cd2d12d04c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4ae55d6ef147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bcad81bae441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80cdbf0c6745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13ccf34e5042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463598a0a545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5ccc6183ea8459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18" hidden="0" customWidth="1"/>
    <x:col min="5" max="5" width="38" hidden="0" customWidth="1"/>
  </x:cols>
  <x:sheetData>
    <x:row r="1" ht="28" customHeight="1">
      <x:c r="A1" s="15" t="str">
        <x:v>СБОРКА, КОНТРОЛЬ И ОТЧЁТЫ EVT-PRE-20 REV_D10</x:v>
      </x:c>
      <x:c r="B1" s="15"/>
      <x:c r="C1" s="15"/>
      <x:c r="D1" s="15"/>
      <x:c r="E1" s="15"/>
      <x:c r="F1" s="15"/>
      <x:c r="G1" s="15"/>
      <x:c r="H1" s="15"/>
    </x:row>
    <x:row r="2" ht="34" customHeight="1">
      <x:c r="A2" s="16" t="str">
        <x:v>41 идентичность: DIO-EVT-001…040 + DIO-EVT-B01. Пустое обязательное поле или OPEN параметр блокируют PASS. / A blank mandatory field or OPEN parameter blocks PASS.</x:v>
      </x:c>
      <x:c r="B2" s="16"/>
      <x:c r="C2" s="16"/>
      <x:c r="D2" s="16"/>
      <x:c r="E2" s="16"/>
      <x:c r="F2" s="16"/>
      <x:c r="G2" s="16"/>
      <x:c r="H2" s="16"/>
    </x:row>
    <x:row r="3">
      <x:c r="A3" s="17"/>
      <x:c r="B3" s="17"/>
      <x:c r="C3" s="17"/>
      <x:c r="D3" s="17"/>
      <x:c r="E3" s="17"/>
      <x:c r="F3" s="17"/>
      <x:c r="G3" s="17"/>
      <x:c r="H3" s="17"/>
    </x:row>
    <x:row r="4">
      <x:c r="A4" s="18" t="str">
        <x:v>Показатель / Metric</x:v>
      </x:c>
      <x:c r="B4" s="18" t="str">
        <x:v>Значение / Value</x:v>
      </x:c>
      <x:c r="C4" s="18" t="str">
        <x:v>Статус / Status</x:v>
      </x:c>
      <x:c r="D4" s="17"/>
      <x:c r="E4" s="17"/>
      <x:c r="F4" s="17"/>
      <x:c r="G4" s="17"/>
      <x:c r="H4" s="17"/>
    </x:row>
    <x:row r="5">
      <x:c r="A5" s="19" t="str">
        <x:v>Операции маршрута / Route operations</x:v>
      </x:c>
      <x:c r="B5" s="19" t="n">
        <x:f>COUNTA('Маршрут'!A5:A36)</x:f>
        <x:v>32</x:v>
      </x:c>
      <x:c r="C5" s="19" t="str">
        <x:f>IF(B5=32,"READY","HOLD")</x:f>
        <x:v>READY</x:v>
      </x:c>
      <x:c r="D5" s="20"/>
      <x:c r="E5" s="20"/>
      <x:c r="F5" s="17"/>
      <x:c r="G5" s="17"/>
      <x:c r="H5" s="17"/>
    </x:row>
    <x:row r="6">
      <x:c r="A6" s="19" t="str">
        <x:v>Контролируемые параметры / Controlled parameters</x:v>
      </x:c>
      <x:c r="B6" s="19" t="n">
        <x:f>COUNTA('Параметры'!A5:A28)</x:f>
        <x:v>24</x:v>
      </x:c>
      <x:c r="C6" s="19" t="str">
        <x:f>IF(B6=24,"READY","HOLD")</x:f>
        <x:v>READY</x:v>
      </x:c>
      <x:c r="D6" s="20"/>
      <x:c r="E6" s="20"/>
      <x:c r="F6" s="17"/>
      <x:c r="G6" s="17"/>
      <x:c r="H6" s="17"/>
    </x:row>
    <x:row r="7">
      <x:c r="A7" s="19" t="str">
        <x:v>Утверждено параметров / Approved parameters</x:v>
      </x:c>
      <x:c r="B7" s="19" t="n">
        <x:f>COUNTIF('Параметры'!F5:F28,"APPROVED")</x:f>
        <x:v>0</x:v>
      </x:c>
      <x:c r="C7" s="19" t="str">
        <x:f>IF(B7=B6,"READY","HOLD")</x:f>
        <x:v>HOLD</x:v>
      </x:c>
      <x:c r="D7" s="20"/>
      <x:c r="E7" s="20"/>
      <x:c r="F7" s="17"/>
      <x:c r="G7" s="17"/>
      <x:c r="H7" s="17"/>
    </x:row>
    <x:row r="8">
      <x:c r="A8" s="19" t="str">
        <x:v>Открыто параметров / Open parameters</x:v>
      </x:c>
      <x:c r="B8" s="19" t="n">
        <x:f>B6-B7</x:f>
        <x:v>24</x:v>
      </x:c>
      <x:c r="C8" s="19" t="str">
        <x:f>IF(B8=0,"READY","HOLD")</x:f>
        <x:v>HOLD</x:v>
      </x:c>
      <x:c r="D8" s="20"/>
      <x:c r="E8" s="20"/>
      <x:c r="F8" s="17"/>
      <x:c r="G8" s="17"/>
      <x:c r="H8" s="17"/>
    </x:row>
    <x:row r="9">
      <x:c r="A9" s="19" t="str">
        <x:v>Серий в реестре / Serial identities</x:v>
      </x:c>
      <x:c r="B9" s="19" t="n">
        <x:f>COUNTA('Сборка 41'!A5:A45)</x:f>
        <x:v>41</x:v>
      </x:c>
      <x:c r="C9" s="19" t="str">
        <x:f>IF(B9=41,"READY","HOLD")</x:f>
        <x:v>READY</x:v>
      </x:c>
      <x:c r="D9" s="20"/>
      <x:c r="E9" s="20"/>
      <x:c r="F9" s="17"/>
      <x:c r="G9" s="17"/>
      <x:c r="H9" s="17"/>
    </x:row>
    <x:row r="10">
      <x:c r="A10" s="19" t="str">
        <x:v>Сборка PASS / Assembly PASS</x:v>
      </x:c>
      <x:c r="B10" s="19" t="n">
        <x:f>COUNTIF('Сборка 41'!S5:S45,"PASS")</x:f>
        <x:v>0</x:v>
      </x:c>
      <x:c r="C10" s="19" t="str">
        <x:f>IF(B10=41,"READY","HOLD")</x:f>
        <x:v>HOLD</x:v>
      </x:c>
      <x:c r="D10" s="20"/>
      <x:c r="E10" s="20"/>
      <x:c r="F10" s="17"/>
      <x:c r="G10" s="17"/>
      <x:c r="H10" s="17"/>
    </x:row>
    <x:row r="11">
      <x:c r="A11" s="19" t="str">
        <x:v>Первое включение PASS / First power PASS</x:v>
      </x:c>
      <x:c r="B11" s="19" t="n">
        <x:f>COUNTIF('Первое включение'!V5:V45,"PASS")</x:f>
        <x:v>0</x:v>
      </x:c>
      <x:c r="C11" s="19" t="str">
        <x:f>IF(B11=41,"READY","HOLD")</x:f>
        <x:v>HOLD</x:v>
      </x:c>
      <x:c r="D11" s="20"/>
      <x:c r="E11" s="20"/>
      <x:c r="F11" s="17"/>
      <x:c r="G11" s="17"/>
      <x:c r="H11" s="17"/>
    </x:row>
    <x:row r="12">
      <x:c r="A12" s="19" t="str">
        <x:v>EOL PASS</x:v>
      </x:c>
      <x:c r="B12" s="19" t="n">
        <x:f>COUNTIF('EOL 41'!Q5:Q45,"PASS")</x:f>
        <x:v>0</x:v>
      </x:c>
      <x:c r="C12" s="19" t="str">
        <x:f>IF(B12=41,"READY","HOLD")</x:f>
        <x:v>HOLD</x:v>
      </x:c>
      <x:c r="D12" s="20"/>
      <x:c r="E12" s="20"/>
      <x:c r="F12" s="17"/>
      <x:c r="G12" s="17"/>
      <x:c r="H12" s="17"/>
    </x:row>
    <x:row r="13">
      <x:c r="A13" s="19" t="str">
        <x:v>Монтаж PASS / Installation PASS</x:v>
      </x:c>
      <x:c r="B13" s="19" t="n">
        <x:f>COUNTIF('Монтаж 41'!X5:X45,"PASS")</x:f>
        <x:v>0</x:v>
      </x:c>
      <x:c r="C13" s="19" t="str">
        <x:f>IF(B13=40,"READY","HOLD")</x:f>
        <x:v>HOLD</x:v>
      </x:c>
      <x:c r="D13" s="20"/>
      <x:c r="E13" s="20"/>
      <x:c r="F13" s="17"/>
      <x:c r="G13" s="17"/>
      <x:c r="H13" s="17"/>
    </x:row>
    <x:row r="14">
      <x:c r="A14" s="20"/>
      <x:c r="B14" s="20"/>
      <x:c r="C14" s="20"/>
      <x:c r="D14" s="20"/>
      <x:c r="E14" s="20"/>
      <x:c r="F14" s="17"/>
      <x:c r="G14" s="17"/>
      <x:c r="H14" s="17"/>
    </x:row>
    <x:row r="15">
      <x:c r="A15" s="21" t="str">
        <x:v>Решение / Decision</x:v>
      </x:c>
      <x:c r="B15" s="21" t="str">
        <x:v>Условие / Requirement</x:v>
      </x:c>
      <x:c r="C15" s="21" t="str">
        <x:v>Ответственный / Owner</x:v>
      </x:c>
      <x:c r="D15" s="21" t="str">
        <x:v>Статус / Status</x:v>
      </x:c>
      <x:c r="E15" s="21" t="str">
        <x:v>Комментарий / Comment</x:v>
      </x:c>
      <x:c r="F15" s="17"/>
      <x:c r="G15" s="17"/>
      <x:c r="H15" s="17"/>
    </x:row>
    <x:row r="16">
      <x:c r="A16" s="19" t="str">
        <x:v>Параметры утверждены / Parameters frozen</x:v>
      </x:c>
      <x:c r="B16" s="19" t="str">
        <x:v>24 parameter records APPROVED with source and evidence</x:v>
      </x:c>
      <x:c r="C16" s="19" t="str">
        <x:v>Chief engineer + QA</x:v>
      </x:c>
      <x:c r="D16" s="19" t="str">
        <x:f>IF(B8=0,"READY","HOLD")</x:f>
        <x:v>HOLD</x:v>
      </x:c>
      <x:c r="E16" s="19" t="str">
        <x:v>OPEN parameters currently keep HOLD</x:v>
      </x:c>
      <x:c r="F16" s="17"/>
      <x:c r="G16" s="17"/>
      <x:c r="H16" s="17"/>
    </x:row>
    <x:row r="17">
      <x:c r="A17" s="19" t="str">
        <x:v>41 stations assembled</x:v>
      </x:c>
      <x:c r="B17" s="19" t="str">
        <x:v>assembly + initial power + EOL PASS for 41</x:v>
      </x:c>
      <x:c r="C17" s="19" t="str">
        <x:v>Manufacturing + Test</x:v>
      </x:c>
      <x:c r="D17" s="19" t="str">
        <x:f>IF(AND(B10=41,B11=41,B12=41),"READY","HOLD")</x:f>
        <x:v>HOLD</x:v>
      </x:c>
      <x:c r="E17" s="19" t="str">
        <x:v>B01 and every field unit require records</x:v>
      </x:c>
      <x:c r="F17" s="17"/>
      <x:c r="G17" s="17"/>
      <x:c r="H17" s="17"/>
    </x:row>
    <x:row r="18">
      <x:c r="A18" s="19" t="str">
        <x:v>40 field stations ready</x:v>
      </x:c>
      <x:c r="B18" s="19" t="str">
        <x:v>installation PASS for DIO-EVT-001…040</x:v>
      </x:c>
      <x:c r="C18" s="19" t="str">
        <x:v>Field QA</x:v>
      </x:c>
      <x:c r="D18" s="19" t="str">
        <x:f>IF(B13=40,"READY","HOLD")</x:f>
        <x:v>HOLD</x:v>
      </x:c>
      <x:c r="E18" s="19" t="str">
        <x:v>B01 is bench unless separately approved</x:v>
      </x:c>
      <x:c r="F18" s="17"/>
      <x:c r="G18" s="17"/>
      <x:c r="H18" s="17"/>
    </x:row>
    <x:row r="19">
      <x:c r="A19" s="19" t="str">
        <x:v>Final production lock</x:v>
      </x:c>
      <x:c r="B19" s="19" t="str">
        <x:v>hardware qualification, factory FA and firmware lock closed</x:v>
      </x:c>
      <x:c r="C19" s="19" t="str">
        <x:v>Release board</x:v>
      </x:c>
      <x:c r="D19" s="19" t="str">
        <x:f>IF(AND(D16="READY",D17="READY",D18="READY"),"READY","HOLD")</x:f>
        <x:v>HOLD</x:v>
      </x:c>
      <x:c r="E19" s="19" t="str">
        <x:v>No automatic claim of final production readiness</x:v>
      </x:c>
      <x:c r="F19" s="17"/>
      <x:c r="G19" s="17"/>
      <x:c r="H19" s="17"/>
    </x:row>
  </x:sheetData>
  <x:mergeCells>
    <x:mergeCell ref="A1:H1"/>
    <x:mergeCell ref="A2:H2"/>
  </x:mergeCells>
  <x:conditionalFormatting sqref="C5:C13">
    <x:cfRule type="containsText" dxfId="0" priority="1" operator="containsText" text="PASS"/>
    <x:cfRule type="containsText" dxfId="1" priority="2" operator="containsText" text="READY"/>
    <x:cfRule type="containsText" dxfId="2" priority="3" operator="containsText" text="HOLD"/>
    <x:cfRule type="containsText" dxfId="3" priority="4" operator="containsText" text="OPEN"/>
    <x:cfRule type="containsText" dxfId="4" priority="5" operator="containsText" text="FAIL"/>
    <x:cfRule type="containsText" dxfId="5" priority="6" operator="containsText" text="NOT_RUN"/>
  </x:conditionalFormatting>
  <x:conditionalFormatting sqref="D16:D19">
    <x:cfRule type="containsText" dxfId="6" priority="7" operator="containsText" text="PASS"/>
    <x:cfRule type="containsText" dxfId="7" priority="8" operator="containsText" text="READY"/>
    <x:cfRule type="containsText" dxfId="8" priority="9" operator="containsText" text="HOLD"/>
    <x:cfRule type="containsText" dxfId="9" priority="10" operator="containsText" text="OPEN"/>
    <x:cfRule type="containsText" dxfId="10" priority="11" operator="containsText" text="FAIL"/>
    <x:cfRule type="containsText" dxfId="11" priority="12" operator="containsText" text="NOT_RU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16" hidden="0" customWidth="1"/>
    <x:col min="9" max="9" width="38" hidden="0" customWidth="1"/>
    <x:col min="10" max="10" width="30" hidden="0" customWidth="1"/>
  </x:cols>
  <x:sheetData>
    <x:row r="1" ht="28" customHeight="1">
      <x:c r="A1" s="2" t="str">
        <x:v>РЕЕСТР УТВЕРЖДЕНИЯ ПАРАМЕТРОВ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Численное значение становится приемочным только после APPROVED, источника, подписей и evidence SHA-256. / A numeric value becomes an acceptance limit only after approval, source, signatures and evidence SHA-256.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25" t="str">
        <x:v>Parameter_ID</x:v>
      </x:c>
      <x:c r="B4" s="25" t="str">
        <x:v>Parameter_RU_EN</x:v>
      </x:c>
      <x:c r="C4" s="25" t="str">
        <x:v>Required_Source</x:v>
      </x:c>
      <x:c r="D4" s="25" t="str">
        <x:v>Unit</x:v>
      </x:c>
      <x:c r="E4" s="25" t="str">
        <x:v>Approved_Value</x:v>
      </x:c>
      <x:c r="F4" s="25" t="str">
        <x:v>Status</x:v>
      </x:c>
      <x:c r="G4" s="25" t="str">
        <x:v>Approver</x:v>
      </x:c>
      <x:c r="H4" s="25" t="str">
        <x:v>Approval_Date</x:v>
      </x:c>
      <x:c r="I4" s="25" t="str">
        <x:v>Evidence_SHA256</x:v>
      </x:c>
      <x:c r="J4" s="25" t="str">
        <x:v>Notes</x:v>
      </x:c>
    </x:row>
    <x:row r="5">
      <x:c r="A5" s="29" t="str">
        <x:v>PAR-H01</x:v>
      </x:c>
      <x:c r="B5" s="29" t="str">
        <x:v>430300001 / Alpha 3051 strip length</x:v>
      </x:c>
      <x:c r="C5" s="29" t="str">
        <x:v>terminal and wire supplier instruction</x:v>
      </x:c>
      <x:c r="D5" s="29" t="str">
        <x:v>mm</x:v>
      </x:c>
      <x:c r="E5" s="29" t="str"/>
      <x:c r="F5" s="29" t="str">
        <x:v>OPEN_SUPPLIER_FIRST_ARTICLE</x:v>
      </x:c>
      <x:c r="G5" s="29" t="str"/>
      <x:c r="H5" s="29" t="str"/>
      <x:c r="I5" s="29" t="str"/>
      <x:c r="J5" s="29" t="str">
        <x:v>PASS prohibited until APPROVED</x:v>
      </x:c>
    </x:row>
    <x:row r="6">
      <x:c r="A6" s="29" t="str">
        <x:v>PAR-H02</x:v>
      </x:c>
      <x:c r="B6" s="29" t="str">
        <x:v>430300001 conductor crimp height</x:v>
      </x:c>
      <x:c r="C6" s="29" t="str">
        <x:v>terminal applicator setup sheet</x:v>
      </x:c>
      <x:c r="D6" s="29" t="str">
        <x:v>mm</x:v>
      </x:c>
      <x:c r="E6" s="29" t="str"/>
      <x:c r="F6" s="29" t="str">
        <x:v>OPEN_SUPPLIER_FIRST_ARTICLE</x:v>
      </x:c>
      <x:c r="G6" s="29" t="str"/>
      <x:c r="H6" s="29" t="str"/>
      <x:c r="I6" s="29" t="str"/>
      <x:c r="J6" s="29" t="str">
        <x:v>PASS prohibited until APPROVED</x:v>
      </x:c>
    </x:row>
    <x:row r="7">
      <x:c r="A7" s="29" t="str">
        <x:v>PAR-H03</x:v>
      </x:c>
      <x:c r="B7" s="29" t="str">
        <x:v>430300001 minimum pull force</x:v>
      </x:c>
      <x:c r="C7" s="29" t="str">
        <x:v>terminal and wire supplier instruction</x:v>
      </x:c>
      <x:c r="D7" s="29" t="str">
        <x:v>N</x:v>
      </x:c>
      <x:c r="E7" s="29" t="str"/>
      <x:c r="F7" s="29" t="str">
        <x:v>OPEN_SUPPLIER_FIRST_ARTICLE</x:v>
      </x:c>
      <x:c r="G7" s="29" t="str"/>
      <x:c r="H7" s="29" t="str"/>
      <x:c r="I7" s="29" t="str"/>
      <x:c r="J7" s="29" t="str">
        <x:v>PASS prohibited until APPROVED</x:v>
      </x:c>
    </x:row>
    <x:row r="8">
      <x:c r="A8" s="29" t="str">
        <x:v>PAR-H04</x:v>
      </x:c>
      <x:c r="B8" s="29" t="str">
        <x:v>430300038 / TE 55A0111-18 strip length</x:v>
      </x:c>
      <x:c r="C8" s="29" t="str">
        <x:v>terminal and wire supplier instruction</x:v>
      </x:c>
      <x:c r="D8" s="29" t="str">
        <x:v>mm</x:v>
      </x:c>
      <x:c r="E8" s="29" t="str"/>
      <x:c r="F8" s="29" t="str">
        <x:v>OPEN_SUPPLIER_FIRST_ARTICLE</x:v>
      </x:c>
      <x:c r="G8" s="29" t="str"/>
      <x:c r="H8" s="29" t="str"/>
      <x:c r="I8" s="29" t="str"/>
      <x:c r="J8" s="29" t="str">
        <x:v>PASS prohibited until APPROVED</x:v>
      </x:c>
    </x:row>
    <x:row r="9">
      <x:c r="A9" s="29" t="str">
        <x:v>PAR-H05</x:v>
      </x:c>
      <x:c r="B9" s="29" t="str">
        <x:v>430300038 conductor crimp height</x:v>
      </x:c>
      <x:c r="C9" s="29" t="str">
        <x:v>terminal applicator setup sheet</x:v>
      </x:c>
      <x:c r="D9" s="29" t="str">
        <x:v>mm</x:v>
      </x:c>
      <x:c r="E9" s="29" t="str"/>
      <x:c r="F9" s="29" t="str">
        <x:v>OPEN_SUPPLIER_FIRST_ARTICLE</x:v>
      </x:c>
      <x:c r="G9" s="29" t="str"/>
      <x:c r="H9" s="29" t="str"/>
      <x:c r="I9" s="29" t="str"/>
      <x:c r="J9" s="29" t="str">
        <x:v>PASS prohibited until APPROVED</x:v>
      </x:c>
    </x:row>
    <x:row r="10">
      <x:c r="A10" s="29" t="str">
        <x:v>PAR-H06</x:v>
      </x:c>
      <x:c r="B10" s="29" t="str">
        <x:v>430300038 minimum pull force</x:v>
      </x:c>
      <x:c r="C10" s="29" t="str">
        <x:v>terminal and wire supplier instruction</x:v>
      </x:c>
      <x:c r="D10" s="29" t="str">
        <x:v>N</x:v>
      </x:c>
      <x:c r="E10" s="29" t="str"/>
      <x:c r="F10" s="29" t="str">
        <x:v>OPEN_SUPPLIER_FIRST_ARTICLE</x:v>
      </x:c>
      <x:c r="G10" s="29" t="str"/>
      <x:c r="H10" s="29" t="str"/>
      <x:c r="I10" s="29" t="str"/>
      <x:c r="J10" s="29" t="str">
        <x:v>PASS prohibited until APPROVED</x:v>
      </x:c>
    </x:row>
    <x:row r="11">
      <x:c r="A11" s="29" t="str">
        <x:v>PAR-H07</x:v>
      </x:c>
      <x:c r="B11" s="29" t="str">
        <x:v>5040520098 / TE 55A0111-24 strip length</x:v>
      </x:c>
      <x:c r="C11" s="29" t="str">
        <x:v>terminal and wire supplier instruction</x:v>
      </x:c>
      <x:c r="D11" s="29" t="str">
        <x:v>mm</x:v>
      </x:c>
      <x:c r="E11" s="29" t="str"/>
      <x:c r="F11" s="29" t="str">
        <x:v>OPEN_SUPPLIER_FIRST_ARTICLE</x:v>
      </x:c>
      <x:c r="G11" s="29" t="str"/>
      <x:c r="H11" s="29" t="str"/>
      <x:c r="I11" s="29" t="str"/>
      <x:c r="J11" s="29" t="str">
        <x:v>PASS prohibited until APPROVED</x:v>
      </x:c>
    </x:row>
    <x:row r="12">
      <x:c r="A12" s="29" t="str">
        <x:v>PAR-H08</x:v>
      </x:c>
      <x:c r="B12" s="29" t="str">
        <x:v>5040520098 conductor crimp height</x:v>
      </x:c>
      <x:c r="C12" s="29" t="str">
        <x:v>terminal applicator setup sheet</x:v>
      </x:c>
      <x:c r="D12" s="29" t="str">
        <x:v>mm</x:v>
      </x:c>
      <x:c r="E12" s="29" t="str"/>
      <x:c r="F12" s="29" t="str">
        <x:v>OPEN_SUPPLIER_FIRST_ARTICLE</x:v>
      </x:c>
      <x:c r="G12" s="29" t="str"/>
      <x:c r="H12" s="29" t="str"/>
      <x:c r="I12" s="29" t="str"/>
      <x:c r="J12" s="29" t="str">
        <x:v>PASS prohibited until APPROVED</x:v>
      </x:c>
    </x:row>
    <x:row r="13">
      <x:c r="A13" s="29" t="str">
        <x:v>PAR-H09</x:v>
      </x:c>
      <x:c r="B13" s="29" t="str">
        <x:v>5040520098 minimum pull force</x:v>
      </x:c>
      <x:c r="C13" s="29" t="str">
        <x:v>terminal and wire supplier instruction</x:v>
      </x:c>
      <x:c r="D13" s="29" t="str">
        <x:v>N</x:v>
      </x:c>
      <x:c r="E13" s="29" t="str"/>
      <x:c r="F13" s="29" t="str">
        <x:v>OPEN_SUPPLIER_FIRST_ARTICLE</x:v>
      </x:c>
      <x:c r="G13" s="29" t="str"/>
      <x:c r="H13" s="29" t="str"/>
      <x:c r="I13" s="29" t="str"/>
      <x:c r="J13" s="29" t="str">
        <x:v>PASS prohibited until APPROVED</x:v>
      </x:c>
    </x:row>
    <x:row r="14">
      <x:c r="A14" s="29" t="str">
        <x:v>PAR-H10</x:v>
      </x:c>
      <x:c r="B14" s="29" t="str">
        <x:v>8-34114-1 / TE 55A0111-18 strip and crimp setup</x:v>
      </x:c>
      <x:c r="C14" s="29" t="str">
        <x:v>TE tooling instruction and first-off record</x:v>
      </x:c>
      <x:c r="D14" s="29" t="str">
        <x:v>controlled setup</x:v>
      </x:c>
      <x:c r="E14" s="29" t="str"/>
      <x:c r="F14" s="29" t="str">
        <x:v>OPEN_SUPPLIER_FIRST_ARTICLE</x:v>
      </x:c>
      <x:c r="G14" s="29" t="str"/>
      <x:c r="H14" s="29" t="str"/>
      <x:c r="I14" s="29" t="str"/>
      <x:c r="J14" s="29" t="str">
        <x:v>PASS prohibited until APPROVED</x:v>
      </x:c>
    </x:row>
    <x:row r="15">
      <x:c r="A15" s="29" t="str">
        <x:v>PAR-H11</x:v>
      </x:c>
      <x:c r="B15" s="29" t="str">
        <x:v>8-34114-1 minimum pull force</x:v>
      </x:c>
      <x:c r="C15" s="29" t="str">
        <x:v>TE terminal and wire instruction</x:v>
      </x:c>
      <x:c r="D15" s="29" t="str">
        <x:v>N</x:v>
      </x:c>
      <x:c r="E15" s="29" t="str"/>
      <x:c r="F15" s="29" t="str">
        <x:v>OPEN_SUPPLIER_FIRST_ARTICLE</x:v>
      </x:c>
      <x:c r="G15" s="29" t="str"/>
      <x:c r="H15" s="29" t="str"/>
      <x:c r="I15" s="29" t="str"/>
      <x:c r="J15" s="29" t="str">
        <x:v>PASS prohibited until APPROVED</x:v>
      </x:c>
    </x:row>
    <x:row r="16">
      <x:c r="A16" s="29" t="str">
        <x:v>PAR-H12</x:v>
      </x:c>
      <x:c r="B16" s="29" t="str">
        <x:v>production crimp sampling frequency</x:v>
      </x:c>
      <x:c r="C16" s="29" t="str">
        <x:v>supplier quality plan</x:v>
      </x:c>
      <x:c r="D16" s="29" t="str">
        <x:v>interval</x:v>
      </x:c>
      <x:c r="E16" s="29" t="str"/>
      <x:c r="F16" s="29" t="str">
        <x:v>OPEN_SUPPLIER_FIRST_ARTICLE</x:v>
      </x:c>
      <x:c r="G16" s="29" t="str"/>
      <x:c r="H16" s="29" t="str"/>
      <x:c r="I16" s="29" t="str"/>
      <x:c r="J16" s="29" t="str">
        <x:v>PASS prohibited until APPROVED</x:v>
      </x:c>
    </x:row>
    <x:row r="17">
      <x:c r="A17" s="29" t="str">
        <x:v>PAR-H13</x:v>
      </x:c>
      <x:c r="B17" s="29" t="str">
        <x:v>minimum installed bend radius by wire/harness</x:v>
      </x:c>
      <x:c r="C17" s="29" t="str">
        <x:v>wire and connector supplier data</x:v>
      </x:c>
      <x:c r="D17" s="29" t="str">
        <x:v>mm</x:v>
      </x:c>
      <x:c r="E17" s="29" t="str"/>
      <x:c r="F17" s="29" t="str">
        <x:v>OPEN_SUPPLIER_REVIEW</x:v>
      </x:c>
      <x:c r="G17" s="29" t="str"/>
      <x:c r="H17" s="29" t="str"/>
      <x:c r="I17" s="29" t="str"/>
      <x:c r="J17" s="29" t="str">
        <x:v>PASS prohibited until APPROVED</x:v>
      </x:c>
    </x:row>
    <x:row r="18">
      <x:c r="A18" s="29" t="str">
        <x:v>PAR-A01</x:v>
      </x:c>
      <x:c r="B18" s="29" t="str">
        <x:v>PCB-MAIN mounting torque</x:v>
      </x:c>
      <x:c r="C18" s="29" t="str">
        <x:v>approved mechanical drawing and fastener data</x:v>
      </x:c>
      <x:c r="D18" s="29" t="str">
        <x:v>N m</x:v>
      </x:c>
      <x:c r="E18" s="29" t="str"/>
      <x:c r="F18" s="29" t="str">
        <x:v>OPEN_MECHANICAL_APPROVAL</x:v>
      </x:c>
      <x:c r="G18" s="29" t="str"/>
      <x:c r="H18" s="29" t="str"/>
      <x:c r="I18" s="29" t="str"/>
      <x:c r="J18" s="29" t="str">
        <x:v>PASS prohibited until APPROVED</x:v>
      </x:c>
    </x:row>
    <x:row r="19">
      <x:c r="A19" s="29" t="str">
        <x:v>PAR-A02</x:v>
      </x:c>
      <x:c r="B19" s="29" t="str">
        <x:v>PCB-PWR mounting torque</x:v>
      </x:c>
      <x:c r="C19" s="29" t="str">
        <x:v>approved mechanical drawing and fastener data</x:v>
      </x:c>
      <x:c r="D19" s="29" t="str">
        <x:v>N m</x:v>
      </x:c>
      <x:c r="E19" s="29" t="str"/>
      <x:c r="F19" s="29" t="str">
        <x:v>OPEN_MECHANICAL_APPROVAL</x:v>
      </x:c>
      <x:c r="G19" s="29" t="str"/>
      <x:c r="H19" s="29" t="str"/>
      <x:c r="I19" s="29" t="str"/>
      <x:c r="J19" s="29" t="str">
        <x:v>PASS prohibited until APPROVED</x:v>
      </x:c>
    </x:row>
    <x:row r="20">
      <x:c r="A20" s="29" t="str">
        <x:v>PAR-A03</x:v>
      </x:c>
      <x:c r="B20" s="29" t="str">
        <x:v>battery M8 ring-terminal torque</x:v>
      </x:c>
      <x:c r="C20" s="29" t="str">
        <x:v>battery and terminal manufacturer data</x:v>
      </x:c>
      <x:c r="D20" s="29" t="str">
        <x:v>N m</x:v>
      </x:c>
      <x:c r="E20" s="29" t="str"/>
      <x:c r="F20" s="29" t="str">
        <x:v>OPEN_VENDOR_APPROVAL</x:v>
      </x:c>
      <x:c r="G20" s="29" t="str"/>
      <x:c r="H20" s="29" t="str"/>
      <x:c r="I20" s="29" t="str"/>
      <x:c r="J20" s="29" t="str">
        <x:v>PASS prohibited until APPROVED</x:v>
      </x:c>
    </x:row>
    <x:row r="21">
      <x:c r="A21" s="29" t="str">
        <x:v>PAR-A04</x:v>
      </x:c>
      <x:c r="B21" s="29" t="str">
        <x:v>enclosure fastener torque and sequence</x:v>
      </x:c>
      <x:c r="C21" s="29" t="str">
        <x:v>approved enclosure drawing and first article</x:v>
      </x:c>
      <x:c r="D21" s="29" t="str">
        <x:v>N m</x:v>
      </x:c>
      <x:c r="E21" s="29" t="str"/>
      <x:c r="F21" s="29" t="str">
        <x:v>OPEN_B01_FIRST_ARTICLE</x:v>
      </x:c>
      <x:c r="G21" s="29" t="str"/>
      <x:c r="H21" s="29" t="str"/>
      <x:c r="I21" s="29" t="str"/>
      <x:c r="J21" s="29" t="str">
        <x:v>PASS prohibited until APPROVED</x:v>
      </x:c>
    </x:row>
    <x:row r="22">
      <x:c r="A22" s="29" t="str">
        <x:v>PAR-A05</x:v>
      </x:c>
      <x:c r="B22" s="29" t="str">
        <x:v>cable-gland torque</x:v>
      </x:c>
      <x:c r="C22" s="29" t="str">
        <x:v>selected gland manufacturer data</x:v>
      </x:c>
      <x:c r="D22" s="29" t="str">
        <x:v>N m</x:v>
      </x:c>
      <x:c r="E22" s="29" t="str"/>
      <x:c r="F22" s="29" t="str">
        <x:v>OPEN_VENDOR_APPROVAL</x:v>
      </x:c>
      <x:c r="G22" s="29" t="str"/>
      <x:c r="H22" s="29" t="str"/>
      <x:c r="I22" s="29" t="str"/>
      <x:c r="J22" s="29" t="str">
        <x:v>PASS prohibited until APPROVED</x:v>
      </x:c>
    </x:row>
    <x:row r="23">
      <x:c r="A23" s="29" t="str">
        <x:v>PAR-P01</x:v>
      </x:c>
      <x:c r="B23" s="29" t="str">
        <x:v>first-power current limit and trip action</x:v>
      </x:c>
      <x:c r="C23" s="29" t="str">
        <x:v>B01 power qualification record</x:v>
      </x:c>
      <x:c r="D23" s="29" t="str">
        <x:v>A</x:v>
      </x:c>
      <x:c r="E23" s="29" t="str"/>
      <x:c r="F23" s="29" t="str">
        <x:v>OPEN_B01_MEASUREMENT</x:v>
      </x:c>
      <x:c r="G23" s="29" t="str"/>
      <x:c r="H23" s="29" t="str"/>
      <x:c r="I23" s="29" t="str"/>
      <x:c r="J23" s="29" t="str">
        <x:v>PASS prohibited until APPROVED</x:v>
      </x:c>
    </x:row>
    <x:row r="24">
      <x:c r="A24" s="29" t="str">
        <x:v>PAR-P02</x:v>
      </x:c>
      <x:c r="B24" s="29" t="str">
        <x:v>first-power dwell and thermal limit</x:v>
      </x:c>
      <x:c r="C24" s="29" t="str">
        <x:v>B01 thermal qualification record</x:v>
      </x:c>
      <x:c r="D24" s="29" t="str">
        <x:v>s / C</x:v>
      </x:c>
      <x:c r="E24" s="29" t="str"/>
      <x:c r="F24" s="29" t="str">
        <x:v>OPEN_B01_MEASUREMENT</x:v>
      </x:c>
      <x:c r="G24" s="29" t="str"/>
      <x:c r="H24" s="29" t="str"/>
      <x:c r="I24" s="29" t="str"/>
      <x:c r="J24" s="29" t="str">
        <x:v>PASS prohibited until APPROVED</x:v>
      </x:c>
    </x:row>
    <x:row r="25">
      <x:c r="A25" s="29" t="str">
        <x:v>PAR-P03</x:v>
      </x:c>
      <x:c r="B25" s="29" t="str">
        <x:v>rail resistance and voltage acceptance limits</x:v>
      </x:c>
      <x:c r="C25" s="29" t="str">
        <x:v>B01 qualification and design review</x:v>
      </x:c>
      <x:c r="D25" s="29" t="str">
        <x:v>ohm / V</x:v>
      </x:c>
      <x:c r="E25" s="29" t="str"/>
      <x:c r="F25" s="29" t="str">
        <x:v>OPEN_B01_MEASUREMENT</x:v>
      </x:c>
      <x:c r="G25" s="29" t="str"/>
      <x:c r="H25" s="29" t="str"/>
      <x:c r="I25" s="29" t="str"/>
      <x:c r="J25" s="29" t="str">
        <x:v>PASS prohibited until APPROVED</x:v>
      </x:c>
    </x:row>
    <x:row r="26">
      <x:c r="A26" s="29" t="str">
        <x:v>PAR-I01</x:v>
      </x:c>
      <x:c r="B26" s="29" t="str">
        <x:v>site anchors and tightening torque</x:v>
      </x:c>
      <x:c r="C26" s="29" t="str">
        <x:v>approved site structural design</x:v>
      </x:c>
      <x:c r="D26" s="29" t="str">
        <x:v>type / N m</x:v>
      </x:c>
      <x:c r="E26" s="29" t="str"/>
      <x:c r="F26" s="29" t="str">
        <x:v>OPEN_SITE_DESIGN</x:v>
      </x:c>
      <x:c r="G26" s="29" t="str"/>
      <x:c r="H26" s="29" t="str"/>
      <x:c r="I26" s="29" t="str"/>
      <x:c r="J26" s="29" t="str">
        <x:v>PASS prohibited until APPROVED</x:v>
      </x:c>
    </x:row>
    <x:row r="27">
      <x:c r="A27" s="29" t="str">
        <x:v>PAR-I02</x:v>
      </x:c>
      <x:c r="B27" s="29" t="str">
        <x:v>bonding and grounding acceptance limit</x:v>
      </x:c>
      <x:c r="C27" s="29" t="str">
        <x:v>approved site electrical design and local rules</x:v>
      </x:c>
      <x:c r="D27" s="29" t="str">
        <x:v>ohm</x:v>
      </x:c>
      <x:c r="E27" s="29" t="str"/>
      <x:c r="F27" s="29" t="str">
        <x:v>OPEN_SITE_DESIGN</x:v>
      </x:c>
      <x:c r="G27" s="29" t="str"/>
      <x:c r="H27" s="29" t="str"/>
      <x:c r="I27" s="29" t="str"/>
      <x:c r="J27" s="29" t="str">
        <x:v>PASS prohibited until APPROVED</x:v>
      </x:c>
    </x:row>
    <x:row r="28">
      <x:c r="A28" s="29" t="str">
        <x:v>PAR-I03</x:v>
      </x:c>
      <x:c r="B28" s="29" t="str">
        <x:v>installed enclosure leak test method and limit</x:v>
      </x:c>
      <x:c r="C28" s="29" t="str">
        <x:v>enclosure qualification and site procedure</x:v>
      </x:c>
      <x:c r="D28" s="29" t="str">
        <x:v>pressure / time / decay</x:v>
      </x:c>
      <x:c r="E28" s="29" t="str"/>
      <x:c r="F28" s="29" t="str">
        <x:v>OPEN_B01_FIRST_ARTICLE</x:v>
      </x:c>
      <x:c r="G28" s="29" t="str"/>
      <x:c r="H28" s="29" t="str"/>
      <x:c r="I28" s="29" t="str"/>
      <x:c r="J28" s="29" t="str">
        <x:v>PASS prohibited until APPROVED</x:v>
      </x:c>
    </x:row>
  </x:sheetData>
  <x:mergeCells>
    <x:mergeCell ref="A1:J1"/>
    <x:mergeCell ref="A2:J2"/>
  </x:mergeCells>
  <x:conditionalFormatting sqref="F5:F28">
    <x:cfRule type="containsText" dxfId="12" priority="1" operator="containsText" text="PASS"/>
    <x:cfRule type="containsText" dxfId="13" priority="2" operator="containsText" text="READY"/>
    <x:cfRule type="containsText" dxfId="14" priority="3" operator="containsText" text="HOLD"/>
    <x:cfRule type="containsText" dxfId="15" priority="4" operator="containsText" text="OPEN"/>
    <x:cfRule type="containsText" dxfId="16" priority="5" operator="containsText" text="FAIL"/>
    <x:cfRule type="containsText" dxfId="17" priority="6" operator="containsText" text="NOT_RUN"/>
  </x:conditionalFormatting>
  <x:dataValidations count="1">
    <x:dataValidation type="list" sqref="F5:F28">
      <x:formula1>"APPROVED,OPEN_SUPPLIER_FIRST_ARTICLE,OPEN_SUPPLIER_REVIEW,OPEN_MECHANICAL_APPROVAL,OPEN_VENDOR_APPROVAL,OPEN_B01_FIRST_ARTICLE,OPEN_B01_MEASUREMENT,OPEN_SITE_DESIGN,REJECTED"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fe1d05fb754a7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44" hidden="0" customWidth="1"/>
    <x:col min="4" max="4" width="20" hidden="0" customWidth="1"/>
    <x:col min="5" max="5" width="32" hidden="0" customWidth="1"/>
    <x:col min="6" max="6" width="34" hidden="0" customWidth="1"/>
    <x:col min="7" max="7" width="34" hidden="0" customWidth="1"/>
    <x:col min="8" max="8" width="26" hidden="0" customWidth="1"/>
    <x:col min="9" max="9" width="14" hidden="0" customWidth="1"/>
  </x:cols>
  <x:sheetData>
    <x:row r="1" ht="28" customHeight="1">
      <x:c r="A1" s="2" t="str">
        <x:v>МАРШРУТ ПРОИЗВОДСТВА И КОНТРОЛЯ</x:v>
      </x:c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5" t="str">
        <x:v>32 операции от проверки выпуска до lot release; применяется к двум группам по 20 и B01. / 32 operations from release verification through lot release for two groups of 20 plus B01.</x:v>
      </x:c>
      <x:c r="B2" s="5"/>
      <x:c r="C2" s="5"/>
      <x:c r="D2" s="5"/>
      <x:c r="E2" s="5"/>
      <x:c r="F2" s="5"/>
      <x:c r="G2" s="5"/>
      <x:c r="H2" s="5"/>
      <x:c r="I2" s="5"/>
    </x:row>
    <x:row r="4" ht="32" customHeight="1">
      <x:c r="A4" s="25" t="str">
        <x:v>Step</x:v>
      </x:c>
      <x:c r="B4" s="25" t="str">
        <x:v>Gate</x:v>
      </x:c>
      <x:c r="C4" s="25" t="str">
        <x:v>Operation_RU_EN</x:v>
      </x:c>
      <x:c r="D4" s="25" t="str">
        <x:v>Applies_To</x:v>
      </x:c>
      <x:c r="E4" s="25" t="str">
        <x:v>Prerequisite_or_Parameters</x:v>
      </x:c>
      <x:c r="F4" s="25" t="str">
        <x:v>Acceptance</x:v>
      </x:c>
      <x:c r="G4" s="25" t="str">
        <x:v>Evidence</x:v>
      </x:c>
      <x:c r="H4" s="25" t="str">
        <x:v>Rework_or_Hold</x:v>
      </x:c>
      <x:c r="I4" s="25" t="str">
        <x:v>Status</x:v>
      </x:c>
    </x:row>
    <x:row r="5">
      <x:c r="A5" s="29" t="str">
        <x:v>MFG-010</x:v>
      </x:c>
      <x:c r="B5" s="29" t="str">
        <x:v>QG0</x:v>
      </x:c>
      <x:c r="C5" s="29" t="str">
        <x:v>Verify REV_D10 archive and SHA-256 / Проверить архив и SHA-256</x:v>
      </x:c>
      <x:c r="D5" s="29" t="str">
        <x:v>LOT</x:v>
      </x:c>
      <x:c r="E5" s="29" t="str">
        <x:v>release index and verifier</x:v>
      </x:c>
      <x:c r="F5" s="29" t="str">
        <x:v>all hashes match</x:v>
      </x:c>
      <x:c r="G5" s="29" t="str">
        <x:v>verification log</x:v>
      </x:c>
      <x:c r="H5" s="29" t="str">
        <x:v>HOLD</x:v>
      </x:c>
      <x:c r="I5" s="29" t="str">
        <x:v>OPEN</x:v>
      </x:c>
    </x:row>
    <x:row r="6">
      <x:c r="A6" s="29" t="str">
        <x:v>MFG-020</x:v>
      </x:c>
      <x:c r="B6" s="29" t="str">
        <x:v>QG0</x:v>
      </x:c>
      <x:c r="C6" s="29" t="str">
        <x:v>Select procurement option 21 or 41 / Выбрать вариант 21 или 41</x:v>
      </x:c>
      <x:c r="D6" s="29" t="str">
        <x:v>LOT</x:v>
      </x:c>
      <x:c r="E6" s="29" t="str">
        <x:v>procurement decision</x:v>
      </x:c>
      <x:c r="F6" s="29" t="str">
        <x:v>one option signed</x:v>
      </x:c>
      <x:c r="G6" s="29" t="str">
        <x:v>selection record</x:v>
      </x:c>
      <x:c r="H6" s="29" t="str">
        <x:v>HOLD</x:v>
      </x:c>
      <x:c r="I6" s="29" t="str">
        <x:v>OPEN</x:v>
      </x:c>
    </x:row>
    <x:row r="7">
      <x:c r="A7" s="29" t="str">
        <x:v>MFG-030</x:v>
      </x:c>
      <x:c r="B7" s="29" t="str">
        <x:v>QG0</x:v>
      </x:c>
      <x:c r="C7" s="29" t="str">
        <x:v>Assign serial and traveller / Назначить serial и traveller</x:v>
      </x:c>
      <x:c r="D7" s="29" t="str">
        <x:v>41_IDENTITIES</x:v>
      </x:c>
      <x:c r="E7" s="29" t="str">
        <x:v>serial register</x:v>
      </x:c>
      <x:c r="F7" s="29" t="str">
        <x:v>unique DIO-EVT-001..040+B01</x:v>
      </x:c>
      <x:c r="G7" s="29" t="str">
        <x:v>traveller register</x:v>
      </x:c>
      <x:c r="H7" s="29" t="str">
        <x:v>HOLD</x:v>
      </x:c>
      <x:c r="I7" s="29" t="str">
        <x:v>OPEN</x:v>
      </x:c>
    </x:row>
    <x:row r="8">
      <x:c r="A8" s="29" t="str">
        <x:v>MFG-040</x:v>
      </x:c>
      <x:c r="B8" s="29" t="str">
        <x:v>QG0</x:v>
      </x:c>
      <x:c r="C8" s="29" t="str">
        <x:v>Incoming inspection / Входной контроль</x:v>
      </x:c>
      <x:c r="D8" s="29" t="str">
        <x:v>ALL_MATERIAL</x:v>
      </x:c>
      <x:c r="E8" s="29" t="str">
        <x:v>BOM AVL inspection plan</x:v>
      </x:c>
      <x:c r="F8" s="29" t="str">
        <x:v>accepted or approved deviation</x:v>
      </x:c>
      <x:c r="G8" s="29" t="str">
        <x:v>inspection record</x:v>
      </x:c>
      <x:c r="H8" s="29" t="str">
        <x:v>HOLD</x:v>
      </x:c>
      <x:c r="I8" s="29" t="str">
        <x:v>OPEN</x:v>
      </x:c>
    </x:row>
    <x:row r="9">
      <x:c r="A9" s="29" t="str">
        <x:v>MFG-050</x:v>
      </x:c>
      <x:c r="B9" s="29" t="str">
        <x:v>QG1</x:v>
      </x:c>
      <x:c r="C9" s="29" t="str">
        <x:v>Stencil paste placement and reflow / Печать пасты и оплавление</x:v>
      </x:c>
      <x:c r="D9" s="29" t="str">
        <x:v>ALL_PCBA</x:v>
      </x:c>
      <x:c r="E9" s="29" t="str">
        <x:v>released CAM PnP BOM profile</x:v>
      </x:c>
      <x:c r="F9" s="29" t="str">
        <x:v>profile accepted and traceable</x:v>
      </x:c>
      <x:c r="G9" s="29" t="str">
        <x:v>machine exports</x:v>
      </x:c>
      <x:c r="H9" s="29" t="str">
        <x:v>REWORK_OR_HOLD</x:v>
      </x:c>
      <x:c r="I9" s="29" t="str">
        <x:v>OPEN</x:v>
      </x:c>
    </x:row>
    <x:row r="10">
      <x:c r="A10" s="29" t="str">
        <x:v>MFG-060</x:v>
      </x:c>
      <x:c r="B10" s="29" t="str">
        <x:v>QG1</x:v>
      </x:c>
      <x:c r="C10" s="29" t="str">
        <x:v>AOI visual and required X-ray / AOI визуальный и X-ray</x:v>
      </x:c>
      <x:c r="D10" s="29" t="str">
        <x:v>ALL_PCBA</x:v>
      </x:c>
      <x:c r="E10" s="29" t="str">
        <x:v>inspection plan</x:v>
      </x:c>
      <x:c r="F10" s="29" t="str">
        <x:v>no unresolved defects</x:v>
      </x:c>
      <x:c r="G10" s="29" t="str">
        <x:v>images and defect log</x:v>
      </x:c>
      <x:c r="H10" s="29" t="str">
        <x:v>REWORK_AND_REPEAT</x:v>
      </x:c>
      <x:c r="I10" s="29" t="str">
        <x:v>OPEN</x:v>
      </x:c>
    </x:row>
    <x:row r="11">
      <x:c r="A11" s="29" t="str">
        <x:v>MFG-070</x:v>
      </x:c>
      <x:c r="B11" s="29" t="str">
        <x:v>QG1</x:v>
      </x:c>
      <x:c r="C11" s="29" t="str">
        <x:v>Bare-board rail resistance / Сопротивление шин</x:v>
      </x:c>
      <x:c r="D11" s="29" t="str">
        <x:v>ALL_PCBA</x:v>
      </x:c>
      <x:c r="E11" s="29" t="str">
        <x:v>approved limit set</x:v>
      </x:c>
      <x:c r="F11" s="29" t="str">
        <x:v>within approved limits</x:v>
      </x:c>
      <x:c r="G11" s="29" t="str">
        <x:v>measurement log</x:v>
      </x:c>
      <x:c r="H11" s="29" t="str">
        <x:v>HOLD</x:v>
      </x:c>
      <x:c r="I11" s="29" t="str">
        <x:v>OPEN</x:v>
      </x:c>
    </x:row>
    <x:row r="12">
      <x:c r="A12" s="29" t="str">
        <x:v>MFG-080</x:v>
      </x:c>
      <x:c r="B12" s="29" t="str">
        <x:v>QG1</x:v>
      </x:c>
      <x:c r="C12" s="29" t="str">
        <x:v>PCBA first power / Первое питание плат</x:v>
      </x:c>
      <x:c r="D12" s="29" t="str">
        <x:v>PCB_MAIN_PCB_PWR</x:v>
      </x:c>
      <x:c r="E12" s="29" t="str">
        <x:v>approved B01 setup</x:v>
      </x:c>
      <x:c r="F12" s="29" t="str">
        <x:v>no trip or abnormal heating</x:v>
      </x:c>
      <x:c r="G12" s="29" t="str">
        <x:v>power and thermal log</x:v>
      </x:c>
      <x:c r="H12" s="29" t="str">
        <x:v>HOLD</x:v>
      </x:c>
      <x:c r="I12" s="29" t="str">
        <x:v>OPEN</x:v>
      </x:c>
    </x:row>
    <x:row r="13">
      <x:c r="A13" s="29" t="str">
        <x:v>MFG-090</x:v>
      </x:c>
      <x:c r="B13" s="29" t="str">
        <x:v>QG1</x:v>
      </x:c>
      <x:c r="C13" s="29" t="str">
        <x:v>PCB-MAIN interface self-test / Самотест интерфейсов</x:v>
      </x:c>
      <x:c r="D13" s="29" t="str">
        <x:v>PCB_MAIN</x:v>
      </x:c>
      <x:c r="E13" s="29" t="str">
        <x:v>test firmware and fixture</x:v>
      </x:c>
      <x:c r="F13" s="29" t="str">
        <x:v>all fitted interfaces pass</x:v>
      </x:c>
      <x:c r="G13" s="29" t="str">
        <x:v>machine log</x:v>
      </x:c>
      <x:c r="H13" s="29" t="str">
        <x:v>REWORK_AND_FULL_RETEST</x:v>
      </x:c>
      <x:c r="I13" s="29" t="str">
        <x:v>OPEN</x:v>
      </x:c>
    </x:row>
    <x:row r="14">
      <x:c r="A14" s="29" t="str">
        <x:v>MFG-100</x:v>
      </x:c>
      <x:c r="B14" s="29" t="str">
        <x:v>QG1</x:v>
      </x:c>
      <x:c r="C14" s="29" t="str">
        <x:v>PCB-PWR protection/load test / Нагрузочный тест</x:v>
      </x:c>
      <x:c r="D14" s="29" t="str">
        <x:v>PCB_PWR</x:v>
      </x:c>
      <x:c r="E14" s="29" t="str">
        <x:v>approved load profile</x:v>
      </x:c>
      <x:c r="F14" s="29" t="str">
        <x:v>rails protection thermal pass</x:v>
      </x:c>
      <x:c r="G14" s="29" t="str">
        <x:v>CSV waveform and thermal</x:v>
      </x:c>
      <x:c r="H14" s="29" t="str">
        <x:v>HOLD</x:v>
      </x:c>
      <x:c r="I14" s="29" t="str">
        <x:v>OPEN</x:v>
      </x:c>
    </x:row>
    <x:row r="15">
      <x:c r="A15" s="29" t="str">
        <x:v>MFG-110</x:v>
      </x:c>
      <x:c r="B15" s="29" t="str">
        <x:v>QG1</x:v>
      </x:c>
      <x:c r="C15" s="29" t="str">
        <x:v>PCB-MIC calibration / Калибровка PCB-MIC</x:v>
      </x:c>
      <x:c r="D15" s="29" t="str">
        <x:v>PCB_MIC</x:v>
      </x:c>
      <x:c r="E15" s="29" t="str">
        <x:v>acoustic fixture</x:v>
      </x:c>
      <x:c r="F15" s="29" t="str">
        <x:v>identity gain phase noise pass</x:v>
      </x:c>
      <x:c r="G15" s="29" t="str">
        <x:v>per-board CSV</x:v>
      </x:c>
      <x:c r="H15" s="29" t="str">
        <x:v>HOLD</x:v>
      </x:c>
      <x:c r="I15" s="29" t="str">
        <x:v>OPEN</x:v>
      </x:c>
    </x:row>
    <x:row r="16">
      <x:c r="A16" s="29" t="str">
        <x:v>MFG-120</x:v>
      </x:c>
      <x:c r="B16" s="29" t="str">
        <x:v>QG1</x:v>
      </x:c>
      <x:c r="C16" s="29" t="str">
        <x:v>Harness first-off / First-off жгутов</x:v>
      </x:c>
      <x:c r="D16" s="29" t="str">
        <x:v>HARNESS_LOT</x:v>
      </x:c>
      <x:c r="E16" s="29" t="str">
        <x:v>approved tooling parameters</x:v>
      </x:c>
      <x:c r="F16" s="29" t="str">
        <x:v>crimp height pull and visual accepted</x:v>
      </x:c>
      <x:c r="G16" s="29" t="str">
        <x:v>first-off record</x:v>
      </x:c>
      <x:c r="H16" s="29" t="str">
        <x:v>HOLD</x:v>
      </x:c>
      <x:c r="I16" s="29" t="str">
        <x:v>OPEN</x:v>
      </x:c>
    </x:row>
    <x:row r="17">
      <x:c r="A17" s="29" t="str">
        <x:v>MFG-130</x:v>
      </x:c>
      <x:c r="B17" s="29" t="str">
        <x:v>QG1</x:v>
      </x:c>
      <x:c r="C17" s="29" t="str">
        <x:v>Build and 100 percent test harnesses / Сборка и контроль жгутов</x:v>
      </x:c>
      <x:c r="D17" s="29" t="str">
        <x:v>246_HARNESSES</x:v>
      </x:c>
      <x:c r="E17" s="29" t="str">
        <x:v>first-off accepted</x:v>
      </x:c>
      <x:c r="F17" s="29" t="str">
        <x:v>continuity polarity resistance length pass</x:v>
      </x:c>
      <x:c r="G17" s="29" t="str">
        <x:v>tester export</x:v>
      </x:c>
      <x:c r="H17" s="29" t="str">
        <x:v>REWORK_AND_FULL_RETEST</x:v>
      </x:c>
      <x:c r="I17" s="29" t="str">
        <x:v>OPEN</x:v>
      </x:c>
    </x:row>
    <x:row r="18">
      <x:c r="A18" s="29" t="str">
        <x:v>MFG-140</x:v>
      </x:c>
      <x:c r="B18" s="29" t="str">
        <x:v>QG1</x:v>
      </x:c>
      <x:c r="C18" s="29" t="str">
        <x:v>Prepare enclosure / Подготовить корпус</x:v>
      </x:c>
      <x:c r="D18" s="29" t="str">
        <x:v>41_IDENTITIES</x:v>
      </x:c>
      <x:c r="E18" s="29" t="str">
        <x:v>accepted enclosure parts</x:v>
      </x:c>
      <x:c r="F18" s="29" t="str">
        <x:v>fit and cleanliness pass</x:v>
      </x:c>
      <x:c r="G18" s="29" t="str">
        <x:v>photos and lot IDs</x:v>
      </x:c>
      <x:c r="H18" s="29" t="str">
        <x:v>HOLD</x:v>
      </x:c>
      <x:c r="I18" s="29" t="str">
        <x:v>OPEN</x:v>
      </x:c>
    </x:row>
    <x:row r="19">
      <x:c r="A19" s="29" t="str">
        <x:v>MFG-150</x:v>
      </x:c>
      <x:c r="B19" s="29" t="str">
        <x:v>QG1</x:v>
      </x:c>
      <x:c r="C19" s="29" t="str">
        <x:v>Install PCB-MAIN and RF / Установить PCB-MAIN и RF</x:v>
      </x:c>
      <x:c r="D19" s="29" t="str">
        <x:v>41_IDENTITIES</x:v>
      </x:c>
      <x:c r="E19" s="29" t="str">
        <x:v>accepted PCB and PAR-A01</x:v>
      </x:c>
      <x:c r="F19" s="29" t="str">
        <x:v>routing and torque pass</x:v>
      </x:c>
      <x:c r="G19" s="29" t="str">
        <x:v>traveller photos and torque</x:v>
      </x:c>
      <x:c r="H19" s="29" t="str">
        <x:v>HOLD</x:v>
      </x:c>
      <x:c r="I19" s="29" t="str">
        <x:v>OPEN</x:v>
      </x:c>
    </x:row>
    <x:row r="20">
      <x:c r="A20" s="29" t="str">
        <x:v>MFG-160</x:v>
      </x:c>
      <x:c r="B20" s="29" t="str">
        <x:v>QG1</x:v>
      </x:c>
      <x:c r="C20" s="29" t="str">
        <x:v>Install four PCB-MIC / Установить четыре PCB-MIC</x:v>
      </x:c>
      <x:c r="D20" s="29" t="str">
        <x:v>41_IDENTITIES</x:v>
      </x:c>
      <x:c r="E20" s="29" t="str">
        <x:v>four accepted modules</x:v>
      </x:c>
      <x:c r="F20" s="29" t="str">
        <x:v>identity and port cleanliness pass</x:v>
      </x:c>
      <x:c r="G20" s="29" t="str">
        <x:v>IDs and photos</x:v>
      </x:c>
      <x:c r="H20" s="29" t="str">
        <x:v>HOLD</x:v>
      </x:c>
      <x:c r="I20" s="29" t="str">
        <x:v>OPEN</x:v>
      </x:c>
    </x:row>
    <x:row r="21">
      <x:c r="A21" s="29" t="str">
        <x:v>MFG-170</x:v>
      </x:c>
      <x:c r="B21" s="29" t="str">
        <x:v>QG1</x:v>
      </x:c>
      <x:c r="C21" s="29" t="str">
        <x:v>Verify microphone geometry / Проверить геометрию</x:v>
      </x:c>
      <x:c r="D21" s="29" t="str">
        <x:v>41_IDENTITIES</x:v>
      </x:c>
      <x:c r="E21" s="29" t="str">
        <x:v>approved jig and limits</x:v>
      </x:c>
      <x:c r="F21" s="29" t="str">
        <x:v>all dimensions pass</x:v>
      </x:c>
      <x:c r="G21" s="29" t="str">
        <x:v>measurements and photo</x:v>
      </x:c>
      <x:c r="H21" s="29" t="str">
        <x:v>HOLD</x:v>
      </x:c>
      <x:c r="I21" s="29" t="str">
        <x:v>OPEN</x:v>
      </x:c>
    </x:row>
    <x:row r="22">
      <x:c r="A22" s="29" t="str">
        <x:v>MFG-180</x:v>
      </x:c>
      <x:c r="B22" s="29" t="str">
        <x:v>QG1</x:v>
      </x:c>
      <x:c r="C22" s="29" t="str">
        <x:v>Install PCB-PWR and power module / Установить силовой модуль</x:v>
      </x:c>
      <x:c r="D22" s="29" t="str">
        <x:v>41_IDENTITIES</x:v>
      </x:c>
      <x:c r="E22" s="29" t="str">
        <x:v>PAR-A02/A03 approved</x:v>
      </x:c>
      <x:c r="F22" s="29" t="str">
        <x:v>polarity torque strain relief pass</x:v>
      </x:c>
      <x:c r="G22" s="29" t="str">
        <x:v>traveller and torque</x:v>
      </x:c>
      <x:c r="H22" s="29" t="str">
        <x:v>HOLD</x:v>
      </x:c>
      <x:c r="I22" s="29" t="str">
        <x:v>OPEN</x:v>
      </x:c>
    </x:row>
    <x:row r="23">
      <x:c r="A23" s="29" t="str">
        <x:v>MFG-190</x:v>
      </x:c>
      <x:c r="B23" s="29" t="str">
        <x:v>QG1</x:v>
      </x:c>
      <x:c r="C23" s="29" t="str">
        <x:v>Connect inter-module harnesses / Соединить модули</x:v>
      </x:c>
      <x:c r="D23" s="29" t="str">
        <x:v>41_IDENTITIES</x:v>
      </x:c>
      <x:c r="E23" s="29" t="str">
        <x:v>accepted harnesses</x:v>
      </x:c>
      <x:c r="F23" s="29" t="str">
        <x:v>keying continuity polarity pass</x:v>
      </x:c>
      <x:c r="G23" s="29" t="str">
        <x:v>continuity record</x:v>
      </x:c>
      <x:c r="H23" s="29" t="str">
        <x:v>HOLD</x:v>
      </x:c>
      <x:c r="I23" s="29" t="str">
        <x:v>OPEN</x:v>
      </x:c>
    </x:row>
    <x:row r="24">
      <x:c r="A24" s="29" t="str">
        <x:v>MFG-200</x:v>
      </x:c>
      <x:c r="B24" s="29" t="str">
        <x:v>QG1</x:v>
      </x:c>
      <x:c r="C24" s="29" t="str">
        <x:v>Install seals membranes and vents / Установить уплотнения</x:v>
      </x:c>
      <x:c r="D24" s="29" t="str">
        <x:v>41_IDENTITIES</x:v>
      </x:c>
      <x:c r="E24" s="29" t="str">
        <x:v>clean parts</x:v>
      </x:c>
      <x:c r="F24" s="29" t="str">
        <x:v>orientation and condition pass</x:v>
      </x:c>
      <x:c r="G24" s="29" t="str">
        <x:v>lot IDs and photos</x:v>
      </x:c>
      <x:c r="H24" s="29" t="str">
        <x:v>REPLACE_AND_REPEAT</x:v>
      </x:c>
      <x:c r="I24" s="29" t="str">
        <x:v>OPEN</x:v>
      </x:c>
    </x:row>
    <x:row r="25">
      <x:c r="A25" s="29" t="str">
        <x:v>MFG-210</x:v>
      </x:c>
      <x:c r="B25" s="29" t="str">
        <x:v>QG1</x:v>
      </x:c>
      <x:c r="C25" s="29" t="str">
        <x:v>Close enclosure / Закрыть корпус</x:v>
      </x:c>
      <x:c r="D25" s="29" t="str">
        <x:v>41_IDENTITIES</x:v>
      </x:c>
      <x:c r="E25" s="29" t="str">
        <x:v>PAR-A04/A05 approved</x:v>
      </x:c>
      <x:c r="F25" s="29" t="str">
        <x:v>sequence and torques pass</x:v>
      </x:c>
      <x:c r="G25" s="29" t="str">
        <x:v>torque record</x:v>
      </x:c>
      <x:c r="H25" s="29" t="str">
        <x:v>HOLD</x:v>
      </x:c>
      <x:c r="I25" s="29" t="str">
        <x:v>OPEN</x:v>
      </x:c>
    </x:row>
    <x:row r="26">
      <x:c r="A26" s="29" t="str">
        <x:v>MFG-220</x:v>
      </x:c>
      <x:c r="B26" s="29" t="str">
        <x:v>QG1</x:v>
      </x:c>
      <x:c r="C26" s="29" t="str">
        <x:v>Pre-power inspection / Предпусковой контроль</x:v>
      </x:c>
      <x:c r="D26" s="29" t="str">
        <x:v>41_IDENTITIES</x:v>
      </x:c>
      <x:c r="E26" s="29" t="str">
        <x:v>assembly complete</x:v>
      </x:c>
      <x:c r="F26" s="29" t="str">
        <x:v>polarity fuse resistance pass</x:v>
      </x:c>
      <x:c r="G26" s="29" t="str">
        <x:v>checklist</x:v>
      </x:c>
      <x:c r="H26" s="29" t="str">
        <x:v>HOLD</x:v>
      </x:c>
      <x:c r="I26" s="29" t="str">
        <x:v>OPEN</x:v>
      </x:c>
    </x:row>
    <x:row r="27">
      <x:c r="A27" s="29" t="str">
        <x:v>MFG-230</x:v>
      </x:c>
      <x:c r="B27" s="29" t="str">
        <x:v>QG1</x:v>
      </x:c>
      <x:c r="C27" s="29" t="str">
        <x:v>Station initial power / Первое включение станции</x:v>
      </x:c>
      <x:c r="D27" s="29" t="str">
        <x:v>41_IDENTITIES</x:v>
      </x:c>
      <x:c r="E27" s="29" t="str">
        <x:v>PAR-P01/P02/P03 approved</x:v>
      </x:c>
      <x:c r="F27" s="29" t="str">
        <x:v>currents rails thermal pass</x:v>
      </x:c>
      <x:c r="G27" s="29" t="str">
        <x:v>source logs and SHA-256</x:v>
      </x:c>
      <x:c r="H27" s="29" t="str">
        <x:v>HOLD</x:v>
      </x:c>
      <x:c r="I27" s="29" t="str">
        <x:v>OPEN</x:v>
      </x:c>
    </x:row>
    <x:row r="28">
      <x:c r="A28" s="29" t="str">
        <x:v>MFG-240</x:v>
      </x:c>
      <x:c r="B28" s="29" t="str">
        <x:v>QG1</x:v>
      </x:c>
      <x:c r="C28" s="29" t="str">
        <x:v>Battery and MPPT test / Проверка батареи и MPPT</x:v>
      </x:c>
      <x:c r="D28" s="29" t="str">
        <x:v>41_IDENTITIES</x:v>
      </x:c>
      <x:c r="E28" s="29" t="str">
        <x:v>bench first power pass</x:v>
      </x:c>
      <x:c r="F28" s="29" t="str">
        <x:v>polarity charging protection pass</x:v>
      </x:c>
      <x:c r="G28" s="29" t="str">
        <x:v>power log</x:v>
      </x:c>
      <x:c r="H28" s="29" t="str">
        <x:v>HOLD</x:v>
      </x:c>
      <x:c r="I28" s="29" t="str">
        <x:v>OPEN</x:v>
      </x:c>
    </x:row>
    <x:row r="29">
      <x:c r="A29" s="29" t="str">
        <x:v>MFG-250</x:v>
      </x:c>
      <x:c r="B29" s="29" t="str">
        <x:v>QG1</x:v>
      </x:c>
      <x:c r="C29" s="29" t="str">
        <x:v>Provision identity keys and certificates / Provisioning</x:v>
      </x:c>
      <x:c r="D29" s="29" t="str">
        <x:v>41_IDENTITIES</x:v>
      </x:c>
      <x:c r="E29" s="29" t="str">
        <x:v>stable hardware identity</x:v>
      </x:c>
      <x:c r="F29" s="29" t="str">
        <x:v>unique identity and receipt</x:v>
      </x:c>
      <x:c r="G29" s="29" t="str">
        <x:v>controlled receipt</x:v>
      </x:c>
      <x:c r="H29" s="29" t="str">
        <x:v>CONTROLLED_RECOVERY</x:v>
      </x:c>
      <x:c r="I29" s="29" t="str">
        <x:v>OPEN</x:v>
      </x:c>
    </x:row>
    <x:row r="30">
      <x:c r="A30" s="29" t="str">
        <x:v>MFG-260</x:v>
      </x:c>
      <x:c r="B30" s="29" t="str">
        <x:v>QG1</x:v>
      </x:c>
      <x:c r="C30" s="29" t="str">
        <x:v>Apply labels and QR / Нанести labels и QR</x:v>
      </x:c>
      <x:c r="D30" s="29" t="str">
        <x:v>41_IDENTITIES</x:v>
      </x:c>
      <x:c r="E30" s="29" t="str">
        <x:v>provisioning accepted</x:v>
      </x:c>
      <x:c r="F30" s="29" t="str">
        <x:v>human and QR identity match</x:v>
      </x:c>
      <x:c r="G30" s="29" t="str">
        <x:v>scan log and photo</x:v>
      </x:c>
      <x:c r="H30" s="29" t="str">
        <x:v>REPLACE_AND_RESCAN</x:v>
      </x:c>
      <x:c r="I30" s="29" t="str">
        <x:v>OPEN</x:v>
      </x:c>
    </x:row>
    <x:row r="31">
      <x:c r="A31" s="29" t="str">
        <x:v>MFG-270</x:v>
      </x:c>
      <x:c r="B31" s="29" t="str">
        <x:v>QG2</x:v>
      </x:c>
      <x:c r="C31" s="29" t="str">
        <x:v>Run complete EOL / Выполнить полный EOL</x:v>
      </x:c>
      <x:c r="D31" s="29" t="str">
        <x:v>41_IDENTITIES</x:v>
      </x:c>
      <x:c r="E31" s="29" t="str">
        <x:v>fully assembled unit</x:v>
      </x:c>
      <x:c r="F31" s="29" t="str">
        <x:v>all mandatory tests pass</x:v>
      </x:c>
      <x:c r="G31" s="29" t="str">
        <x:v>EOL evidence bundle</x:v>
      </x:c>
      <x:c r="H31" s="29" t="str">
        <x:v>REWORK_AND_FULL_EOL</x:v>
      </x:c>
      <x:c r="I31" s="29" t="str">
        <x:v>OPEN</x:v>
      </x:c>
    </x:row>
    <x:row r="32">
      <x:c r="A32" s="29" t="str">
        <x:v>MFG-280</x:v>
      </x:c>
      <x:c r="B32" s="29" t="str">
        <x:v>QG2</x:v>
      </x:c>
      <x:c r="C32" s="29" t="str">
        <x:v>Leak test / Проверка герметичности</x:v>
      </x:c>
      <x:c r="D32" s="29" t="str">
        <x:v>41_IDENTITIES</x:v>
      </x:c>
      <x:c r="E32" s="29" t="str">
        <x:v>PAR-I03 approved</x:v>
      </x:c>
      <x:c r="F32" s="29" t="str">
        <x:v>approved limit pass</x:v>
      </x:c>
      <x:c r="G32" s="29" t="str">
        <x:v>leak curve</x:v>
      </x:c>
      <x:c r="H32" s="29" t="str">
        <x:v>HOLD</x:v>
      </x:c>
      <x:c r="I32" s="29" t="str">
        <x:v>OPEN</x:v>
      </x:c>
    </x:row>
    <x:row r="33">
      <x:c r="A33" s="29" t="str">
        <x:v>MFG-290</x:v>
      </x:c>
      <x:c r="B33" s="29" t="str">
        <x:v>QG2</x:v>
      </x:c>
      <x:c r="C33" s="29" t="str">
        <x:v>Final audit / Финальный аудит</x:v>
      </x:c>
      <x:c r="D33" s="29" t="str">
        <x:v>41_IDENTITIES</x:v>
      </x:c>
      <x:c r="E33" s="29" t="str">
        <x:v>EOL and leak accepted</x:v>
      </x:c>
      <x:c r="F33" s="29" t="str">
        <x:v>identity configuration records consistent</x:v>
      </x:c>
      <x:c r="G33" s="29" t="str">
        <x:v>final checklist</x:v>
      </x:c>
      <x:c r="H33" s="29" t="str">
        <x:v>HOLD</x:v>
      </x:c>
      <x:c r="I33" s="29" t="str">
        <x:v>OPEN</x:v>
      </x:c>
    </x:row>
    <x:row r="34">
      <x:c r="A34" s="29" t="str">
        <x:v>MFG-300</x:v>
      </x:c>
      <x:c r="B34" s="29" t="str">
        <x:v>QG2</x:v>
      </x:c>
      <x:c r="C34" s="29" t="str">
        <x:v>Close traveller and passport / Закрыть traveller и паспорт</x:v>
      </x:c>
      <x:c r="D34" s="29" t="str">
        <x:v>41_IDENTITIES</x:v>
      </x:c>
      <x:c r="E34" s="29" t="str">
        <x:v>all steps closed</x:v>
      </x:c>
      <x:c r="F34" s="29" t="str">
        <x:v>no blank mandatory fields</x:v>
      </x:c>
      <x:c r="G34" s="29" t="str">
        <x:v>signed records</x:v>
      </x:c>
      <x:c r="H34" s="29" t="str">
        <x:v>HOLD</x:v>
      </x:c>
      <x:c r="I34" s="29" t="str">
        <x:v>OPEN</x:v>
      </x:c>
    </x:row>
    <x:row r="35">
      <x:c r="A35" s="29" t="str">
        <x:v>MFG-310</x:v>
      </x:c>
      <x:c r="B35" s="29" t="str">
        <x:v>QG2</x:v>
      </x:c>
      <x:c r="C35" s="29" t="str">
        <x:v>Pack for transport / Упаковать</x:v>
      </x:c>
      <x:c r="D35" s="29" t="str">
        <x:v>40_FIELD_PLUS_B01</x:v>
      </x:c>
      <x:c r="E35" s="29" t="str">
        <x:v>unit released</x:v>
      </x:c>
      <x:c r="F35" s="29" t="str">
        <x:v>protection and pack list pass</x:v>
      </x:c>
      <x:c r="G35" s="29" t="str">
        <x:v>packing photo</x:v>
      </x:c>
      <x:c r="H35" s="29" t="str">
        <x:v>REPACK</x:v>
      </x:c>
      <x:c r="I35" s="29" t="str">
        <x:v>OPEN</x:v>
      </x:c>
    </x:row>
    <x:row r="36">
      <x:c r="A36" s="29" t="str">
        <x:v>MFG-320</x:v>
      </x:c>
      <x:c r="B36" s="29" t="str">
        <x:v>QG2</x:v>
      </x:c>
      <x:c r="C36" s="29" t="str">
        <x:v>Lot release review / Выпуск лота</x:v>
      </x:c>
      <x:c r="D36" s="29" t="str">
        <x:v>LOT</x:v>
      </x:c>
      <x:c r="E36" s="29" t="str">
        <x:v>selected lot records closed</x:v>
      </x:c>
      <x:c r="F36" s="29" t="str">
        <x:v>zero unexplained missing units</x:v>
      </x:c>
      <x:c r="G36" s="29" t="str">
        <x:v>release minutes</x:v>
      </x:c>
      <x:c r="H36" s="29" t="str">
        <x:v>HOLD</x:v>
      </x:c>
      <x:c r="I36" s="29" t="str">
        <x:v>OPEN</x:v>
      </x:c>
    </x:row>
  </x:sheetData>
  <x:mergeCells>
    <x:mergeCell ref="A1:I1"/>
    <x:mergeCell ref="A2:I2"/>
  </x:mergeCells>
  <x:conditionalFormatting sqref="I5:I36">
    <x:cfRule type="containsText" dxfId="18" priority="1" operator="containsText" text="PASS"/>
    <x:cfRule type="containsText" dxfId="19" priority="2" operator="containsText" text="READY"/>
    <x:cfRule type="containsText" dxfId="20" priority="3" operator="containsText" text="HOLD"/>
    <x:cfRule type="containsText" dxfId="21" priority="4" operator="containsText" text="OPEN"/>
    <x:cfRule type="containsText" dxfId="22" priority="5" operator="containsText" text="FAIL"/>
    <x:cfRule type="containsText" dxfId="23" priority="6" operator="containsText" text="NOT_RUN"/>
  </x:conditionalFormatting>
  <x:dataValidations count="1">
    <x:dataValidation type="list" sqref="I5:I36">
      <x:formula1>"OPEN,IN_PROGRESS,PASS,FAIL,HOLD,N/A"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fc9a923e294a5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0" hidden="0" customWidth="1"/>
    <x:col min="4" max="4" width="30" hidden="0" customWidth="1"/>
    <x:col min="5" max="5" width="34" hidden="0" customWidth="1"/>
    <x:col min="6" max="6" width="24" hidden="0" customWidth="1"/>
    <x:col min="7" max="7" width="18" hidden="0" customWidth="1"/>
    <x:col min="8" max="8" width="18" hidden="0" customWidth="1"/>
    <x:col min="9" max="9" width="38" hidden="0" customWidth="1"/>
    <x:col min="10" max="10" width="14" hidden="0" customWidth="1"/>
  </x:cols>
  <x:sheetData>
    <x:row r="1" ht="28" customHeight="1">
      <x:c r="A1" s="2" t="str">
        <x:v>ОПЕРАЦИОННАЯ КАРТА ЖГУТОВ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5" t="str">
        <x:v>First-off, crimp setup, 100 percent continuity, cross-short, resistance and evidence are mandatory. / Все обязательные операции выполняются по каждому применимому жгуту.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 ht="32" customHeight="1">
      <x:c r="A4" s="25" t="str">
        <x:v>Operation_ID</x:v>
      </x:c>
      <x:c r="B4" s="25" t="str">
        <x:v>Operation_RU_EN</x:v>
      </x:c>
      <x:c r="C4" s="25" t="str">
        <x:v>Applies_To</x:v>
      </x:c>
      <x:c r="D4" s="25" t="str">
        <x:v>Required_Input_or_Parameter</x:v>
      </x:c>
      <x:c r="E4" s="25" t="str">
        <x:v>Acceptance</x:v>
      </x:c>
      <x:c r="F4" s="25" t="str">
        <x:v>Failure_Disposition</x:v>
      </x:c>
      <x:c r="G4" s="25" t="str">
        <x:v>Operator</x:v>
      </x:c>
      <x:c r="H4" s="25" t="str">
        <x:v>QC</x:v>
      </x:c>
      <x:c r="I4" s="25" t="str">
        <x:v>Evidence_SHA256</x:v>
      </x:c>
      <x:c r="J4" s="25" t="str">
        <x:v>Status</x:v>
      </x:c>
    </x:row>
    <x:row r="5">
      <x:c r="A5" s="29" t="str">
        <x:v>HOP-010</x:v>
      </x:c>
      <x:c r="B5" s="29" t="str">
        <x:v>Verify release and work order / Проверить выпуск и задание</x:v>
      </x:c>
      <x:c r="C5" s="29" t="str">
        <x:v>all</x:v>
      </x:c>
      <x:c r="D5" s="29" t="str">
        <x:v>manifest</x:v>
      </x:c>
      <x:c r="E5" s="29" t="str">
        <x:v>release verified</x:v>
      </x:c>
      <x:c r="F5" s="29" t="str">
        <x:v>HOLD</x:v>
      </x:c>
      <x:c r="G5" s="29" t="str"/>
      <x:c r="H5" s="29" t="str"/>
      <x:c r="I5" s="29" t="str"/>
      <x:c r="J5" s="29" t="str">
        <x:v>NOT_RUN</x:v>
      </x:c>
    </x:row>
    <x:row r="6">
      <x:c r="A6" s="29" t="str">
        <x:v>HOP-020</x:v>
      </x:c>
      <x:c r="B6" s="29" t="str">
        <x:v>Verify material lots / Проверить партии материалов</x:v>
      </x:c>
      <x:c r="C6" s="29" t="str">
        <x:v>all</x:v>
      </x:c>
      <x:c r="D6" s="29" t="str">
        <x:v>incoming record</x:v>
      </x:c>
      <x:c r="E6" s="29" t="str">
        <x:v>MPN lot quantity accepted</x:v>
      </x:c>
      <x:c r="F6" s="29" t="str">
        <x:v>HOLD</x:v>
      </x:c>
      <x:c r="G6" s="29" t="str"/>
      <x:c r="H6" s="29" t="str"/>
      <x:c r="I6" s="29" t="str"/>
      <x:c r="J6" s="29" t="str">
        <x:v>NOT_RUN</x:v>
      </x:c>
    </x:row>
    <x:row r="7">
      <x:c r="A7" s="29" t="str">
        <x:v>HOP-030</x:v>
      </x:c>
      <x:c r="B7" s="29" t="str">
        <x:v>Verify calibrated tools / Проверить инструмент</x:v>
      </x:c>
      <x:c r="C7" s="29" t="str">
        <x:v>all</x:v>
      </x:c>
      <x:c r="D7" s="29" t="str">
        <x:v>calibration register</x:v>
      </x:c>
      <x:c r="E7" s="29" t="str">
        <x:v>all tools valid</x:v>
      </x:c>
      <x:c r="F7" s="29" t="str">
        <x:v>HOLD</x:v>
      </x:c>
      <x:c r="G7" s="29" t="str"/>
      <x:c r="H7" s="29" t="str"/>
      <x:c r="I7" s="29" t="str"/>
      <x:c r="J7" s="29" t="str">
        <x:v>NOT_RUN</x:v>
      </x:c>
    </x:row>
    <x:row r="8">
      <x:c r="A8" s="29" t="str">
        <x:v>HOP-040</x:v>
      </x:c>
      <x:c r="B8" s="29" t="str">
        <x:v>Cut and identify wires / Нарезать и маркировать</x:v>
      </x:c>
      <x:c r="C8" s="29" t="str">
        <x:v>all</x:v>
      </x:c>
      <x:c r="D8" s="29" t="str">
        <x:v>length schedule</x:v>
      </x:c>
      <x:c r="E8" s="29" t="str">
        <x:v>length color identity pass</x:v>
      </x:c>
      <x:c r="F8" s="29" t="str">
        <x:v>REWORK</x:v>
      </x:c>
      <x:c r="G8" s="29" t="str"/>
      <x:c r="H8" s="29" t="str"/>
      <x:c r="I8" s="29" t="str"/>
      <x:c r="J8" s="29" t="str">
        <x:v>NOT_RUN</x:v>
      </x:c>
    </x:row>
    <x:row r="9">
      <x:c r="A9" s="29" t="str">
        <x:v>HOP-050</x:v>
      </x:c>
      <x:c r="B9" s="29" t="str">
        <x:v>Strip trial / Пробная зачистка</x:v>
      </x:c>
      <x:c r="C9" s="29" t="str">
        <x:v>by terminal-wire pair</x:v>
      </x:c>
      <x:c r="D9" s="29" t="str">
        <x:v>PAR-H01/H04/H07/H10</x:v>
      </x:c>
      <x:c r="E9" s="29" t="str">
        <x:v>no strand damage and length pass</x:v>
      </x:c>
      <x:c r="F9" s="29" t="str">
        <x:v>HOLD</x:v>
      </x:c>
      <x:c r="G9" s="29" t="str"/>
      <x:c r="H9" s="29" t="str"/>
      <x:c r="I9" s="29" t="str"/>
      <x:c r="J9" s="29" t="str">
        <x:v>NOT_RUN</x:v>
      </x:c>
    </x:row>
    <x:row r="10">
      <x:c r="A10" s="29" t="str">
        <x:v>HOP-060</x:v>
      </x:c>
      <x:c r="B10" s="29" t="str">
        <x:v>Crimp setup / Наладка обжима</x:v>
      </x:c>
      <x:c r="C10" s="29" t="str">
        <x:v>by terminal-wire pair</x:v>
      </x:c>
      <x:c r="D10" s="29" t="str">
        <x:v>PAR-H02/H05/H08/H10</x:v>
      </x:c>
      <x:c r="E10" s="29" t="str">
        <x:v>tooling and first-off set</x:v>
      </x:c>
      <x:c r="F10" s="29" t="str">
        <x:v>HOLD</x:v>
      </x:c>
      <x:c r="G10" s="29" t="str"/>
      <x:c r="H10" s="29" t="str"/>
      <x:c r="I10" s="29" t="str"/>
      <x:c r="J10" s="29" t="str">
        <x:v>NOT_RUN</x:v>
      </x:c>
    </x:row>
    <x:row r="11">
      <x:c r="A11" s="29" t="str">
        <x:v>HOP-070</x:v>
      </x:c>
      <x:c r="B11" s="29" t="str">
        <x:v>Pull test first-off / Pull test</x:v>
      </x:c>
      <x:c r="C11" s="29" t="str">
        <x:v>by terminal-wire pair</x:v>
      </x:c>
      <x:c r="D11" s="29" t="str">
        <x:v>PAR-H03/H06/H09/H11</x:v>
      </x:c>
      <x:c r="E11" s="29" t="str">
        <x:v>minimum pull accepted</x:v>
      </x:c>
      <x:c r="F11" s="29" t="str">
        <x:v>HOLD</x:v>
      </x:c>
      <x:c r="G11" s="29" t="str"/>
      <x:c r="H11" s="29" t="str"/>
      <x:c r="I11" s="29" t="str"/>
      <x:c r="J11" s="29" t="str">
        <x:v>NOT_RUN</x:v>
      </x:c>
    </x:row>
    <x:row r="12">
      <x:c r="A12" s="29" t="str">
        <x:v>HOP-080</x:v>
      </x:c>
      <x:c r="B12" s="29" t="str">
        <x:v>QC first-off release / Выпуск first-off</x:v>
      </x:c>
      <x:c r="C12" s="29" t="str">
        <x:v>by lot</x:v>
      </x:c>
      <x:c r="D12" s="29" t="str">
        <x:v>signed setup record</x:v>
      </x:c>
      <x:c r="E12" s="29" t="str">
        <x:v>operator and QC signatures</x:v>
      </x:c>
      <x:c r="F12" s="29" t="str">
        <x:v>HOLD</x:v>
      </x:c>
      <x:c r="G12" s="29" t="str"/>
      <x:c r="H12" s="29" t="str"/>
      <x:c r="I12" s="29" t="str"/>
      <x:c r="J12" s="29" t="str">
        <x:v>NOT_RUN</x:v>
      </x:c>
    </x:row>
    <x:row r="13">
      <x:c r="A13" s="29" t="str">
        <x:v>HOP-090</x:v>
      </x:c>
      <x:c r="B13" s="29" t="str">
        <x:v>Production crimp / Серийный обжим</x:v>
      </x:c>
      <x:c r="C13" s="29" t="str">
        <x:v>each end</x:v>
      </x:c>
      <x:c r="D13" s="29" t="str">
        <x:v>approved first-off</x:v>
      </x:c>
      <x:c r="E13" s="29" t="str">
        <x:v>visual and periodic crimp height pass</x:v>
      </x:c>
      <x:c r="F13" s="29" t="str">
        <x:v>REJECT_TERMINAL</x:v>
      </x:c>
      <x:c r="G13" s="29" t="str"/>
      <x:c r="H13" s="29" t="str"/>
      <x:c r="I13" s="29" t="str"/>
      <x:c r="J13" s="29" t="str">
        <x:v>NOT_RUN</x:v>
      </x:c>
    </x:row>
    <x:row r="14">
      <x:c r="A14" s="29" t="str">
        <x:v>HOP-100</x:v>
      </x:c>
      <x:c r="B14" s="29" t="str">
        <x:v>Insert terminals / Вставить контакты</x:v>
      </x:c>
      <x:c r="C14" s="29" t="str">
        <x:v>each housing</x:v>
      </x:c>
      <x:c r="D14" s="29" t="str">
        <x:v>logical pinout</x:v>
      </x:c>
      <x:c r="E14" s="29" t="str">
        <x:v>cavity and retention pass</x:v>
      </x:c>
      <x:c r="F14" s="29" t="str">
        <x:v>REWORK</x:v>
      </x:c>
      <x:c r="G14" s="29" t="str"/>
      <x:c r="H14" s="29" t="str"/>
      <x:c r="I14" s="29" t="str"/>
      <x:c r="J14" s="29" t="str">
        <x:v>NOT_RUN</x:v>
      </x:c>
    </x:row>
    <x:row r="15">
      <x:c r="A15" s="29" t="str">
        <x:v>HOP-110</x:v>
      </x:c>
      <x:c r="B15" s="29" t="str">
        <x:v>Install secondary locks / Установить замки</x:v>
      </x:c>
      <x:c r="C15" s="29" t="str">
        <x:v>as applicable</x:v>
      </x:c>
      <x:c r="D15" s="29" t="str">
        <x:v>connector drawing</x:v>
      </x:c>
      <x:c r="E15" s="29" t="str">
        <x:v>lock seated</x:v>
      </x:c>
      <x:c r="F15" s="29" t="str">
        <x:v>REWORK</x:v>
      </x:c>
      <x:c r="G15" s="29" t="str"/>
      <x:c r="H15" s="29" t="str"/>
      <x:c r="I15" s="29" t="str"/>
      <x:c r="J15" s="29" t="str">
        <x:v>NOT_RUN</x:v>
      </x:c>
    </x:row>
    <x:row r="16">
      <x:c r="A16" s="29" t="str">
        <x:v>HOP-120</x:v>
      </x:c>
      <x:c r="B16" s="29" t="str">
        <x:v>Form and protect harness / Сформировать жгут</x:v>
      </x:c>
      <x:c r="C16" s="29" t="str">
        <x:v>each harness</x:v>
      </x:c>
      <x:c r="D16" s="29" t="str">
        <x:v>PAR-H13 and routing notes</x:v>
      </x:c>
      <x:c r="E16" s="29" t="str">
        <x:v>routing protection pass</x:v>
      </x:c>
      <x:c r="F16" s="29" t="str">
        <x:v>HOLD</x:v>
      </x:c>
      <x:c r="G16" s="29" t="str"/>
      <x:c r="H16" s="29" t="str"/>
      <x:c r="I16" s="29" t="str"/>
      <x:c r="J16" s="29" t="str">
        <x:v>NOT_RUN</x:v>
      </x:c>
    </x:row>
    <x:row r="17">
      <x:c r="A17" s="29" t="str">
        <x:v>HOP-130</x:v>
      </x:c>
      <x:c r="B17" s="29" t="str">
        <x:v>100 percent continuity and cross-short / Электроконтроль</x:v>
      </x:c>
      <x:c r="C17" s="29" t="str">
        <x:v>each harness</x:v>
      </x:c>
      <x:c r="D17" s="29" t="str">
        <x:v>approved tester program</x:v>
      </x:c>
      <x:c r="E17" s="29" t="str">
        <x:v>all circuits pass</x:v>
      </x:c>
      <x:c r="F17" s="29" t="str">
        <x:v>REWORK_FULL_RETEST</x:v>
      </x:c>
      <x:c r="G17" s="29" t="str"/>
      <x:c r="H17" s="29" t="str"/>
      <x:c r="I17" s="29" t="str"/>
      <x:c r="J17" s="29" t="str">
        <x:v>NOT_RUN</x:v>
      </x:c>
    </x:row>
    <x:row r="18">
      <x:c r="A18" s="29" t="str">
        <x:v>HOP-140</x:v>
      </x:c>
      <x:c r="B18" s="29" t="str">
        <x:v>Measure conductor resistance / Измерить сопротивление</x:v>
      </x:c>
      <x:c r="C18" s="29" t="str">
        <x:v>each conductor</x:v>
      </x:c>
      <x:c r="D18" s="29" t="str">
        <x:v>0.15/0.10 ohm limits</x:v>
      </x:c>
      <x:c r="E18" s="29" t="str">
        <x:v>all conductors pass</x:v>
      </x:c>
      <x:c r="F18" s="29" t="str">
        <x:v>REWORK_FULL_RETEST</x:v>
      </x:c>
      <x:c r="G18" s="29" t="str"/>
      <x:c r="H18" s="29" t="str"/>
      <x:c r="I18" s="29" t="str"/>
      <x:c r="J18" s="29" t="str">
        <x:v>NOT_RUN</x:v>
      </x:c>
    </x:row>
    <x:row r="19">
      <x:c r="A19" s="29" t="str">
        <x:v>HOP-150</x:v>
      </x:c>
      <x:c r="B19" s="29" t="str">
        <x:v>Dimension and visual inspection / Размеры и внешний вид</x:v>
      </x:c>
      <x:c r="C19" s="29" t="str">
        <x:v>each harness</x:v>
      </x:c>
      <x:c r="D19" s="29" t="str">
        <x:v>drawing</x:v>
      </x:c>
      <x:c r="E19" s="29" t="str">
        <x:v>length labels workmanship pass</x:v>
      </x:c>
      <x:c r="F19" s="29" t="str">
        <x:v>REWORK</x:v>
      </x:c>
      <x:c r="G19" s="29" t="str"/>
      <x:c r="H19" s="29" t="str"/>
      <x:c r="I19" s="29" t="str"/>
      <x:c r="J19" s="29" t="str">
        <x:v>NOT_RUN</x:v>
      </x:c>
    </x:row>
    <x:row r="20">
      <x:c r="A20" s="29" t="str">
        <x:v>HOP-160</x:v>
      </x:c>
      <x:c r="B20" s="29" t="str">
        <x:v>Evidence and sign-off / Доказательства и подписи</x:v>
      </x:c>
      <x:c r="C20" s="29" t="str">
        <x:v>each harness</x:v>
      </x:c>
      <x:c r="D20" s="29" t="str">
        <x:v>source logs and photos</x:v>
      </x:c>
      <x:c r="E20" s="29" t="str">
        <x:v>SHA-256 plus two signatures</x:v>
      </x:c>
      <x:c r="F20" s="29" t="str">
        <x:v>HOLD</x:v>
      </x:c>
      <x:c r="G20" s="29" t="str"/>
      <x:c r="H20" s="29" t="str"/>
      <x:c r="I20" s="29" t="str"/>
      <x:c r="J20" s="29" t="str">
        <x:v>NOT_RUN</x:v>
      </x:c>
    </x:row>
    <x:row r="21">
      <x:c r="A21" s="29" t="str">
        <x:v>HOP-170</x:v>
      </x:c>
      <x:c r="B21" s="29" t="str">
        <x:v>Pack by station serial / Упаковать по serial</x:v>
      </x:c>
      <x:c r="C21" s="29" t="str">
        <x:v>each station set</x:v>
      </x:c>
      <x:c r="D21" s="29" t="str">
        <x:v>six accepted harnesses</x:v>
      </x:c>
      <x:c r="E21" s="29" t="str">
        <x:v>set complete and protected</x:v>
      </x:c>
      <x:c r="F21" s="29" t="str">
        <x:v>HOLD</x:v>
      </x:c>
      <x:c r="G21" s="29" t="str"/>
      <x:c r="H21" s="29" t="str"/>
      <x:c r="I21" s="29" t="str"/>
      <x:c r="J21" s="29" t="str">
        <x:v>NOT_RUN</x:v>
      </x:c>
    </x:row>
  </x:sheetData>
  <x:mergeCells>
    <x:mergeCell ref="A1:J1"/>
    <x:mergeCell ref="A2:J2"/>
  </x:mergeCells>
  <x:conditionalFormatting sqref="J5:J21">
    <x:cfRule type="containsText" dxfId="24" priority="1" operator="containsText" text="PASS"/>
    <x:cfRule type="containsText" dxfId="25" priority="2" operator="containsText" text="READY"/>
    <x:cfRule type="containsText" dxfId="26" priority="3" operator="containsText" text="HOLD"/>
    <x:cfRule type="containsText" dxfId="27" priority="4" operator="containsText" text="OPEN"/>
    <x:cfRule type="containsText" dxfId="28" priority="5" operator="containsText" text="FAIL"/>
    <x:cfRule type="containsText" dxfId="29" priority="6" operator="containsText" text="NOT_RUN"/>
  </x:conditionalFormatting>
  <x:dataValidations count="1">
    <x:dataValidation type="list" sqref="J5:J21">
      <x:formula1>"NOT_RUN,PASS,FAIL,HOLD,N/A"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49cd2d12d04ca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16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38" hidden="0" customWidth="1"/>
    <x:col min="13" max="13" width="18" hidden="0" customWidth="1"/>
    <x:col min="14" max="14" width="18" hidden="0" customWidth="1"/>
    <x:col min="15" max="15" width="14" hidden="0" customWidth="1"/>
  </x:cols>
  <x:sheetData>
    <x:row r="1" ht="28" customHeight="1">
      <x:c r="A1" s="2" t="str">
        <x:v>РЕЗУЛЬТАТЫ ЖГУТОВ ДЛЯ 41 СТАНЦИИ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4" customHeight="1">
      <x:c r="A2" s="5" t="str">
        <x:v>246 строк: шесть жгутов на каждую идентичность. PASS требует first-off, полного электрического и визуального контроля, исходного лога и двух подписей.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 ht="32" customHeight="1">
      <x:c r="A4" s="25" t="str">
        <x:v>Serial</x:v>
      </x:c>
      <x:c r="B4" s="25" t="str">
        <x:v>Lot</x:v>
      </x:c>
      <x:c r="C4" s="25" t="str">
        <x:v>Harness</x:v>
      </x:c>
      <x:c r="D4" s="25" t="str">
        <x:v>Length_spec_mm</x:v>
      </x:c>
      <x:c r="E4" s="25" t="str">
        <x:v>Tolerance_mm</x:v>
      </x:c>
      <x:c r="F4" s="25" t="str">
        <x:v>First_Off</x:v>
      </x:c>
      <x:c r="G4" s="25" t="str">
        <x:v>Continuity</x:v>
      </x:c>
      <x:c r="H4" s="25" t="str">
        <x:v>Cross_Short</x:v>
      </x:c>
      <x:c r="I4" s="25" t="str">
        <x:v>Resistance</x:v>
      </x:c>
      <x:c r="J4" s="25" t="str">
        <x:v>Length</x:v>
      </x:c>
      <x:c r="K4" s="25" t="str">
        <x:v>Visual</x:v>
      </x:c>
      <x:c r="L4" s="25" t="str">
        <x:v>Tester_Log_SHA256</x:v>
      </x:c>
      <x:c r="M4" s="25" t="str">
        <x:v>Operator</x:v>
      </x:c>
      <x:c r="N4" s="25" t="str">
        <x:v>QC</x:v>
      </x:c>
      <x:c r="O4" s="25" t="str">
        <x:v>Overall</x:v>
      </x:c>
    </x:row>
    <x:row r="5">
      <x:c r="A5" s="29" t="str">
        <x:v>DIO-EVT-001</x:v>
      </x:c>
      <x:c r="B5" s="29" t="str">
        <x:v>LOT-1</x:v>
      </x:c>
      <x:c r="C5" s="29" t="str">
        <x:v>H-MIC1</x:v>
      </x:c>
      <x:c r="D5" s="29" t="n">
        <x:v>275</x:v>
      </x:c>
      <x:c r="E5" s="29" t="n">
        <x:v>5</x:v>
      </x:c>
      <x:c r="F5" s="29" t="str">
        <x:v>NOT_RUN</x:v>
      </x:c>
      <x:c r="G5" s="29" t="str">
        <x:v>NOT_RUN</x:v>
      </x:c>
      <x:c r="H5" s="29" t="str">
        <x:v>NOT_RUN</x:v>
      </x:c>
      <x:c r="I5" s="29" t="str">
        <x:v>NOT_RUN</x:v>
      </x:c>
      <x:c r="J5" s="29" t="str">
        <x:v>NOT_RUN</x:v>
      </x:c>
      <x:c r="K5" s="29" t="str">
        <x:v>NOT_RUN</x:v>
      </x:c>
      <x:c r="L5" s="29" t="str"/>
      <x:c r="M5" s="29" t="str"/>
      <x:c r="N5" s="29" t="str"/>
      <x:c r="O5" s="29" t="str">
        <x:f>IF(COUNTIF(F5:K5,"NOT_RUN")=6,"NOT_RUN",IF(AND(COUNTIF(F5:K5,"PASS")=6,L5&lt;&gt;"",M5&lt;&gt;"",N5&lt;&gt;""),"PASS","HOLD"))</x:f>
        <x:v>NOT_RUN</x:v>
      </x:c>
    </x:row>
    <x:row r="6">
      <x:c r="A6" s="29" t="str">
        <x:v>DIO-EVT-001</x:v>
      </x:c>
      <x:c r="B6" s="29" t="str">
        <x:v>LOT-1</x:v>
      </x:c>
      <x:c r="C6" s="29" t="str">
        <x:v>H-MIC2</x:v>
      </x:c>
      <x:c r="D6" s="29" t="n">
        <x:v>275</x:v>
      </x:c>
      <x:c r="E6" s="29" t="n">
        <x:v>5</x:v>
      </x:c>
      <x:c r="F6" s="29" t="str">
        <x:v>NOT_RUN</x:v>
      </x:c>
      <x:c r="G6" s="29" t="str">
        <x:v>NOT_RUN</x:v>
      </x:c>
      <x:c r="H6" s="29" t="str">
        <x:v>NOT_RUN</x:v>
      </x:c>
      <x:c r="I6" s="29" t="str">
        <x:v>NOT_RUN</x:v>
      </x:c>
      <x:c r="J6" s="29" t="str">
        <x:v>NOT_RUN</x:v>
      </x:c>
      <x:c r="K6" s="29" t="str">
        <x:v>NOT_RUN</x:v>
      </x:c>
      <x:c r="L6" s="29" t="str"/>
      <x:c r="M6" s="29" t="str"/>
      <x:c r="N6" s="29" t="str"/>
      <x:c r="O6" s="29" t="str">
        <x:f>IF(COUNTIF(F6:K6,"NOT_RUN")=6,"NOT_RUN",IF(AND(COUNTIF(F6:K6,"PASS")=6,L6&lt;&gt;"",M6&lt;&gt;"",N6&lt;&gt;""),"PASS","HOLD"))</x:f>
        <x:v>NOT_RUN</x:v>
      </x:c>
    </x:row>
    <x:row r="7">
      <x:c r="A7" s="29" t="str">
        <x:v>DIO-EVT-001</x:v>
      </x:c>
      <x:c r="B7" s="29" t="str">
        <x:v>LOT-1</x:v>
      </x:c>
      <x:c r="C7" s="29" t="str">
        <x:v>H-MIC3</x:v>
      </x:c>
      <x:c r="D7" s="29" t="n">
        <x:v>275</x:v>
      </x:c>
      <x:c r="E7" s="29" t="n">
        <x:v>5</x:v>
      </x:c>
      <x:c r="F7" s="29" t="str">
        <x:v>NOT_RUN</x:v>
      </x:c>
      <x:c r="G7" s="29" t="str">
        <x:v>NOT_RUN</x:v>
      </x:c>
      <x:c r="H7" s="29" t="str">
        <x:v>NOT_RUN</x:v>
      </x:c>
      <x:c r="I7" s="29" t="str">
        <x:v>NOT_RUN</x:v>
      </x:c>
      <x:c r="J7" s="29" t="str">
        <x:v>NOT_RUN</x:v>
      </x:c>
      <x:c r="K7" s="29" t="str">
        <x:v>NOT_RUN</x:v>
      </x:c>
      <x:c r="L7" s="29" t="str"/>
      <x:c r="M7" s="29" t="str"/>
      <x:c r="N7" s="29" t="str"/>
      <x:c r="O7" s="29" t="str">
        <x:f>IF(COUNTIF(F7:K7,"NOT_RUN")=6,"NOT_RUN",IF(AND(COUNTIF(F7:K7,"PASS")=6,L7&lt;&gt;"",M7&lt;&gt;"",N7&lt;&gt;""),"PASS","HOLD"))</x:f>
        <x:v>NOT_RUN</x:v>
      </x:c>
    </x:row>
    <x:row r="8">
      <x:c r="A8" s="29" t="str">
        <x:v>DIO-EVT-001</x:v>
      </x:c>
      <x:c r="B8" s="29" t="str">
        <x:v>LOT-1</x:v>
      </x:c>
      <x:c r="C8" s="29" t="str">
        <x:v>H-MIC4</x:v>
      </x:c>
      <x:c r="D8" s="29" t="n">
        <x:v>275</x:v>
      </x:c>
      <x:c r="E8" s="29" t="n">
        <x:v>5</x:v>
      </x:c>
      <x:c r="F8" s="29" t="str">
        <x:v>NOT_RUN</x:v>
      </x:c>
      <x:c r="G8" s="29" t="str">
        <x:v>NOT_RUN</x:v>
      </x:c>
      <x:c r="H8" s="29" t="str">
        <x:v>NOT_RUN</x:v>
      </x:c>
      <x:c r="I8" s="29" t="str">
        <x:v>NOT_RUN</x:v>
      </x:c>
      <x:c r="J8" s="29" t="str">
        <x:v>NOT_RUN</x:v>
      </x:c>
      <x:c r="K8" s="29" t="str">
        <x:v>NOT_RUN</x:v>
      </x:c>
      <x:c r="L8" s="29" t="str"/>
      <x:c r="M8" s="29" t="str"/>
      <x:c r="N8" s="29" t="str"/>
      <x:c r="O8" s="29" t="str">
        <x:f>IF(COUNTIF(F8:K8,"NOT_RUN")=6,"NOT_RUN",IF(AND(COUNTIF(F8:K8,"PASS")=6,L8&lt;&gt;"",M8&lt;&gt;"",N8&lt;&gt;""),"PASS","HOLD"))</x:f>
        <x:v>NOT_RUN</x:v>
      </x:c>
    </x:row>
    <x:row r="9">
      <x:c r="A9" s="29" t="str">
        <x:v>DIO-EVT-001</x:v>
      </x:c>
      <x:c r="B9" s="29" t="str">
        <x:v>LOT-1</x:v>
      </x:c>
      <x:c r="C9" s="29" t="str">
        <x:v>H-MAIN-PWR</x:v>
      </x:c>
      <x:c r="D9" s="29" t="n">
        <x:v>440</x:v>
      </x:c>
      <x:c r="E9" s="29" t="n">
        <x:v>5</x:v>
      </x:c>
      <x:c r="F9" s="29" t="str">
        <x:v>NOT_RUN</x:v>
      </x:c>
      <x:c r="G9" s="29" t="str">
        <x:v>NOT_RUN</x:v>
      </x:c>
      <x:c r="H9" s="29" t="str">
        <x:v>NOT_RUN</x:v>
      </x:c>
      <x:c r="I9" s="29" t="str">
        <x:v>NOT_RUN</x:v>
      </x:c>
      <x:c r="J9" s="29" t="str">
        <x:v>NOT_RUN</x:v>
      </x:c>
      <x:c r="K9" s="29" t="str">
        <x:v>NOT_RUN</x:v>
      </x:c>
      <x:c r="L9" s="29" t="str"/>
      <x:c r="M9" s="29" t="str"/>
      <x:c r="N9" s="29" t="str"/>
      <x:c r="O9" s="29" t="str">
        <x:f>IF(COUNTIF(F9:K9,"NOT_RUN")=6,"NOT_RUN",IF(AND(COUNTIF(F9:K9,"PASS")=6,L9&lt;&gt;"",M9&lt;&gt;"",N9&lt;&gt;""),"PASS","HOLD"))</x:f>
        <x:v>NOT_RUN</x:v>
      </x:c>
    </x:row>
    <x:row r="10">
      <x:c r="A10" s="29" t="str">
        <x:v>DIO-EVT-001</x:v>
      </x:c>
      <x:c r="B10" s="29" t="str">
        <x:v>LOT-1</x:v>
      </x:c>
      <x:c r="C10" s="29" t="str">
        <x:v>H-BAT-PWR</x:v>
      </x:c>
      <x:c r="D10" s="29" t="n">
        <x:v>330</x:v>
      </x:c>
      <x:c r="E10" s="29" t="n">
        <x:v>5</x:v>
      </x:c>
      <x:c r="F10" s="29" t="str">
        <x:v>NOT_RUN</x:v>
      </x:c>
      <x:c r="G10" s="29" t="str">
        <x:v>NOT_RUN</x:v>
      </x:c>
      <x:c r="H10" s="29" t="str">
        <x:v>NOT_RUN</x:v>
      </x:c>
      <x:c r="I10" s="29" t="str">
        <x:v>NOT_RUN</x:v>
      </x:c>
      <x:c r="J10" s="29" t="str">
        <x:v>NOT_RUN</x:v>
      </x:c>
      <x:c r="K10" s="29" t="str">
        <x:v>NOT_RUN</x:v>
      </x:c>
      <x:c r="L10" s="29" t="str"/>
      <x:c r="M10" s="29" t="str"/>
      <x:c r="N10" s="29" t="str"/>
      <x:c r="O10" s="29" t="str">
        <x:f>IF(COUNTIF(F10:K10,"NOT_RUN")=6,"NOT_RUN",IF(AND(COUNTIF(F10:K10,"PASS")=6,L10&lt;&gt;"",M10&lt;&gt;"",N10&lt;&gt;""),"PASS","HOLD"))</x:f>
        <x:v>NOT_RUN</x:v>
      </x:c>
    </x:row>
    <x:row r="11">
      <x:c r="A11" s="29" t="str">
        <x:v>DIO-EVT-002</x:v>
      </x:c>
      <x:c r="B11" s="29" t="str">
        <x:v>LOT-1</x:v>
      </x:c>
      <x:c r="C11" s="29" t="str">
        <x:v>H-MIC1</x:v>
      </x:c>
      <x:c r="D11" s="29" t="n">
        <x:v>275</x:v>
      </x:c>
      <x:c r="E11" s="29" t="n">
        <x:v>5</x:v>
      </x:c>
      <x:c r="F11" s="29" t="str">
        <x:v>NOT_RUN</x:v>
      </x:c>
      <x:c r="G11" s="29" t="str">
        <x:v>NOT_RUN</x:v>
      </x:c>
      <x:c r="H11" s="29" t="str">
        <x:v>NOT_RUN</x:v>
      </x:c>
      <x:c r="I11" s="29" t="str">
        <x:v>NOT_RUN</x:v>
      </x:c>
      <x:c r="J11" s="29" t="str">
        <x:v>NOT_RUN</x:v>
      </x:c>
      <x:c r="K11" s="29" t="str">
        <x:v>NOT_RUN</x:v>
      </x:c>
      <x:c r="L11" s="29" t="str"/>
      <x:c r="M11" s="29" t="str"/>
      <x:c r="N11" s="29" t="str"/>
      <x:c r="O11" s="29" t="str">
        <x:f>IF(COUNTIF(F11:K11,"NOT_RUN")=6,"NOT_RUN",IF(AND(COUNTIF(F11:K11,"PASS")=6,L11&lt;&gt;"",M11&lt;&gt;"",N11&lt;&gt;""),"PASS","HOLD"))</x:f>
        <x:v>NOT_RUN</x:v>
      </x:c>
    </x:row>
    <x:row r="12">
      <x:c r="A12" s="29" t="str">
        <x:v>DIO-EVT-002</x:v>
      </x:c>
      <x:c r="B12" s="29" t="str">
        <x:v>LOT-1</x:v>
      </x:c>
      <x:c r="C12" s="29" t="str">
        <x:v>H-MIC2</x:v>
      </x:c>
      <x:c r="D12" s="29" t="n">
        <x:v>275</x:v>
      </x:c>
      <x:c r="E12" s="29" t="n">
        <x:v>5</x:v>
      </x:c>
      <x:c r="F12" s="29" t="str">
        <x:v>NOT_RUN</x:v>
      </x:c>
      <x:c r="G12" s="29" t="str">
        <x:v>NOT_RUN</x:v>
      </x:c>
      <x:c r="H12" s="29" t="str">
        <x:v>NOT_RUN</x:v>
      </x:c>
      <x:c r="I12" s="29" t="str">
        <x:v>NOT_RUN</x:v>
      </x:c>
      <x:c r="J12" s="29" t="str">
        <x:v>NOT_RUN</x:v>
      </x:c>
      <x:c r="K12" s="29" t="str">
        <x:v>NOT_RUN</x:v>
      </x:c>
      <x:c r="L12" s="29" t="str"/>
      <x:c r="M12" s="29" t="str"/>
      <x:c r="N12" s="29" t="str"/>
      <x:c r="O12" s="29" t="str">
        <x:f>IF(COUNTIF(F12:K12,"NOT_RUN")=6,"NOT_RUN",IF(AND(COUNTIF(F12:K12,"PASS")=6,L12&lt;&gt;"",M12&lt;&gt;"",N12&lt;&gt;""),"PASS","HOLD"))</x:f>
        <x:v>NOT_RUN</x:v>
      </x:c>
    </x:row>
    <x:row r="13">
      <x:c r="A13" s="29" t="str">
        <x:v>DIO-EVT-002</x:v>
      </x:c>
      <x:c r="B13" s="29" t="str">
        <x:v>LOT-1</x:v>
      </x:c>
      <x:c r="C13" s="29" t="str">
        <x:v>H-MIC3</x:v>
      </x:c>
      <x:c r="D13" s="29" t="n">
        <x:v>275</x:v>
      </x:c>
      <x:c r="E13" s="29" t="n">
        <x:v>5</x:v>
      </x:c>
      <x:c r="F13" s="29" t="str">
        <x:v>NOT_RUN</x:v>
      </x:c>
      <x:c r="G13" s="29" t="str">
        <x:v>NOT_RUN</x:v>
      </x:c>
      <x:c r="H13" s="29" t="str">
        <x:v>NOT_RUN</x:v>
      </x:c>
      <x:c r="I13" s="29" t="str">
        <x:v>NOT_RUN</x:v>
      </x:c>
      <x:c r="J13" s="29" t="str">
        <x:v>NOT_RUN</x:v>
      </x:c>
      <x:c r="K13" s="29" t="str">
        <x:v>NOT_RUN</x:v>
      </x:c>
      <x:c r="L13" s="29" t="str"/>
      <x:c r="M13" s="29" t="str"/>
      <x:c r="N13" s="29" t="str"/>
      <x:c r="O13" s="29" t="str">
        <x:f>IF(COUNTIF(F13:K13,"NOT_RUN")=6,"NOT_RUN",IF(AND(COUNTIF(F13:K13,"PASS")=6,L13&lt;&gt;"",M13&lt;&gt;"",N13&lt;&gt;""),"PASS","HOLD"))</x:f>
        <x:v>NOT_RUN</x:v>
      </x:c>
    </x:row>
    <x:row r="14">
      <x:c r="A14" s="29" t="str">
        <x:v>DIO-EVT-002</x:v>
      </x:c>
      <x:c r="B14" s="29" t="str">
        <x:v>LOT-1</x:v>
      </x:c>
      <x:c r="C14" s="29" t="str">
        <x:v>H-MIC4</x:v>
      </x:c>
      <x:c r="D14" s="29" t="n">
        <x:v>275</x:v>
      </x:c>
      <x:c r="E14" s="29" t="n">
        <x:v>5</x:v>
      </x:c>
      <x:c r="F14" s="29" t="str">
        <x:v>NOT_RUN</x:v>
      </x:c>
      <x:c r="G14" s="29" t="str">
        <x:v>NOT_RUN</x:v>
      </x:c>
      <x:c r="H14" s="29" t="str">
        <x:v>NOT_RUN</x:v>
      </x:c>
      <x:c r="I14" s="29" t="str">
        <x:v>NOT_RUN</x:v>
      </x:c>
      <x:c r="J14" s="29" t="str">
        <x:v>NOT_RUN</x:v>
      </x:c>
      <x:c r="K14" s="29" t="str">
        <x:v>NOT_RUN</x:v>
      </x:c>
      <x:c r="L14" s="29" t="str"/>
      <x:c r="M14" s="29" t="str"/>
      <x:c r="N14" s="29" t="str"/>
      <x:c r="O14" s="29" t="str">
        <x:f>IF(COUNTIF(F14:K14,"NOT_RUN")=6,"NOT_RUN",IF(AND(COUNTIF(F14:K14,"PASS")=6,L14&lt;&gt;"",M14&lt;&gt;"",N14&lt;&gt;""),"PASS","HOLD"))</x:f>
        <x:v>NOT_RUN</x:v>
      </x:c>
    </x:row>
    <x:row r="15">
      <x:c r="A15" s="29" t="str">
        <x:v>DIO-EVT-002</x:v>
      </x:c>
      <x:c r="B15" s="29" t="str">
        <x:v>LOT-1</x:v>
      </x:c>
      <x:c r="C15" s="29" t="str">
        <x:v>H-MAIN-PWR</x:v>
      </x:c>
      <x:c r="D15" s="29" t="n">
        <x:v>440</x:v>
      </x:c>
      <x:c r="E15" s="29" t="n">
        <x:v>5</x:v>
      </x:c>
      <x:c r="F15" s="29" t="str">
        <x:v>NOT_RUN</x:v>
      </x:c>
      <x:c r="G15" s="29" t="str">
        <x:v>NOT_RUN</x:v>
      </x:c>
      <x:c r="H15" s="29" t="str">
        <x:v>NOT_RUN</x:v>
      </x:c>
      <x:c r="I15" s="29" t="str">
        <x:v>NOT_RUN</x:v>
      </x:c>
      <x:c r="J15" s="29" t="str">
        <x:v>NOT_RUN</x:v>
      </x:c>
      <x:c r="K15" s="29" t="str">
        <x:v>NOT_RUN</x:v>
      </x:c>
      <x:c r="L15" s="29" t="str"/>
      <x:c r="M15" s="29" t="str"/>
      <x:c r="N15" s="29" t="str"/>
      <x:c r="O15" s="29" t="str">
        <x:f>IF(COUNTIF(F15:K15,"NOT_RUN")=6,"NOT_RUN",IF(AND(COUNTIF(F15:K15,"PASS")=6,L15&lt;&gt;"",M15&lt;&gt;"",N15&lt;&gt;""),"PASS","HOLD"))</x:f>
        <x:v>NOT_RUN</x:v>
      </x:c>
    </x:row>
    <x:row r="16">
      <x:c r="A16" s="29" t="str">
        <x:v>DIO-EVT-002</x:v>
      </x:c>
      <x:c r="B16" s="29" t="str">
        <x:v>LOT-1</x:v>
      </x:c>
      <x:c r="C16" s="29" t="str">
        <x:v>H-BAT-PWR</x:v>
      </x:c>
      <x:c r="D16" s="29" t="n">
        <x:v>330</x:v>
      </x:c>
      <x:c r="E16" s="29" t="n">
        <x:v>5</x:v>
      </x:c>
      <x:c r="F16" s="29" t="str">
        <x:v>NOT_RUN</x:v>
      </x:c>
      <x:c r="G16" s="29" t="str">
        <x:v>NOT_RUN</x:v>
      </x:c>
      <x:c r="H16" s="29" t="str">
        <x:v>NOT_RUN</x:v>
      </x:c>
      <x:c r="I16" s="29" t="str">
        <x:v>NOT_RUN</x:v>
      </x:c>
      <x:c r="J16" s="29" t="str">
        <x:v>NOT_RUN</x:v>
      </x:c>
      <x:c r="K16" s="29" t="str">
        <x:v>NOT_RUN</x:v>
      </x:c>
      <x:c r="L16" s="29" t="str"/>
      <x:c r="M16" s="29" t="str"/>
      <x:c r="N16" s="29" t="str"/>
      <x:c r="O16" s="29" t="str">
        <x:f>IF(COUNTIF(F16:K16,"NOT_RUN")=6,"NOT_RUN",IF(AND(COUNTIF(F16:K16,"PASS")=6,L16&lt;&gt;"",M16&lt;&gt;"",N16&lt;&gt;""),"PASS","HOLD"))</x:f>
        <x:v>NOT_RUN</x:v>
      </x:c>
    </x:row>
    <x:row r="17">
      <x:c r="A17" s="29" t="str">
        <x:v>DIO-EVT-003</x:v>
      </x:c>
      <x:c r="B17" s="29" t="str">
        <x:v>LOT-1</x:v>
      </x:c>
      <x:c r="C17" s="29" t="str">
        <x:v>H-MIC1</x:v>
      </x:c>
      <x:c r="D17" s="29" t="n">
        <x:v>275</x:v>
      </x:c>
      <x:c r="E17" s="29" t="n">
        <x:v>5</x:v>
      </x:c>
      <x:c r="F17" s="29" t="str">
        <x:v>NOT_RUN</x:v>
      </x:c>
      <x:c r="G17" s="29" t="str">
        <x:v>NOT_RUN</x:v>
      </x:c>
      <x:c r="H17" s="29" t="str">
        <x:v>NOT_RUN</x:v>
      </x:c>
      <x:c r="I17" s="29" t="str">
        <x:v>NOT_RUN</x:v>
      </x:c>
      <x:c r="J17" s="29" t="str">
        <x:v>NOT_RUN</x:v>
      </x:c>
      <x:c r="K17" s="29" t="str">
        <x:v>NOT_RUN</x:v>
      </x:c>
      <x:c r="L17" s="29" t="str"/>
      <x:c r="M17" s="29" t="str"/>
      <x:c r="N17" s="29" t="str"/>
      <x:c r="O17" s="29" t="str">
        <x:f>IF(COUNTIF(F17:K17,"NOT_RUN")=6,"NOT_RUN",IF(AND(COUNTIF(F17:K17,"PASS")=6,L17&lt;&gt;"",M17&lt;&gt;"",N17&lt;&gt;""),"PASS","HOLD"))</x:f>
        <x:v>NOT_RUN</x:v>
      </x:c>
    </x:row>
    <x:row r="18">
      <x:c r="A18" s="29" t="str">
        <x:v>DIO-EVT-003</x:v>
      </x:c>
      <x:c r="B18" s="29" t="str">
        <x:v>LOT-1</x:v>
      </x:c>
      <x:c r="C18" s="29" t="str">
        <x:v>H-MIC2</x:v>
      </x:c>
      <x:c r="D18" s="29" t="n">
        <x:v>275</x:v>
      </x:c>
      <x:c r="E18" s="29" t="n">
        <x:v>5</x:v>
      </x:c>
      <x:c r="F18" s="29" t="str">
        <x:v>NOT_RUN</x:v>
      </x:c>
      <x:c r="G18" s="29" t="str">
        <x:v>NOT_RUN</x:v>
      </x:c>
      <x:c r="H18" s="29" t="str">
        <x:v>NOT_RUN</x:v>
      </x:c>
      <x:c r="I18" s="29" t="str">
        <x:v>NOT_RUN</x:v>
      </x:c>
      <x:c r="J18" s="29" t="str">
        <x:v>NOT_RUN</x:v>
      </x:c>
      <x:c r="K18" s="29" t="str">
        <x:v>NOT_RUN</x:v>
      </x:c>
      <x:c r="L18" s="29" t="str"/>
      <x:c r="M18" s="29" t="str"/>
      <x:c r="N18" s="29" t="str"/>
      <x:c r="O18" s="29" t="str">
        <x:f>IF(COUNTIF(F18:K18,"NOT_RUN")=6,"NOT_RUN",IF(AND(COUNTIF(F18:K18,"PASS")=6,L18&lt;&gt;"",M18&lt;&gt;"",N18&lt;&gt;""),"PASS","HOLD"))</x:f>
        <x:v>NOT_RUN</x:v>
      </x:c>
    </x:row>
    <x:row r="19">
      <x:c r="A19" s="29" t="str">
        <x:v>DIO-EVT-003</x:v>
      </x:c>
      <x:c r="B19" s="29" t="str">
        <x:v>LOT-1</x:v>
      </x:c>
      <x:c r="C19" s="29" t="str">
        <x:v>H-MIC3</x:v>
      </x:c>
      <x:c r="D19" s="29" t="n">
        <x:v>275</x:v>
      </x:c>
      <x:c r="E19" s="29" t="n">
        <x:v>5</x:v>
      </x:c>
      <x:c r="F19" s="29" t="str">
        <x:v>NOT_RUN</x:v>
      </x:c>
      <x:c r="G19" s="29" t="str">
        <x:v>NOT_RUN</x:v>
      </x:c>
      <x:c r="H19" s="29" t="str">
        <x:v>NOT_RUN</x:v>
      </x:c>
      <x:c r="I19" s="29" t="str">
        <x:v>NOT_RUN</x:v>
      </x:c>
      <x:c r="J19" s="29" t="str">
        <x:v>NOT_RUN</x:v>
      </x:c>
      <x:c r="K19" s="29" t="str">
        <x:v>NOT_RUN</x:v>
      </x:c>
      <x:c r="L19" s="29" t="str"/>
      <x:c r="M19" s="29" t="str"/>
      <x:c r="N19" s="29" t="str"/>
      <x:c r="O19" s="29" t="str">
        <x:f>IF(COUNTIF(F19:K19,"NOT_RUN")=6,"NOT_RUN",IF(AND(COUNTIF(F19:K19,"PASS")=6,L19&lt;&gt;"",M19&lt;&gt;"",N19&lt;&gt;""),"PASS","HOLD"))</x:f>
        <x:v>NOT_RUN</x:v>
      </x:c>
    </x:row>
    <x:row r="20">
      <x:c r="A20" s="29" t="str">
        <x:v>DIO-EVT-003</x:v>
      </x:c>
      <x:c r="B20" s="29" t="str">
        <x:v>LOT-1</x:v>
      </x:c>
      <x:c r="C20" s="29" t="str">
        <x:v>H-MIC4</x:v>
      </x:c>
      <x:c r="D20" s="29" t="n">
        <x:v>275</x:v>
      </x:c>
      <x:c r="E20" s="29" t="n">
        <x:v>5</x:v>
      </x:c>
      <x:c r="F20" s="29" t="str">
        <x:v>NOT_RUN</x:v>
      </x:c>
      <x:c r="G20" s="29" t="str">
        <x:v>NOT_RUN</x:v>
      </x:c>
      <x:c r="H20" s="29" t="str">
        <x:v>NOT_RUN</x:v>
      </x:c>
      <x:c r="I20" s="29" t="str">
        <x:v>NOT_RUN</x:v>
      </x:c>
      <x:c r="J20" s="29" t="str">
        <x:v>NOT_RUN</x:v>
      </x:c>
      <x:c r="K20" s="29" t="str">
        <x:v>NOT_RUN</x:v>
      </x:c>
      <x:c r="L20" s="29" t="str"/>
      <x:c r="M20" s="29" t="str"/>
      <x:c r="N20" s="29" t="str"/>
      <x:c r="O20" s="29" t="str">
        <x:f>IF(COUNTIF(F20:K20,"NOT_RUN")=6,"NOT_RUN",IF(AND(COUNTIF(F20:K20,"PASS")=6,L20&lt;&gt;"",M20&lt;&gt;"",N20&lt;&gt;""),"PASS","HOLD"))</x:f>
        <x:v>NOT_RUN</x:v>
      </x:c>
    </x:row>
    <x:row r="21">
      <x:c r="A21" s="29" t="str">
        <x:v>DIO-EVT-003</x:v>
      </x:c>
      <x:c r="B21" s="29" t="str">
        <x:v>LOT-1</x:v>
      </x:c>
      <x:c r="C21" s="29" t="str">
        <x:v>H-MAIN-PWR</x:v>
      </x:c>
      <x:c r="D21" s="29" t="n">
        <x:v>440</x:v>
      </x:c>
      <x:c r="E21" s="29" t="n">
        <x:v>5</x:v>
      </x:c>
      <x:c r="F21" s="29" t="str">
        <x:v>NOT_RUN</x:v>
      </x:c>
      <x:c r="G21" s="29" t="str">
        <x:v>NOT_RUN</x:v>
      </x:c>
      <x:c r="H21" s="29" t="str">
        <x:v>NOT_RUN</x:v>
      </x:c>
      <x:c r="I21" s="29" t="str">
        <x:v>NOT_RUN</x:v>
      </x:c>
      <x:c r="J21" s="29" t="str">
        <x:v>NOT_RUN</x:v>
      </x:c>
      <x:c r="K21" s="29" t="str">
        <x:v>NOT_RUN</x:v>
      </x:c>
      <x:c r="L21" s="29" t="str"/>
      <x:c r="M21" s="29" t="str"/>
      <x:c r="N21" s="29" t="str"/>
      <x:c r="O21" s="29" t="str">
        <x:f>IF(COUNTIF(F21:K21,"NOT_RUN")=6,"NOT_RUN",IF(AND(COUNTIF(F21:K21,"PASS")=6,L21&lt;&gt;"",M21&lt;&gt;"",N21&lt;&gt;""),"PASS","HOLD"))</x:f>
        <x:v>NOT_RUN</x:v>
      </x:c>
    </x:row>
    <x:row r="22">
      <x:c r="A22" s="29" t="str">
        <x:v>DIO-EVT-003</x:v>
      </x:c>
      <x:c r="B22" s="29" t="str">
        <x:v>LOT-1</x:v>
      </x:c>
      <x:c r="C22" s="29" t="str">
        <x:v>H-BAT-PWR</x:v>
      </x:c>
      <x:c r="D22" s="29" t="n">
        <x:v>330</x:v>
      </x:c>
      <x:c r="E22" s="29" t="n">
        <x:v>5</x:v>
      </x:c>
      <x:c r="F22" s="29" t="str">
        <x:v>NOT_RUN</x:v>
      </x:c>
      <x:c r="G22" s="29" t="str">
        <x:v>NOT_RUN</x:v>
      </x:c>
      <x:c r="H22" s="29" t="str">
        <x:v>NOT_RUN</x:v>
      </x:c>
      <x:c r="I22" s="29" t="str">
        <x:v>NOT_RUN</x:v>
      </x:c>
      <x:c r="J22" s="29" t="str">
        <x:v>NOT_RUN</x:v>
      </x:c>
      <x:c r="K22" s="29" t="str">
        <x:v>NOT_RUN</x:v>
      </x:c>
      <x:c r="L22" s="29" t="str"/>
      <x:c r="M22" s="29" t="str"/>
      <x:c r="N22" s="29" t="str"/>
      <x:c r="O22" s="29" t="str">
        <x:f>IF(COUNTIF(F22:K22,"NOT_RUN")=6,"NOT_RUN",IF(AND(COUNTIF(F22:K22,"PASS")=6,L22&lt;&gt;"",M22&lt;&gt;"",N22&lt;&gt;""),"PASS","HOLD"))</x:f>
        <x:v>NOT_RUN</x:v>
      </x:c>
    </x:row>
    <x:row r="23">
      <x:c r="A23" s="29" t="str">
        <x:v>DIO-EVT-004</x:v>
      </x:c>
      <x:c r="B23" s="29" t="str">
        <x:v>LOT-1</x:v>
      </x:c>
      <x:c r="C23" s="29" t="str">
        <x:v>H-MIC1</x:v>
      </x:c>
      <x:c r="D23" s="29" t="n">
        <x:v>275</x:v>
      </x:c>
      <x:c r="E23" s="29" t="n">
        <x:v>5</x:v>
      </x:c>
      <x:c r="F23" s="29" t="str">
        <x:v>NOT_RUN</x:v>
      </x:c>
      <x:c r="G23" s="29" t="str">
        <x:v>NOT_RUN</x:v>
      </x:c>
      <x:c r="H23" s="29" t="str">
        <x:v>NOT_RUN</x:v>
      </x:c>
      <x:c r="I23" s="29" t="str">
        <x:v>NOT_RUN</x:v>
      </x:c>
      <x:c r="J23" s="29" t="str">
        <x:v>NOT_RUN</x:v>
      </x:c>
      <x:c r="K23" s="29" t="str">
        <x:v>NOT_RUN</x:v>
      </x:c>
      <x:c r="L23" s="29" t="str"/>
      <x:c r="M23" s="29" t="str"/>
      <x:c r="N23" s="29" t="str"/>
      <x:c r="O23" s="29" t="str">
        <x:f>IF(COUNTIF(F23:K23,"NOT_RUN")=6,"NOT_RUN",IF(AND(COUNTIF(F23:K23,"PASS")=6,L23&lt;&gt;"",M23&lt;&gt;"",N23&lt;&gt;""),"PASS","HOLD"))</x:f>
        <x:v>NOT_RUN</x:v>
      </x:c>
    </x:row>
    <x:row r="24">
      <x:c r="A24" s="29" t="str">
        <x:v>DIO-EVT-004</x:v>
      </x:c>
      <x:c r="B24" s="29" t="str">
        <x:v>LOT-1</x:v>
      </x:c>
      <x:c r="C24" s="29" t="str">
        <x:v>H-MIC2</x:v>
      </x:c>
      <x:c r="D24" s="29" t="n">
        <x:v>275</x:v>
      </x:c>
      <x:c r="E24" s="29" t="n">
        <x:v>5</x:v>
      </x:c>
      <x:c r="F24" s="29" t="str">
        <x:v>NOT_RUN</x:v>
      </x:c>
      <x:c r="G24" s="29" t="str">
        <x:v>NOT_RUN</x:v>
      </x:c>
      <x:c r="H24" s="29" t="str">
        <x:v>NOT_RUN</x:v>
      </x:c>
      <x:c r="I24" s="29" t="str">
        <x:v>NOT_RUN</x:v>
      </x:c>
      <x:c r="J24" s="29" t="str">
        <x:v>NOT_RUN</x:v>
      </x:c>
      <x:c r="K24" s="29" t="str">
        <x:v>NOT_RUN</x:v>
      </x:c>
      <x:c r="L24" s="29" t="str"/>
      <x:c r="M24" s="29" t="str"/>
      <x:c r="N24" s="29" t="str"/>
      <x:c r="O24" s="29" t="str">
        <x:f>IF(COUNTIF(F24:K24,"NOT_RUN")=6,"NOT_RUN",IF(AND(COUNTIF(F24:K24,"PASS")=6,L24&lt;&gt;"",M24&lt;&gt;"",N24&lt;&gt;""),"PASS","HOLD"))</x:f>
        <x:v>NOT_RUN</x:v>
      </x:c>
    </x:row>
    <x:row r="25">
      <x:c r="A25" s="29" t="str">
        <x:v>DIO-EVT-004</x:v>
      </x:c>
      <x:c r="B25" s="29" t="str">
        <x:v>LOT-1</x:v>
      </x:c>
      <x:c r="C25" s="29" t="str">
        <x:v>H-MIC3</x:v>
      </x:c>
      <x:c r="D25" s="29" t="n">
        <x:v>275</x:v>
      </x:c>
      <x:c r="E25" s="29" t="n">
        <x:v>5</x:v>
      </x:c>
      <x:c r="F25" s="29" t="str">
        <x:v>NOT_RUN</x:v>
      </x:c>
      <x:c r="G25" s="29" t="str">
        <x:v>NOT_RUN</x:v>
      </x:c>
      <x:c r="H25" s="29" t="str">
        <x:v>NOT_RUN</x:v>
      </x:c>
      <x:c r="I25" s="29" t="str">
        <x:v>NOT_RUN</x:v>
      </x:c>
      <x:c r="J25" s="29" t="str">
        <x:v>NOT_RUN</x:v>
      </x:c>
      <x:c r="K25" s="29" t="str">
        <x:v>NOT_RUN</x:v>
      </x:c>
      <x:c r="L25" s="29" t="str"/>
      <x:c r="M25" s="29" t="str"/>
      <x:c r="N25" s="29" t="str"/>
      <x:c r="O25" s="29" t="str">
        <x:f>IF(COUNTIF(F25:K25,"NOT_RUN")=6,"NOT_RUN",IF(AND(COUNTIF(F25:K25,"PASS")=6,L25&lt;&gt;"",M25&lt;&gt;"",N25&lt;&gt;""),"PASS","HOLD"))</x:f>
        <x:v>NOT_RUN</x:v>
      </x:c>
    </x:row>
    <x:row r="26">
      <x:c r="A26" s="29" t="str">
        <x:v>DIO-EVT-004</x:v>
      </x:c>
      <x:c r="B26" s="29" t="str">
        <x:v>LOT-1</x:v>
      </x:c>
      <x:c r="C26" s="29" t="str">
        <x:v>H-MIC4</x:v>
      </x:c>
      <x:c r="D26" s="29" t="n">
        <x:v>275</x:v>
      </x:c>
      <x:c r="E26" s="29" t="n">
        <x:v>5</x:v>
      </x:c>
      <x:c r="F26" s="29" t="str">
        <x:v>NOT_RUN</x:v>
      </x:c>
      <x:c r="G26" s="29" t="str">
        <x:v>NOT_RUN</x:v>
      </x:c>
      <x:c r="H26" s="29" t="str">
        <x:v>NOT_RUN</x:v>
      </x:c>
      <x:c r="I26" s="29" t="str">
        <x:v>NOT_RUN</x:v>
      </x:c>
      <x:c r="J26" s="29" t="str">
        <x:v>NOT_RUN</x:v>
      </x:c>
      <x:c r="K26" s="29" t="str">
        <x:v>NOT_RUN</x:v>
      </x:c>
      <x:c r="L26" s="29" t="str"/>
      <x:c r="M26" s="29" t="str"/>
      <x:c r="N26" s="29" t="str"/>
      <x:c r="O26" s="29" t="str">
        <x:f>IF(COUNTIF(F26:K26,"NOT_RUN")=6,"NOT_RUN",IF(AND(COUNTIF(F26:K26,"PASS")=6,L26&lt;&gt;"",M26&lt;&gt;"",N26&lt;&gt;""),"PASS","HOLD"))</x:f>
        <x:v>NOT_RUN</x:v>
      </x:c>
    </x:row>
    <x:row r="27">
      <x:c r="A27" s="29" t="str">
        <x:v>DIO-EVT-004</x:v>
      </x:c>
      <x:c r="B27" s="29" t="str">
        <x:v>LOT-1</x:v>
      </x:c>
      <x:c r="C27" s="29" t="str">
        <x:v>H-MAIN-PWR</x:v>
      </x:c>
      <x:c r="D27" s="29" t="n">
        <x:v>440</x:v>
      </x:c>
      <x:c r="E27" s="29" t="n">
        <x:v>5</x:v>
      </x:c>
      <x:c r="F27" s="29" t="str">
        <x:v>NOT_RUN</x:v>
      </x:c>
      <x:c r="G27" s="29" t="str">
        <x:v>NOT_RUN</x:v>
      </x:c>
      <x:c r="H27" s="29" t="str">
        <x:v>NOT_RUN</x:v>
      </x:c>
      <x:c r="I27" s="29" t="str">
        <x:v>NOT_RUN</x:v>
      </x:c>
      <x:c r="J27" s="29" t="str">
        <x:v>NOT_RUN</x:v>
      </x:c>
      <x:c r="K27" s="29" t="str">
        <x:v>NOT_RUN</x:v>
      </x:c>
      <x:c r="L27" s="29" t="str"/>
      <x:c r="M27" s="29" t="str"/>
      <x:c r="N27" s="29" t="str"/>
      <x:c r="O27" s="29" t="str">
        <x:f>IF(COUNTIF(F27:K27,"NOT_RUN")=6,"NOT_RUN",IF(AND(COUNTIF(F27:K27,"PASS")=6,L27&lt;&gt;"",M27&lt;&gt;"",N27&lt;&gt;""),"PASS","HOLD"))</x:f>
        <x:v>NOT_RUN</x:v>
      </x:c>
    </x:row>
    <x:row r="28">
      <x:c r="A28" s="29" t="str">
        <x:v>DIO-EVT-004</x:v>
      </x:c>
      <x:c r="B28" s="29" t="str">
        <x:v>LOT-1</x:v>
      </x:c>
      <x:c r="C28" s="29" t="str">
        <x:v>H-BAT-PWR</x:v>
      </x:c>
      <x:c r="D28" s="29" t="n">
        <x:v>330</x:v>
      </x:c>
      <x:c r="E28" s="29" t="n">
        <x:v>5</x:v>
      </x:c>
      <x:c r="F28" s="29" t="str">
        <x:v>NOT_RUN</x:v>
      </x:c>
      <x:c r="G28" s="29" t="str">
        <x:v>NOT_RUN</x:v>
      </x:c>
      <x:c r="H28" s="29" t="str">
        <x:v>NOT_RUN</x:v>
      </x:c>
      <x:c r="I28" s="29" t="str">
        <x:v>NOT_RUN</x:v>
      </x:c>
      <x:c r="J28" s="29" t="str">
        <x:v>NOT_RUN</x:v>
      </x:c>
      <x:c r="K28" s="29" t="str">
        <x:v>NOT_RUN</x:v>
      </x:c>
      <x:c r="L28" s="29" t="str"/>
      <x:c r="M28" s="29" t="str"/>
      <x:c r="N28" s="29" t="str"/>
      <x:c r="O28" s="29" t="str">
        <x:f>IF(COUNTIF(F28:K28,"NOT_RUN")=6,"NOT_RUN",IF(AND(COUNTIF(F28:K28,"PASS")=6,L28&lt;&gt;"",M28&lt;&gt;"",N28&lt;&gt;""),"PASS","HOLD"))</x:f>
        <x:v>NOT_RUN</x:v>
      </x:c>
    </x:row>
    <x:row r="29">
      <x:c r="A29" s="29" t="str">
        <x:v>DIO-EVT-005</x:v>
      </x:c>
      <x:c r="B29" s="29" t="str">
        <x:v>LOT-1</x:v>
      </x:c>
      <x:c r="C29" s="29" t="str">
        <x:v>H-MIC1</x:v>
      </x:c>
      <x:c r="D29" s="29" t="n">
        <x:v>275</x:v>
      </x:c>
      <x:c r="E29" s="29" t="n">
        <x:v>5</x:v>
      </x:c>
      <x:c r="F29" s="29" t="str">
        <x:v>NOT_RUN</x:v>
      </x:c>
      <x:c r="G29" s="29" t="str">
        <x:v>NOT_RUN</x:v>
      </x:c>
      <x:c r="H29" s="29" t="str">
        <x:v>NOT_RUN</x:v>
      </x:c>
      <x:c r="I29" s="29" t="str">
        <x:v>NOT_RUN</x:v>
      </x:c>
      <x:c r="J29" s="29" t="str">
        <x:v>NOT_RUN</x:v>
      </x:c>
      <x:c r="K29" s="29" t="str">
        <x:v>NOT_RUN</x:v>
      </x:c>
      <x:c r="L29" s="29" t="str"/>
      <x:c r="M29" s="29" t="str"/>
      <x:c r="N29" s="29" t="str"/>
      <x:c r="O29" s="29" t="str">
        <x:f>IF(COUNTIF(F29:K29,"NOT_RUN")=6,"NOT_RUN",IF(AND(COUNTIF(F29:K29,"PASS")=6,L29&lt;&gt;"",M29&lt;&gt;"",N29&lt;&gt;""),"PASS","HOLD"))</x:f>
        <x:v>NOT_RUN</x:v>
      </x:c>
    </x:row>
    <x:row r="30">
      <x:c r="A30" s="29" t="str">
        <x:v>DIO-EVT-005</x:v>
      </x:c>
      <x:c r="B30" s="29" t="str">
        <x:v>LOT-1</x:v>
      </x:c>
      <x:c r="C30" s="29" t="str">
        <x:v>H-MIC2</x:v>
      </x:c>
      <x:c r="D30" s="29" t="n">
        <x:v>275</x:v>
      </x:c>
      <x:c r="E30" s="29" t="n">
        <x:v>5</x:v>
      </x:c>
      <x:c r="F30" s="29" t="str">
        <x:v>NOT_RUN</x:v>
      </x:c>
      <x:c r="G30" s="29" t="str">
        <x:v>NOT_RUN</x:v>
      </x:c>
      <x:c r="H30" s="29" t="str">
        <x:v>NOT_RUN</x:v>
      </x:c>
      <x:c r="I30" s="29" t="str">
        <x:v>NOT_RUN</x:v>
      </x:c>
      <x:c r="J30" s="29" t="str">
        <x:v>NOT_RUN</x:v>
      </x:c>
      <x:c r="K30" s="29" t="str">
        <x:v>NOT_RUN</x:v>
      </x:c>
      <x:c r="L30" s="29" t="str"/>
      <x:c r="M30" s="29" t="str"/>
      <x:c r="N30" s="29" t="str"/>
      <x:c r="O30" s="29" t="str">
        <x:f>IF(COUNTIF(F30:K30,"NOT_RUN")=6,"NOT_RUN",IF(AND(COUNTIF(F30:K30,"PASS")=6,L30&lt;&gt;"",M30&lt;&gt;"",N30&lt;&gt;""),"PASS","HOLD"))</x:f>
        <x:v>NOT_RUN</x:v>
      </x:c>
    </x:row>
    <x:row r="31">
      <x:c r="A31" s="29" t="str">
        <x:v>DIO-EVT-005</x:v>
      </x:c>
      <x:c r="B31" s="29" t="str">
        <x:v>LOT-1</x:v>
      </x:c>
      <x:c r="C31" s="29" t="str">
        <x:v>H-MIC3</x:v>
      </x:c>
      <x:c r="D31" s="29" t="n">
        <x:v>275</x:v>
      </x:c>
      <x:c r="E31" s="29" t="n">
        <x:v>5</x:v>
      </x:c>
      <x:c r="F31" s="29" t="str">
        <x:v>NOT_RUN</x:v>
      </x:c>
      <x:c r="G31" s="29" t="str">
        <x:v>NOT_RUN</x:v>
      </x:c>
      <x:c r="H31" s="29" t="str">
        <x:v>NOT_RUN</x:v>
      </x:c>
      <x:c r="I31" s="29" t="str">
        <x:v>NOT_RUN</x:v>
      </x:c>
      <x:c r="J31" s="29" t="str">
        <x:v>NOT_RUN</x:v>
      </x:c>
      <x:c r="K31" s="29" t="str">
        <x:v>NOT_RUN</x:v>
      </x:c>
      <x:c r="L31" s="29" t="str"/>
      <x:c r="M31" s="29" t="str"/>
      <x:c r="N31" s="29" t="str"/>
      <x:c r="O31" s="29" t="str">
        <x:f>IF(COUNTIF(F31:K31,"NOT_RUN")=6,"NOT_RUN",IF(AND(COUNTIF(F31:K31,"PASS")=6,L31&lt;&gt;"",M31&lt;&gt;"",N31&lt;&gt;""),"PASS","HOLD"))</x:f>
        <x:v>NOT_RUN</x:v>
      </x:c>
    </x:row>
    <x:row r="32">
      <x:c r="A32" s="29" t="str">
        <x:v>DIO-EVT-005</x:v>
      </x:c>
      <x:c r="B32" s="29" t="str">
        <x:v>LOT-1</x:v>
      </x:c>
      <x:c r="C32" s="29" t="str">
        <x:v>H-MIC4</x:v>
      </x:c>
      <x:c r="D32" s="29" t="n">
        <x:v>275</x:v>
      </x:c>
      <x:c r="E32" s="29" t="n">
        <x:v>5</x:v>
      </x:c>
      <x:c r="F32" s="29" t="str">
        <x:v>NOT_RUN</x:v>
      </x:c>
      <x:c r="G32" s="29" t="str">
        <x:v>NOT_RUN</x:v>
      </x:c>
      <x:c r="H32" s="29" t="str">
        <x:v>NOT_RUN</x:v>
      </x:c>
      <x:c r="I32" s="29" t="str">
        <x:v>NOT_RUN</x:v>
      </x:c>
      <x:c r="J32" s="29" t="str">
        <x:v>NOT_RUN</x:v>
      </x:c>
      <x:c r="K32" s="29" t="str">
        <x:v>NOT_RUN</x:v>
      </x:c>
      <x:c r="L32" s="29" t="str"/>
      <x:c r="M32" s="29" t="str"/>
      <x:c r="N32" s="29" t="str"/>
      <x:c r="O32" s="29" t="str">
        <x:f>IF(COUNTIF(F32:K32,"NOT_RUN")=6,"NOT_RUN",IF(AND(COUNTIF(F32:K32,"PASS")=6,L32&lt;&gt;"",M32&lt;&gt;"",N32&lt;&gt;""),"PASS","HOLD"))</x:f>
        <x:v>NOT_RUN</x:v>
      </x:c>
    </x:row>
    <x:row r="33">
      <x:c r="A33" s="29" t="str">
        <x:v>DIO-EVT-005</x:v>
      </x:c>
      <x:c r="B33" s="29" t="str">
        <x:v>LOT-1</x:v>
      </x:c>
      <x:c r="C33" s="29" t="str">
        <x:v>H-MAIN-PWR</x:v>
      </x:c>
      <x:c r="D33" s="29" t="n">
        <x:v>440</x:v>
      </x:c>
      <x:c r="E33" s="29" t="n">
        <x:v>5</x:v>
      </x:c>
      <x:c r="F33" s="29" t="str">
        <x:v>NOT_RUN</x:v>
      </x:c>
      <x:c r="G33" s="29" t="str">
        <x:v>NOT_RUN</x:v>
      </x:c>
      <x:c r="H33" s="29" t="str">
        <x:v>NOT_RUN</x:v>
      </x:c>
      <x:c r="I33" s="29" t="str">
        <x:v>NOT_RUN</x:v>
      </x:c>
      <x:c r="J33" s="29" t="str">
        <x:v>NOT_RUN</x:v>
      </x:c>
      <x:c r="K33" s="29" t="str">
        <x:v>NOT_RUN</x:v>
      </x:c>
      <x:c r="L33" s="29" t="str"/>
      <x:c r="M33" s="29" t="str"/>
      <x:c r="N33" s="29" t="str"/>
      <x:c r="O33" s="29" t="str">
        <x:f>IF(COUNTIF(F33:K33,"NOT_RUN")=6,"NOT_RUN",IF(AND(COUNTIF(F33:K33,"PASS")=6,L33&lt;&gt;"",M33&lt;&gt;"",N33&lt;&gt;""),"PASS","HOLD"))</x:f>
        <x:v>NOT_RUN</x:v>
      </x:c>
    </x:row>
    <x:row r="34">
      <x:c r="A34" s="29" t="str">
        <x:v>DIO-EVT-005</x:v>
      </x:c>
      <x:c r="B34" s="29" t="str">
        <x:v>LOT-1</x:v>
      </x:c>
      <x:c r="C34" s="29" t="str">
        <x:v>H-BAT-PWR</x:v>
      </x:c>
      <x:c r="D34" s="29" t="n">
        <x:v>330</x:v>
      </x:c>
      <x:c r="E34" s="29" t="n">
        <x:v>5</x:v>
      </x:c>
      <x:c r="F34" s="29" t="str">
        <x:v>NOT_RUN</x:v>
      </x:c>
      <x:c r="G34" s="29" t="str">
        <x:v>NOT_RUN</x:v>
      </x:c>
      <x:c r="H34" s="29" t="str">
        <x:v>NOT_RUN</x:v>
      </x:c>
      <x:c r="I34" s="29" t="str">
        <x:v>NOT_RUN</x:v>
      </x:c>
      <x:c r="J34" s="29" t="str">
        <x:v>NOT_RUN</x:v>
      </x:c>
      <x:c r="K34" s="29" t="str">
        <x:v>NOT_RUN</x:v>
      </x:c>
      <x:c r="L34" s="29" t="str"/>
      <x:c r="M34" s="29" t="str"/>
      <x:c r="N34" s="29" t="str"/>
      <x:c r="O34" s="29" t="str">
        <x:f>IF(COUNTIF(F34:K34,"NOT_RUN")=6,"NOT_RUN",IF(AND(COUNTIF(F34:K34,"PASS")=6,L34&lt;&gt;"",M34&lt;&gt;"",N34&lt;&gt;""),"PASS","HOLD"))</x:f>
        <x:v>NOT_RUN</x:v>
      </x:c>
    </x:row>
    <x:row r="35">
      <x:c r="A35" s="29" t="str">
        <x:v>DIO-EVT-006</x:v>
      </x:c>
      <x:c r="B35" s="29" t="str">
        <x:v>LOT-1</x:v>
      </x:c>
      <x:c r="C35" s="29" t="str">
        <x:v>H-MIC1</x:v>
      </x:c>
      <x:c r="D35" s="29" t="n">
        <x:v>275</x:v>
      </x:c>
      <x:c r="E35" s="29" t="n">
        <x:v>5</x:v>
      </x:c>
      <x:c r="F35" s="29" t="str">
        <x:v>NOT_RUN</x:v>
      </x:c>
      <x:c r="G35" s="29" t="str">
        <x:v>NOT_RUN</x:v>
      </x:c>
      <x:c r="H35" s="29" t="str">
        <x:v>NOT_RUN</x:v>
      </x:c>
      <x:c r="I35" s="29" t="str">
        <x:v>NOT_RUN</x:v>
      </x:c>
      <x:c r="J35" s="29" t="str">
        <x:v>NOT_RUN</x:v>
      </x:c>
      <x:c r="K35" s="29" t="str">
        <x:v>NOT_RUN</x:v>
      </x:c>
      <x:c r="L35" s="29" t="str"/>
      <x:c r="M35" s="29" t="str"/>
      <x:c r="N35" s="29" t="str"/>
      <x:c r="O35" s="29" t="str">
        <x:f>IF(COUNTIF(F35:K35,"NOT_RUN")=6,"NOT_RUN",IF(AND(COUNTIF(F35:K35,"PASS")=6,L35&lt;&gt;"",M35&lt;&gt;"",N35&lt;&gt;""),"PASS","HOLD"))</x:f>
        <x:v>NOT_RUN</x:v>
      </x:c>
    </x:row>
    <x:row r="36">
      <x:c r="A36" s="29" t="str">
        <x:v>DIO-EVT-006</x:v>
      </x:c>
      <x:c r="B36" s="29" t="str">
        <x:v>LOT-1</x:v>
      </x:c>
      <x:c r="C36" s="29" t="str">
        <x:v>H-MIC2</x:v>
      </x:c>
      <x:c r="D36" s="29" t="n">
        <x:v>275</x:v>
      </x:c>
      <x:c r="E36" s="29" t="n">
        <x:v>5</x:v>
      </x:c>
      <x:c r="F36" s="29" t="str">
        <x:v>NOT_RUN</x:v>
      </x:c>
      <x:c r="G36" s="29" t="str">
        <x:v>NOT_RUN</x:v>
      </x:c>
      <x:c r="H36" s="29" t="str">
        <x:v>NOT_RUN</x:v>
      </x:c>
      <x:c r="I36" s="29" t="str">
        <x:v>NOT_RUN</x:v>
      </x:c>
      <x:c r="J36" s="29" t="str">
        <x:v>NOT_RUN</x:v>
      </x:c>
      <x:c r="K36" s="29" t="str">
        <x:v>NOT_RUN</x:v>
      </x:c>
      <x:c r="L36" s="29" t="str"/>
      <x:c r="M36" s="29" t="str"/>
      <x:c r="N36" s="29" t="str"/>
      <x:c r="O36" s="29" t="str">
        <x:f>IF(COUNTIF(F36:K36,"NOT_RUN")=6,"NOT_RUN",IF(AND(COUNTIF(F36:K36,"PASS")=6,L36&lt;&gt;"",M36&lt;&gt;"",N36&lt;&gt;""),"PASS","HOLD"))</x:f>
        <x:v>NOT_RUN</x:v>
      </x:c>
    </x:row>
    <x:row r="37">
      <x:c r="A37" s="29" t="str">
        <x:v>DIO-EVT-006</x:v>
      </x:c>
      <x:c r="B37" s="29" t="str">
        <x:v>LOT-1</x:v>
      </x:c>
      <x:c r="C37" s="29" t="str">
        <x:v>H-MIC3</x:v>
      </x:c>
      <x:c r="D37" s="29" t="n">
        <x:v>275</x:v>
      </x:c>
      <x:c r="E37" s="29" t="n">
        <x:v>5</x:v>
      </x:c>
      <x:c r="F37" s="29" t="str">
        <x:v>NOT_RUN</x:v>
      </x:c>
      <x:c r="G37" s="29" t="str">
        <x:v>NOT_RUN</x:v>
      </x:c>
      <x:c r="H37" s="29" t="str">
        <x:v>NOT_RUN</x:v>
      </x:c>
      <x:c r="I37" s="29" t="str">
        <x:v>NOT_RUN</x:v>
      </x:c>
      <x:c r="J37" s="29" t="str">
        <x:v>NOT_RUN</x:v>
      </x:c>
      <x:c r="K37" s="29" t="str">
        <x:v>NOT_RUN</x:v>
      </x:c>
      <x:c r="L37" s="29" t="str"/>
      <x:c r="M37" s="29" t="str"/>
      <x:c r="N37" s="29" t="str"/>
      <x:c r="O37" s="29" t="str">
        <x:f>IF(COUNTIF(F37:K37,"NOT_RUN")=6,"NOT_RUN",IF(AND(COUNTIF(F37:K37,"PASS")=6,L37&lt;&gt;"",M37&lt;&gt;"",N37&lt;&gt;""),"PASS","HOLD"))</x:f>
        <x:v>NOT_RUN</x:v>
      </x:c>
    </x:row>
    <x:row r="38">
      <x:c r="A38" s="29" t="str">
        <x:v>DIO-EVT-006</x:v>
      </x:c>
      <x:c r="B38" s="29" t="str">
        <x:v>LOT-1</x:v>
      </x:c>
      <x:c r="C38" s="29" t="str">
        <x:v>H-MIC4</x:v>
      </x:c>
      <x:c r="D38" s="29" t="n">
        <x:v>275</x:v>
      </x:c>
      <x:c r="E38" s="29" t="n">
        <x:v>5</x:v>
      </x:c>
      <x:c r="F38" s="29" t="str">
        <x:v>NOT_RUN</x:v>
      </x:c>
      <x:c r="G38" s="29" t="str">
        <x:v>NOT_RUN</x:v>
      </x:c>
      <x:c r="H38" s="29" t="str">
        <x:v>NOT_RUN</x:v>
      </x:c>
      <x:c r="I38" s="29" t="str">
        <x:v>NOT_RUN</x:v>
      </x:c>
      <x:c r="J38" s="29" t="str">
        <x:v>NOT_RUN</x:v>
      </x:c>
      <x:c r="K38" s="29" t="str">
        <x:v>NOT_RUN</x:v>
      </x:c>
      <x:c r="L38" s="29" t="str"/>
      <x:c r="M38" s="29" t="str"/>
      <x:c r="N38" s="29" t="str"/>
      <x:c r="O38" s="29" t="str">
        <x:f>IF(COUNTIF(F38:K38,"NOT_RUN")=6,"NOT_RUN",IF(AND(COUNTIF(F38:K38,"PASS")=6,L38&lt;&gt;"",M38&lt;&gt;"",N38&lt;&gt;""),"PASS","HOLD"))</x:f>
        <x:v>NOT_RUN</x:v>
      </x:c>
    </x:row>
    <x:row r="39">
      <x:c r="A39" s="29" t="str">
        <x:v>DIO-EVT-006</x:v>
      </x:c>
      <x:c r="B39" s="29" t="str">
        <x:v>LOT-1</x:v>
      </x:c>
      <x:c r="C39" s="29" t="str">
        <x:v>H-MAIN-PWR</x:v>
      </x:c>
      <x:c r="D39" s="29" t="n">
        <x:v>440</x:v>
      </x:c>
      <x:c r="E39" s="29" t="n">
        <x:v>5</x:v>
      </x:c>
      <x:c r="F39" s="29" t="str">
        <x:v>NOT_RUN</x:v>
      </x:c>
      <x:c r="G39" s="29" t="str">
        <x:v>NOT_RUN</x:v>
      </x:c>
      <x:c r="H39" s="29" t="str">
        <x:v>NOT_RUN</x:v>
      </x:c>
      <x:c r="I39" s="29" t="str">
        <x:v>NOT_RUN</x:v>
      </x:c>
      <x:c r="J39" s="29" t="str">
        <x:v>NOT_RUN</x:v>
      </x:c>
      <x:c r="K39" s="29" t="str">
        <x:v>NOT_RUN</x:v>
      </x:c>
      <x:c r="L39" s="29" t="str"/>
      <x:c r="M39" s="29" t="str"/>
      <x:c r="N39" s="29" t="str"/>
      <x:c r="O39" s="29" t="str">
        <x:f>IF(COUNTIF(F39:K39,"NOT_RUN")=6,"NOT_RUN",IF(AND(COUNTIF(F39:K39,"PASS")=6,L39&lt;&gt;"",M39&lt;&gt;"",N39&lt;&gt;""),"PASS","HOLD"))</x:f>
        <x:v>NOT_RUN</x:v>
      </x:c>
    </x:row>
    <x:row r="40">
      <x:c r="A40" s="29" t="str">
        <x:v>DIO-EVT-006</x:v>
      </x:c>
      <x:c r="B40" s="29" t="str">
        <x:v>LOT-1</x:v>
      </x:c>
      <x:c r="C40" s="29" t="str">
        <x:v>H-BAT-PWR</x:v>
      </x:c>
      <x:c r="D40" s="29" t="n">
        <x:v>330</x:v>
      </x:c>
      <x:c r="E40" s="29" t="n">
        <x:v>5</x:v>
      </x:c>
      <x:c r="F40" s="29" t="str">
        <x:v>NOT_RUN</x:v>
      </x:c>
      <x:c r="G40" s="29" t="str">
        <x:v>NOT_RUN</x:v>
      </x:c>
      <x:c r="H40" s="29" t="str">
        <x:v>NOT_RUN</x:v>
      </x:c>
      <x:c r="I40" s="29" t="str">
        <x:v>NOT_RUN</x:v>
      </x:c>
      <x:c r="J40" s="29" t="str">
        <x:v>NOT_RUN</x:v>
      </x:c>
      <x:c r="K40" s="29" t="str">
        <x:v>NOT_RUN</x:v>
      </x:c>
      <x:c r="L40" s="29" t="str"/>
      <x:c r="M40" s="29" t="str"/>
      <x:c r="N40" s="29" t="str"/>
      <x:c r="O40" s="29" t="str">
        <x:f>IF(COUNTIF(F40:K40,"NOT_RUN")=6,"NOT_RUN",IF(AND(COUNTIF(F40:K40,"PASS")=6,L40&lt;&gt;"",M40&lt;&gt;"",N40&lt;&gt;""),"PASS","HOLD"))</x:f>
        <x:v>NOT_RUN</x:v>
      </x:c>
    </x:row>
    <x:row r="41">
      <x:c r="A41" s="29" t="str">
        <x:v>DIO-EVT-007</x:v>
      </x:c>
      <x:c r="B41" s="29" t="str">
        <x:v>LOT-1</x:v>
      </x:c>
      <x:c r="C41" s="29" t="str">
        <x:v>H-MIC1</x:v>
      </x:c>
      <x:c r="D41" s="29" t="n">
        <x:v>275</x:v>
      </x:c>
      <x:c r="E41" s="29" t="n">
        <x:v>5</x:v>
      </x:c>
      <x:c r="F41" s="29" t="str">
        <x:v>NOT_RUN</x:v>
      </x:c>
      <x:c r="G41" s="29" t="str">
        <x:v>NOT_RUN</x:v>
      </x:c>
      <x:c r="H41" s="29" t="str">
        <x:v>NOT_RUN</x:v>
      </x:c>
      <x:c r="I41" s="29" t="str">
        <x:v>NOT_RUN</x:v>
      </x:c>
      <x:c r="J41" s="29" t="str">
        <x:v>NOT_RUN</x:v>
      </x:c>
      <x:c r="K41" s="29" t="str">
        <x:v>NOT_RUN</x:v>
      </x:c>
      <x:c r="L41" s="29" t="str"/>
      <x:c r="M41" s="29" t="str"/>
      <x:c r="N41" s="29" t="str"/>
      <x:c r="O41" s="29" t="str">
        <x:f>IF(COUNTIF(F41:K41,"NOT_RUN")=6,"NOT_RUN",IF(AND(COUNTIF(F41:K41,"PASS")=6,L41&lt;&gt;"",M41&lt;&gt;"",N41&lt;&gt;""),"PASS","HOLD"))</x:f>
        <x:v>NOT_RUN</x:v>
      </x:c>
    </x:row>
    <x:row r="42">
      <x:c r="A42" s="29" t="str">
        <x:v>DIO-EVT-007</x:v>
      </x:c>
      <x:c r="B42" s="29" t="str">
        <x:v>LOT-1</x:v>
      </x:c>
      <x:c r="C42" s="29" t="str">
        <x:v>H-MIC2</x:v>
      </x:c>
      <x:c r="D42" s="29" t="n">
        <x:v>275</x:v>
      </x:c>
      <x:c r="E42" s="29" t="n">
        <x:v>5</x:v>
      </x:c>
      <x:c r="F42" s="29" t="str">
        <x:v>NOT_RUN</x:v>
      </x:c>
      <x:c r="G42" s="29" t="str">
        <x:v>NOT_RUN</x:v>
      </x:c>
      <x:c r="H42" s="29" t="str">
        <x:v>NOT_RUN</x:v>
      </x:c>
      <x:c r="I42" s="29" t="str">
        <x:v>NOT_RUN</x:v>
      </x:c>
      <x:c r="J42" s="29" t="str">
        <x:v>NOT_RUN</x:v>
      </x:c>
      <x:c r="K42" s="29" t="str">
        <x:v>NOT_RUN</x:v>
      </x:c>
      <x:c r="L42" s="29" t="str"/>
      <x:c r="M42" s="29" t="str"/>
      <x:c r="N42" s="29" t="str"/>
      <x:c r="O42" s="29" t="str">
        <x:f>IF(COUNTIF(F42:K42,"NOT_RUN")=6,"NOT_RUN",IF(AND(COUNTIF(F42:K42,"PASS")=6,L42&lt;&gt;"",M42&lt;&gt;"",N42&lt;&gt;""),"PASS","HOLD"))</x:f>
        <x:v>NOT_RUN</x:v>
      </x:c>
    </x:row>
    <x:row r="43">
      <x:c r="A43" s="29" t="str">
        <x:v>DIO-EVT-007</x:v>
      </x:c>
      <x:c r="B43" s="29" t="str">
        <x:v>LOT-1</x:v>
      </x:c>
      <x:c r="C43" s="29" t="str">
        <x:v>H-MIC3</x:v>
      </x:c>
      <x:c r="D43" s="29" t="n">
        <x:v>275</x:v>
      </x:c>
      <x:c r="E43" s="29" t="n">
        <x:v>5</x:v>
      </x:c>
      <x:c r="F43" s="29" t="str">
        <x:v>NOT_RUN</x:v>
      </x:c>
      <x:c r="G43" s="29" t="str">
        <x:v>NOT_RUN</x:v>
      </x:c>
      <x:c r="H43" s="29" t="str">
        <x:v>NOT_RUN</x:v>
      </x:c>
      <x:c r="I43" s="29" t="str">
        <x:v>NOT_RUN</x:v>
      </x:c>
      <x:c r="J43" s="29" t="str">
        <x:v>NOT_RUN</x:v>
      </x:c>
      <x:c r="K43" s="29" t="str">
        <x:v>NOT_RUN</x:v>
      </x:c>
      <x:c r="L43" s="29" t="str"/>
      <x:c r="M43" s="29" t="str"/>
      <x:c r="N43" s="29" t="str"/>
      <x:c r="O43" s="29" t="str">
        <x:f>IF(COUNTIF(F43:K43,"NOT_RUN")=6,"NOT_RUN",IF(AND(COUNTIF(F43:K43,"PASS")=6,L43&lt;&gt;"",M43&lt;&gt;"",N43&lt;&gt;""),"PASS","HOLD"))</x:f>
        <x:v>NOT_RUN</x:v>
      </x:c>
    </x:row>
    <x:row r="44">
      <x:c r="A44" s="29" t="str">
        <x:v>DIO-EVT-007</x:v>
      </x:c>
      <x:c r="B44" s="29" t="str">
        <x:v>LOT-1</x:v>
      </x:c>
      <x:c r="C44" s="29" t="str">
        <x:v>H-MIC4</x:v>
      </x:c>
      <x:c r="D44" s="29" t="n">
        <x:v>275</x:v>
      </x:c>
      <x:c r="E44" s="29" t="n">
        <x:v>5</x:v>
      </x:c>
      <x:c r="F44" s="29" t="str">
        <x:v>NOT_RUN</x:v>
      </x:c>
      <x:c r="G44" s="29" t="str">
        <x:v>NOT_RUN</x:v>
      </x:c>
      <x:c r="H44" s="29" t="str">
        <x:v>NOT_RUN</x:v>
      </x:c>
      <x:c r="I44" s="29" t="str">
        <x:v>NOT_RUN</x:v>
      </x:c>
      <x:c r="J44" s="29" t="str">
        <x:v>NOT_RUN</x:v>
      </x:c>
      <x:c r="K44" s="29" t="str">
        <x:v>NOT_RUN</x:v>
      </x:c>
      <x:c r="L44" s="29" t="str"/>
      <x:c r="M44" s="29" t="str"/>
      <x:c r="N44" s="29" t="str"/>
      <x:c r="O44" s="29" t="str">
        <x:f>IF(COUNTIF(F44:K44,"NOT_RUN")=6,"NOT_RUN",IF(AND(COUNTIF(F44:K44,"PASS")=6,L44&lt;&gt;"",M44&lt;&gt;"",N44&lt;&gt;""),"PASS","HOLD"))</x:f>
        <x:v>NOT_RUN</x:v>
      </x:c>
    </x:row>
    <x:row r="45">
      <x:c r="A45" s="29" t="str">
        <x:v>DIO-EVT-007</x:v>
      </x:c>
      <x:c r="B45" s="29" t="str">
        <x:v>LOT-1</x:v>
      </x:c>
      <x:c r="C45" s="29" t="str">
        <x:v>H-MAIN-PWR</x:v>
      </x:c>
      <x:c r="D45" s="29" t="n">
        <x:v>440</x:v>
      </x:c>
      <x:c r="E45" s="29" t="n">
        <x:v>5</x:v>
      </x:c>
      <x:c r="F45" s="29" t="str">
        <x:v>NOT_RUN</x:v>
      </x:c>
      <x:c r="G45" s="29" t="str">
        <x:v>NOT_RUN</x:v>
      </x:c>
      <x:c r="H45" s="29" t="str">
        <x:v>NOT_RUN</x:v>
      </x:c>
      <x:c r="I45" s="29" t="str">
        <x:v>NOT_RUN</x:v>
      </x:c>
      <x:c r="J45" s="29" t="str">
        <x:v>NOT_RUN</x:v>
      </x:c>
      <x:c r="K45" s="29" t="str">
        <x:v>NOT_RUN</x:v>
      </x:c>
      <x:c r="L45" s="29" t="str"/>
      <x:c r="M45" s="29" t="str"/>
      <x:c r="N45" s="29" t="str"/>
      <x:c r="O45" s="29" t="str">
        <x:f>IF(COUNTIF(F45:K45,"NOT_RUN")=6,"NOT_RUN",IF(AND(COUNTIF(F45:K45,"PASS")=6,L45&lt;&gt;"",M45&lt;&gt;"",N45&lt;&gt;""),"PASS","HOLD"))</x:f>
        <x:v>NOT_RUN</x:v>
      </x:c>
    </x:row>
    <x:row r="46">
      <x:c r="A46" s="29" t="str">
        <x:v>DIO-EVT-007</x:v>
      </x:c>
      <x:c r="B46" s="29" t="str">
        <x:v>LOT-1</x:v>
      </x:c>
      <x:c r="C46" s="29" t="str">
        <x:v>H-BAT-PWR</x:v>
      </x:c>
      <x:c r="D46" s="29" t="n">
        <x:v>330</x:v>
      </x:c>
      <x:c r="E46" s="29" t="n">
        <x:v>5</x:v>
      </x:c>
      <x:c r="F46" s="29" t="str">
        <x:v>NOT_RUN</x:v>
      </x:c>
      <x:c r="G46" s="29" t="str">
        <x:v>NOT_RUN</x:v>
      </x:c>
      <x:c r="H46" s="29" t="str">
        <x:v>NOT_RUN</x:v>
      </x:c>
      <x:c r="I46" s="29" t="str">
        <x:v>NOT_RUN</x:v>
      </x:c>
      <x:c r="J46" s="29" t="str">
        <x:v>NOT_RUN</x:v>
      </x:c>
      <x:c r="K46" s="29" t="str">
        <x:v>NOT_RUN</x:v>
      </x:c>
      <x:c r="L46" s="29" t="str"/>
      <x:c r="M46" s="29" t="str"/>
      <x:c r="N46" s="29" t="str"/>
      <x:c r="O46" s="29" t="str">
        <x:f>IF(COUNTIF(F46:K46,"NOT_RUN")=6,"NOT_RUN",IF(AND(COUNTIF(F46:K46,"PASS")=6,L46&lt;&gt;"",M46&lt;&gt;"",N46&lt;&gt;""),"PASS","HOLD"))</x:f>
        <x:v>NOT_RUN</x:v>
      </x:c>
    </x:row>
    <x:row r="47">
      <x:c r="A47" s="29" t="str">
        <x:v>DIO-EVT-008</x:v>
      </x:c>
      <x:c r="B47" s="29" t="str">
        <x:v>LOT-1</x:v>
      </x:c>
      <x:c r="C47" s="29" t="str">
        <x:v>H-MIC1</x:v>
      </x:c>
      <x:c r="D47" s="29" t="n">
        <x:v>275</x:v>
      </x:c>
      <x:c r="E47" s="29" t="n">
        <x:v>5</x:v>
      </x:c>
      <x:c r="F47" s="29" t="str">
        <x:v>NOT_RUN</x:v>
      </x:c>
      <x:c r="G47" s="29" t="str">
        <x:v>NOT_RUN</x:v>
      </x:c>
      <x:c r="H47" s="29" t="str">
        <x:v>NOT_RUN</x:v>
      </x:c>
      <x:c r="I47" s="29" t="str">
        <x:v>NOT_RUN</x:v>
      </x:c>
      <x:c r="J47" s="29" t="str">
        <x:v>NOT_RUN</x:v>
      </x:c>
      <x:c r="K47" s="29" t="str">
        <x:v>NOT_RUN</x:v>
      </x:c>
      <x:c r="L47" s="29" t="str"/>
      <x:c r="M47" s="29" t="str"/>
      <x:c r="N47" s="29" t="str"/>
      <x:c r="O47" s="29" t="str">
        <x:f>IF(COUNTIF(F47:K47,"NOT_RUN")=6,"NOT_RUN",IF(AND(COUNTIF(F47:K47,"PASS")=6,L47&lt;&gt;"",M47&lt;&gt;"",N47&lt;&gt;""),"PASS","HOLD"))</x:f>
        <x:v>NOT_RUN</x:v>
      </x:c>
    </x:row>
    <x:row r="48">
      <x:c r="A48" s="29" t="str">
        <x:v>DIO-EVT-008</x:v>
      </x:c>
      <x:c r="B48" s="29" t="str">
        <x:v>LOT-1</x:v>
      </x:c>
      <x:c r="C48" s="29" t="str">
        <x:v>H-MIC2</x:v>
      </x:c>
      <x:c r="D48" s="29" t="n">
        <x:v>275</x:v>
      </x:c>
      <x:c r="E48" s="29" t="n">
        <x:v>5</x:v>
      </x:c>
      <x:c r="F48" s="29" t="str">
        <x:v>NOT_RUN</x:v>
      </x:c>
      <x:c r="G48" s="29" t="str">
        <x:v>NOT_RUN</x:v>
      </x:c>
      <x:c r="H48" s="29" t="str">
        <x:v>NOT_RUN</x:v>
      </x:c>
      <x:c r="I48" s="29" t="str">
        <x:v>NOT_RUN</x:v>
      </x:c>
      <x:c r="J48" s="29" t="str">
        <x:v>NOT_RUN</x:v>
      </x:c>
      <x:c r="K48" s="29" t="str">
        <x:v>NOT_RUN</x:v>
      </x:c>
      <x:c r="L48" s="29" t="str"/>
      <x:c r="M48" s="29" t="str"/>
      <x:c r="N48" s="29" t="str"/>
      <x:c r="O48" s="29" t="str">
        <x:f>IF(COUNTIF(F48:K48,"NOT_RUN")=6,"NOT_RUN",IF(AND(COUNTIF(F48:K48,"PASS")=6,L48&lt;&gt;"",M48&lt;&gt;"",N48&lt;&gt;""),"PASS","HOLD"))</x:f>
        <x:v>NOT_RUN</x:v>
      </x:c>
    </x:row>
    <x:row r="49">
      <x:c r="A49" s="29" t="str">
        <x:v>DIO-EVT-008</x:v>
      </x:c>
      <x:c r="B49" s="29" t="str">
        <x:v>LOT-1</x:v>
      </x:c>
      <x:c r="C49" s="29" t="str">
        <x:v>H-MIC3</x:v>
      </x:c>
      <x:c r="D49" s="29" t="n">
        <x:v>275</x:v>
      </x:c>
      <x:c r="E49" s="29" t="n">
        <x:v>5</x:v>
      </x:c>
      <x:c r="F49" s="29" t="str">
        <x:v>NOT_RUN</x:v>
      </x:c>
      <x:c r="G49" s="29" t="str">
        <x:v>NOT_RUN</x:v>
      </x:c>
      <x:c r="H49" s="29" t="str">
        <x:v>NOT_RUN</x:v>
      </x:c>
      <x:c r="I49" s="29" t="str">
        <x:v>NOT_RUN</x:v>
      </x:c>
      <x:c r="J49" s="29" t="str">
        <x:v>NOT_RUN</x:v>
      </x:c>
      <x:c r="K49" s="29" t="str">
        <x:v>NOT_RUN</x:v>
      </x:c>
      <x:c r="L49" s="29" t="str"/>
      <x:c r="M49" s="29" t="str"/>
      <x:c r="N49" s="29" t="str"/>
      <x:c r="O49" s="29" t="str">
        <x:f>IF(COUNTIF(F49:K49,"NOT_RUN")=6,"NOT_RUN",IF(AND(COUNTIF(F49:K49,"PASS")=6,L49&lt;&gt;"",M49&lt;&gt;"",N49&lt;&gt;""),"PASS","HOLD"))</x:f>
        <x:v>NOT_RUN</x:v>
      </x:c>
    </x:row>
    <x:row r="50">
      <x:c r="A50" s="29" t="str">
        <x:v>DIO-EVT-008</x:v>
      </x:c>
      <x:c r="B50" s="29" t="str">
        <x:v>LOT-1</x:v>
      </x:c>
      <x:c r="C50" s="29" t="str">
        <x:v>H-MIC4</x:v>
      </x:c>
      <x:c r="D50" s="29" t="n">
        <x:v>275</x:v>
      </x:c>
      <x:c r="E50" s="29" t="n">
        <x:v>5</x:v>
      </x:c>
      <x:c r="F50" s="29" t="str">
        <x:v>NOT_RUN</x:v>
      </x:c>
      <x:c r="G50" s="29" t="str">
        <x:v>NOT_RUN</x:v>
      </x:c>
      <x:c r="H50" s="29" t="str">
        <x:v>NOT_RUN</x:v>
      </x:c>
      <x:c r="I50" s="29" t="str">
        <x:v>NOT_RUN</x:v>
      </x:c>
      <x:c r="J50" s="29" t="str">
        <x:v>NOT_RUN</x:v>
      </x:c>
      <x:c r="K50" s="29" t="str">
        <x:v>NOT_RUN</x:v>
      </x:c>
      <x:c r="L50" s="29" t="str"/>
      <x:c r="M50" s="29" t="str"/>
      <x:c r="N50" s="29" t="str"/>
      <x:c r="O50" s="29" t="str">
        <x:f>IF(COUNTIF(F50:K50,"NOT_RUN")=6,"NOT_RUN",IF(AND(COUNTIF(F50:K50,"PASS")=6,L50&lt;&gt;"",M50&lt;&gt;"",N50&lt;&gt;""),"PASS","HOLD"))</x:f>
        <x:v>NOT_RUN</x:v>
      </x:c>
    </x:row>
    <x:row r="51">
      <x:c r="A51" s="29" t="str">
        <x:v>DIO-EVT-008</x:v>
      </x:c>
      <x:c r="B51" s="29" t="str">
        <x:v>LOT-1</x:v>
      </x:c>
      <x:c r="C51" s="29" t="str">
        <x:v>H-MAIN-PWR</x:v>
      </x:c>
      <x:c r="D51" s="29" t="n">
        <x:v>440</x:v>
      </x:c>
      <x:c r="E51" s="29" t="n">
        <x:v>5</x:v>
      </x:c>
      <x:c r="F51" s="29" t="str">
        <x:v>NOT_RUN</x:v>
      </x:c>
      <x:c r="G51" s="29" t="str">
        <x:v>NOT_RUN</x:v>
      </x:c>
      <x:c r="H51" s="29" t="str">
        <x:v>NOT_RUN</x:v>
      </x:c>
      <x:c r="I51" s="29" t="str">
        <x:v>NOT_RUN</x:v>
      </x:c>
      <x:c r="J51" s="29" t="str">
        <x:v>NOT_RUN</x:v>
      </x:c>
      <x:c r="K51" s="29" t="str">
        <x:v>NOT_RUN</x:v>
      </x:c>
      <x:c r="L51" s="29" t="str"/>
      <x:c r="M51" s="29" t="str"/>
      <x:c r="N51" s="29" t="str"/>
      <x:c r="O51" s="29" t="str">
        <x:f>IF(COUNTIF(F51:K51,"NOT_RUN")=6,"NOT_RUN",IF(AND(COUNTIF(F51:K51,"PASS")=6,L51&lt;&gt;"",M51&lt;&gt;"",N51&lt;&gt;""),"PASS","HOLD"))</x:f>
        <x:v>NOT_RUN</x:v>
      </x:c>
    </x:row>
    <x:row r="52">
      <x:c r="A52" s="29" t="str">
        <x:v>DIO-EVT-008</x:v>
      </x:c>
      <x:c r="B52" s="29" t="str">
        <x:v>LOT-1</x:v>
      </x:c>
      <x:c r="C52" s="29" t="str">
        <x:v>H-BAT-PWR</x:v>
      </x:c>
      <x:c r="D52" s="29" t="n">
        <x:v>330</x:v>
      </x:c>
      <x:c r="E52" s="29" t="n">
        <x:v>5</x:v>
      </x:c>
      <x:c r="F52" s="29" t="str">
        <x:v>NOT_RUN</x:v>
      </x:c>
      <x:c r="G52" s="29" t="str">
        <x:v>NOT_RUN</x:v>
      </x:c>
      <x:c r="H52" s="29" t="str">
        <x:v>NOT_RUN</x:v>
      </x:c>
      <x:c r="I52" s="29" t="str">
        <x:v>NOT_RUN</x:v>
      </x:c>
      <x:c r="J52" s="29" t="str">
        <x:v>NOT_RUN</x:v>
      </x:c>
      <x:c r="K52" s="29" t="str">
        <x:v>NOT_RUN</x:v>
      </x:c>
      <x:c r="L52" s="29" t="str"/>
      <x:c r="M52" s="29" t="str"/>
      <x:c r="N52" s="29" t="str"/>
      <x:c r="O52" s="29" t="str">
        <x:f>IF(COUNTIF(F52:K52,"NOT_RUN")=6,"NOT_RUN",IF(AND(COUNTIF(F52:K52,"PASS")=6,L52&lt;&gt;"",M52&lt;&gt;"",N52&lt;&gt;""),"PASS","HOLD"))</x:f>
        <x:v>NOT_RUN</x:v>
      </x:c>
    </x:row>
    <x:row r="53">
      <x:c r="A53" s="29" t="str">
        <x:v>DIO-EVT-009</x:v>
      </x:c>
      <x:c r="B53" s="29" t="str">
        <x:v>LOT-1</x:v>
      </x:c>
      <x:c r="C53" s="29" t="str">
        <x:v>H-MIC1</x:v>
      </x:c>
      <x:c r="D53" s="29" t="n">
        <x:v>275</x:v>
      </x:c>
      <x:c r="E53" s="29" t="n">
        <x:v>5</x:v>
      </x:c>
      <x:c r="F53" s="29" t="str">
        <x:v>NOT_RUN</x:v>
      </x:c>
      <x:c r="G53" s="29" t="str">
        <x:v>NOT_RUN</x:v>
      </x:c>
      <x:c r="H53" s="29" t="str">
        <x:v>NOT_RUN</x:v>
      </x:c>
      <x:c r="I53" s="29" t="str">
        <x:v>NOT_RUN</x:v>
      </x:c>
      <x:c r="J53" s="29" t="str">
        <x:v>NOT_RUN</x:v>
      </x:c>
      <x:c r="K53" s="29" t="str">
        <x:v>NOT_RUN</x:v>
      </x:c>
      <x:c r="L53" s="29" t="str"/>
      <x:c r="M53" s="29" t="str"/>
      <x:c r="N53" s="29" t="str"/>
      <x:c r="O53" s="29" t="str">
        <x:f>IF(COUNTIF(F53:K53,"NOT_RUN")=6,"NOT_RUN",IF(AND(COUNTIF(F53:K53,"PASS")=6,L53&lt;&gt;"",M53&lt;&gt;"",N53&lt;&gt;""),"PASS","HOLD"))</x:f>
        <x:v>NOT_RUN</x:v>
      </x:c>
    </x:row>
    <x:row r="54">
      <x:c r="A54" s="29" t="str">
        <x:v>DIO-EVT-009</x:v>
      </x:c>
      <x:c r="B54" s="29" t="str">
        <x:v>LOT-1</x:v>
      </x:c>
      <x:c r="C54" s="29" t="str">
        <x:v>H-MIC2</x:v>
      </x:c>
      <x:c r="D54" s="29" t="n">
        <x:v>275</x:v>
      </x:c>
      <x:c r="E54" s="29" t="n">
        <x:v>5</x:v>
      </x:c>
      <x:c r="F54" s="29" t="str">
        <x:v>NOT_RUN</x:v>
      </x:c>
      <x:c r="G54" s="29" t="str">
        <x:v>NOT_RUN</x:v>
      </x:c>
      <x:c r="H54" s="29" t="str">
        <x:v>NOT_RUN</x:v>
      </x:c>
      <x:c r="I54" s="29" t="str">
        <x:v>NOT_RUN</x:v>
      </x:c>
      <x:c r="J54" s="29" t="str">
        <x:v>NOT_RUN</x:v>
      </x:c>
      <x:c r="K54" s="29" t="str">
        <x:v>NOT_RUN</x:v>
      </x:c>
      <x:c r="L54" s="29" t="str"/>
      <x:c r="M54" s="29" t="str"/>
      <x:c r="N54" s="29" t="str"/>
      <x:c r="O54" s="29" t="str">
        <x:f>IF(COUNTIF(F54:K54,"NOT_RUN")=6,"NOT_RUN",IF(AND(COUNTIF(F54:K54,"PASS")=6,L54&lt;&gt;"",M54&lt;&gt;"",N54&lt;&gt;""),"PASS","HOLD"))</x:f>
        <x:v>NOT_RUN</x:v>
      </x:c>
    </x:row>
    <x:row r="55">
      <x:c r="A55" s="29" t="str">
        <x:v>DIO-EVT-009</x:v>
      </x:c>
      <x:c r="B55" s="29" t="str">
        <x:v>LOT-1</x:v>
      </x:c>
      <x:c r="C55" s="29" t="str">
        <x:v>H-MIC3</x:v>
      </x:c>
      <x:c r="D55" s="29" t="n">
        <x:v>275</x:v>
      </x:c>
      <x:c r="E55" s="29" t="n">
        <x:v>5</x:v>
      </x:c>
      <x:c r="F55" s="29" t="str">
        <x:v>NOT_RUN</x:v>
      </x:c>
      <x:c r="G55" s="29" t="str">
        <x:v>NOT_RUN</x:v>
      </x:c>
      <x:c r="H55" s="29" t="str">
        <x:v>NOT_RUN</x:v>
      </x:c>
      <x:c r="I55" s="29" t="str">
        <x:v>NOT_RUN</x:v>
      </x:c>
      <x:c r="J55" s="29" t="str">
        <x:v>NOT_RUN</x:v>
      </x:c>
      <x:c r="K55" s="29" t="str">
        <x:v>NOT_RUN</x:v>
      </x:c>
      <x:c r="L55" s="29" t="str"/>
      <x:c r="M55" s="29" t="str"/>
      <x:c r="N55" s="29" t="str"/>
      <x:c r="O55" s="29" t="str">
        <x:f>IF(COUNTIF(F55:K55,"NOT_RUN")=6,"NOT_RUN",IF(AND(COUNTIF(F55:K55,"PASS")=6,L55&lt;&gt;"",M55&lt;&gt;"",N55&lt;&gt;""),"PASS","HOLD"))</x:f>
        <x:v>NOT_RUN</x:v>
      </x:c>
    </x:row>
    <x:row r="56">
      <x:c r="A56" s="29" t="str">
        <x:v>DIO-EVT-009</x:v>
      </x:c>
      <x:c r="B56" s="29" t="str">
        <x:v>LOT-1</x:v>
      </x:c>
      <x:c r="C56" s="29" t="str">
        <x:v>H-MIC4</x:v>
      </x:c>
      <x:c r="D56" s="29" t="n">
        <x:v>275</x:v>
      </x:c>
      <x:c r="E56" s="29" t="n">
        <x:v>5</x:v>
      </x:c>
      <x:c r="F56" s="29" t="str">
        <x:v>NOT_RUN</x:v>
      </x:c>
      <x:c r="G56" s="29" t="str">
        <x:v>NOT_RUN</x:v>
      </x:c>
      <x:c r="H56" s="29" t="str">
        <x:v>NOT_RUN</x:v>
      </x:c>
      <x:c r="I56" s="29" t="str">
        <x:v>NOT_RUN</x:v>
      </x:c>
      <x:c r="J56" s="29" t="str">
        <x:v>NOT_RUN</x:v>
      </x:c>
      <x:c r="K56" s="29" t="str">
        <x:v>NOT_RUN</x:v>
      </x:c>
      <x:c r="L56" s="29" t="str"/>
      <x:c r="M56" s="29" t="str"/>
      <x:c r="N56" s="29" t="str"/>
      <x:c r="O56" s="29" t="str">
        <x:f>IF(COUNTIF(F56:K56,"NOT_RUN")=6,"NOT_RUN",IF(AND(COUNTIF(F56:K56,"PASS")=6,L56&lt;&gt;"",M56&lt;&gt;"",N56&lt;&gt;""),"PASS","HOLD"))</x:f>
        <x:v>NOT_RUN</x:v>
      </x:c>
    </x:row>
    <x:row r="57">
      <x:c r="A57" s="29" t="str">
        <x:v>DIO-EVT-009</x:v>
      </x:c>
      <x:c r="B57" s="29" t="str">
        <x:v>LOT-1</x:v>
      </x:c>
      <x:c r="C57" s="29" t="str">
        <x:v>H-MAIN-PWR</x:v>
      </x:c>
      <x:c r="D57" s="29" t="n">
        <x:v>440</x:v>
      </x:c>
      <x:c r="E57" s="29" t="n">
        <x:v>5</x:v>
      </x:c>
      <x:c r="F57" s="29" t="str">
        <x:v>NOT_RUN</x:v>
      </x:c>
      <x:c r="G57" s="29" t="str">
        <x:v>NOT_RUN</x:v>
      </x:c>
      <x:c r="H57" s="29" t="str">
        <x:v>NOT_RUN</x:v>
      </x:c>
      <x:c r="I57" s="29" t="str">
        <x:v>NOT_RUN</x:v>
      </x:c>
      <x:c r="J57" s="29" t="str">
        <x:v>NOT_RUN</x:v>
      </x:c>
      <x:c r="K57" s="29" t="str">
        <x:v>NOT_RUN</x:v>
      </x:c>
      <x:c r="L57" s="29" t="str"/>
      <x:c r="M57" s="29" t="str"/>
      <x:c r="N57" s="29" t="str"/>
      <x:c r="O57" s="29" t="str">
        <x:f>IF(COUNTIF(F57:K57,"NOT_RUN")=6,"NOT_RUN",IF(AND(COUNTIF(F57:K57,"PASS")=6,L57&lt;&gt;"",M57&lt;&gt;"",N57&lt;&gt;""),"PASS","HOLD"))</x:f>
        <x:v>NOT_RUN</x:v>
      </x:c>
    </x:row>
    <x:row r="58">
      <x:c r="A58" s="29" t="str">
        <x:v>DIO-EVT-009</x:v>
      </x:c>
      <x:c r="B58" s="29" t="str">
        <x:v>LOT-1</x:v>
      </x:c>
      <x:c r="C58" s="29" t="str">
        <x:v>H-BAT-PWR</x:v>
      </x:c>
      <x:c r="D58" s="29" t="n">
        <x:v>330</x:v>
      </x:c>
      <x:c r="E58" s="29" t="n">
        <x:v>5</x:v>
      </x:c>
      <x:c r="F58" s="29" t="str">
        <x:v>NOT_RUN</x:v>
      </x:c>
      <x:c r="G58" s="29" t="str">
        <x:v>NOT_RUN</x:v>
      </x:c>
      <x:c r="H58" s="29" t="str">
        <x:v>NOT_RUN</x:v>
      </x:c>
      <x:c r="I58" s="29" t="str">
        <x:v>NOT_RUN</x:v>
      </x:c>
      <x:c r="J58" s="29" t="str">
        <x:v>NOT_RUN</x:v>
      </x:c>
      <x:c r="K58" s="29" t="str">
        <x:v>NOT_RUN</x:v>
      </x:c>
      <x:c r="L58" s="29" t="str"/>
      <x:c r="M58" s="29" t="str"/>
      <x:c r="N58" s="29" t="str"/>
      <x:c r="O58" s="29" t="str">
        <x:f>IF(COUNTIF(F58:K58,"NOT_RUN")=6,"NOT_RUN",IF(AND(COUNTIF(F58:K58,"PASS")=6,L58&lt;&gt;"",M58&lt;&gt;"",N58&lt;&gt;""),"PASS","HOLD"))</x:f>
        <x:v>NOT_RUN</x:v>
      </x:c>
    </x:row>
    <x:row r="59">
      <x:c r="A59" s="29" t="str">
        <x:v>DIO-EVT-010</x:v>
      </x:c>
      <x:c r="B59" s="29" t="str">
        <x:v>LOT-1</x:v>
      </x:c>
      <x:c r="C59" s="29" t="str">
        <x:v>H-MIC1</x:v>
      </x:c>
      <x:c r="D59" s="29" t="n">
        <x:v>275</x:v>
      </x:c>
      <x:c r="E59" s="29" t="n">
        <x:v>5</x:v>
      </x:c>
      <x:c r="F59" s="29" t="str">
        <x:v>NOT_RUN</x:v>
      </x:c>
      <x:c r="G59" s="29" t="str">
        <x:v>NOT_RUN</x:v>
      </x:c>
      <x:c r="H59" s="29" t="str">
        <x:v>NOT_RUN</x:v>
      </x:c>
      <x:c r="I59" s="29" t="str">
        <x:v>NOT_RUN</x:v>
      </x:c>
      <x:c r="J59" s="29" t="str">
        <x:v>NOT_RUN</x:v>
      </x:c>
      <x:c r="K59" s="29" t="str">
        <x:v>NOT_RUN</x:v>
      </x:c>
      <x:c r="L59" s="29" t="str"/>
      <x:c r="M59" s="29" t="str"/>
      <x:c r="N59" s="29" t="str"/>
      <x:c r="O59" s="29" t="str">
        <x:f>IF(COUNTIF(F59:K59,"NOT_RUN")=6,"NOT_RUN",IF(AND(COUNTIF(F59:K59,"PASS")=6,L59&lt;&gt;"",M59&lt;&gt;"",N59&lt;&gt;""),"PASS","HOLD"))</x:f>
        <x:v>NOT_RUN</x:v>
      </x:c>
    </x:row>
    <x:row r="60">
      <x:c r="A60" s="29" t="str">
        <x:v>DIO-EVT-010</x:v>
      </x:c>
      <x:c r="B60" s="29" t="str">
        <x:v>LOT-1</x:v>
      </x:c>
      <x:c r="C60" s="29" t="str">
        <x:v>H-MIC2</x:v>
      </x:c>
      <x:c r="D60" s="29" t="n">
        <x:v>275</x:v>
      </x:c>
      <x:c r="E60" s="29" t="n">
        <x:v>5</x:v>
      </x:c>
      <x:c r="F60" s="29" t="str">
        <x:v>NOT_RUN</x:v>
      </x:c>
      <x:c r="G60" s="29" t="str">
        <x:v>NOT_RUN</x:v>
      </x:c>
      <x:c r="H60" s="29" t="str">
        <x:v>NOT_RUN</x:v>
      </x:c>
      <x:c r="I60" s="29" t="str">
        <x:v>NOT_RUN</x:v>
      </x:c>
      <x:c r="J60" s="29" t="str">
        <x:v>NOT_RUN</x:v>
      </x:c>
      <x:c r="K60" s="29" t="str">
        <x:v>NOT_RUN</x:v>
      </x:c>
      <x:c r="L60" s="29" t="str"/>
      <x:c r="M60" s="29" t="str"/>
      <x:c r="N60" s="29" t="str"/>
      <x:c r="O60" s="29" t="str">
        <x:f>IF(COUNTIF(F60:K60,"NOT_RUN")=6,"NOT_RUN",IF(AND(COUNTIF(F60:K60,"PASS")=6,L60&lt;&gt;"",M60&lt;&gt;"",N60&lt;&gt;""),"PASS","HOLD"))</x:f>
        <x:v>NOT_RUN</x:v>
      </x:c>
    </x:row>
    <x:row r="61">
      <x:c r="A61" s="29" t="str">
        <x:v>DIO-EVT-010</x:v>
      </x:c>
      <x:c r="B61" s="29" t="str">
        <x:v>LOT-1</x:v>
      </x:c>
      <x:c r="C61" s="29" t="str">
        <x:v>H-MIC3</x:v>
      </x:c>
      <x:c r="D61" s="29" t="n">
        <x:v>275</x:v>
      </x:c>
      <x:c r="E61" s="29" t="n">
        <x:v>5</x:v>
      </x:c>
      <x:c r="F61" s="29" t="str">
        <x:v>NOT_RUN</x:v>
      </x:c>
      <x:c r="G61" s="29" t="str">
        <x:v>NOT_RUN</x:v>
      </x:c>
      <x:c r="H61" s="29" t="str">
        <x:v>NOT_RUN</x:v>
      </x:c>
      <x:c r="I61" s="29" t="str">
        <x:v>NOT_RUN</x:v>
      </x:c>
      <x:c r="J61" s="29" t="str">
        <x:v>NOT_RUN</x:v>
      </x:c>
      <x:c r="K61" s="29" t="str">
        <x:v>NOT_RUN</x:v>
      </x:c>
      <x:c r="L61" s="29" t="str"/>
      <x:c r="M61" s="29" t="str"/>
      <x:c r="N61" s="29" t="str"/>
      <x:c r="O61" s="29" t="str">
        <x:f>IF(COUNTIF(F61:K61,"NOT_RUN")=6,"NOT_RUN",IF(AND(COUNTIF(F61:K61,"PASS")=6,L61&lt;&gt;"",M61&lt;&gt;"",N61&lt;&gt;""),"PASS","HOLD"))</x:f>
        <x:v>NOT_RUN</x:v>
      </x:c>
    </x:row>
    <x:row r="62">
      <x:c r="A62" s="29" t="str">
        <x:v>DIO-EVT-010</x:v>
      </x:c>
      <x:c r="B62" s="29" t="str">
        <x:v>LOT-1</x:v>
      </x:c>
      <x:c r="C62" s="29" t="str">
        <x:v>H-MIC4</x:v>
      </x:c>
      <x:c r="D62" s="29" t="n">
        <x:v>275</x:v>
      </x:c>
      <x:c r="E62" s="29" t="n">
        <x:v>5</x:v>
      </x:c>
      <x:c r="F62" s="29" t="str">
        <x:v>NOT_RUN</x:v>
      </x:c>
      <x:c r="G62" s="29" t="str">
        <x:v>NOT_RUN</x:v>
      </x:c>
      <x:c r="H62" s="29" t="str">
        <x:v>NOT_RUN</x:v>
      </x:c>
      <x:c r="I62" s="29" t="str">
        <x:v>NOT_RUN</x:v>
      </x:c>
      <x:c r="J62" s="29" t="str">
        <x:v>NOT_RUN</x:v>
      </x:c>
      <x:c r="K62" s="29" t="str">
        <x:v>NOT_RUN</x:v>
      </x:c>
      <x:c r="L62" s="29" t="str"/>
      <x:c r="M62" s="29" t="str"/>
      <x:c r="N62" s="29" t="str"/>
      <x:c r="O62" s="29" t="str">
        <x:f>IF(COUNTIF(F62:K62,"NOT_RUN")=6,"NOT_RUN",IF(AND(COUNTIF(F62:K62,"PASS")=6,L62&lt;&gt;"",M62&lt;&gt;"",N62&lt;&gt;""),"PASS","HOLD"))</x:f>
        <x:v>NOT_RUN</x:v>
      </x:c>
    </x:row>
    <x:row r="63">
      <x:c r="A63" s="29" t="str">
        <x:v>DIO-EVT-010</x:v>
      </x:c>
      <x:c r="B63" s="29" t="str">
        <x:v>LOT-1</x:v>
      </x:c>
      <x:c r="C63" s="29" t="str">
        <x:v>H-MAIN-PWR</x:v>
      </x:c>
      <x:c r="D63" s="29" t="n">
        <x:v>440</x:v>
      </x:c>
      <x:c r="E63" s="29" t="n">
        <x:v>5</x:v>
      </x:c>
      <x:c r="F63" s="29" t="str">
        <x:v>NOT_RUN</x:v>
      </x:c>
      <x:c r="G63" s="29" t="str">
        <x:v>NOT_RUN</x:v>
      </x:c>
      <x:c r="H63" s="29" t="str">
        <x:v>NOT_RUN</x:v>
      </x:c>
      <x:c r="I63" s="29" t="str">
        <x:v>NOT_RUN</x:v>
      </x:c>
      <x:c r="J63" s="29" t="str">
        <x:v>NOT_RUN</x:v>
      </x:c>
      <x:c r="K63" s="29" t="str">
        <x:v>NOT_RUN</x:v>
      </x:c>
      <x:c r="L63" s="29" t="str"/>
      <x:c r="M63" s="29" t="str"/>
      <x:c r="N63" s="29" t="str"/>
      <x:c r="O63" s="29" t="str">
        <x:f>IF(COUNTIF(F63:K63,"NOT_RUN")=6,"NOT_RUN",IF(AND(COUNTIF(F63:K63,"PASS")=6,L63&lt;&gt;"",M63&lt;&gt;"",N63&lt;&gt;""),"PASS","HOLD"))</x:f>
        <x:v>NOT_RUN</x:v>
      </x:c>
    </x:row>
    <x:row r="64">
      <x:c r="A64" s="29" t="str">
        <x:v>DIO-EVT-010</x:v>
      </x:c>
      <x:c r="B64" s="29" t="str">
        <x:v>LOT-1</x:v>
      </x:c>
      <x:c r="C64" s="29" t="str">
        <x:v>H-BAT-PWR</x:v>
      </x:c>
      <x:c r="D64" s="29" t="n">
        <x:v>330</x:v>
      </x:c>
      <x:c r="E64" s="29" t="n">
        <x:v>5</x:v>
      </x:c>
      <x:c r="F64" s="29" t="str">
        <x:v>NOT_RUN</x:v>
      </x:c>
      <x:c r="G64" s="29" t="str">
        <x:v>NOT_RUN</x:v>
      </x:c>
      <x:c r="H64" s="29" t="str">
        <x:v>NOT_RUN</x:v>
      </x:c>
      <x:c r="I64" s="29" t="str">
        <x:v>NOT_RUN</x:v>
      </x:c>
      <x:c r="J64" s="29" t="str">
        <x:v>NOT_RUN</x:v>
      </x:c>
      <x:c r="K64" s="29" t="str">
        <x:v>NOT_RUN</x:v>
      </x:c>
      <x:c r="L64" s="29" t="str"/>
      <x:c r="M64" s="29" t="str"/>
      <x:c r="N64" s="29" t="str"/>
      <x:c r="O64" s="29" t="str">
        <x:f>IF(COUNTIF(F64:K64,"NOT_RUN")=6,"NOT_RUN",IF(AND(COUNTIF(F64:K64,"PASS")=6,L64&lt;&gt;"",M64&lt;&gt;"",N64&lt;&gt;""),"PASS","HOLD"))</x:f>
        <x:v>NOT_RUN</x:v>
      </x:c>
    </x:row>
    <x:row r="65">
      <x:c r="A65" s="29" t="str">
        <x:v>DIO-EVT-011</x:v>
      </x:c>
      <x:c r="B65" s="29" t="str">
        <x:v>LOT-1</x:v>
      </x:c>
      <x:c r="C65" s="29" t="str">
        <x:v>H-MIC1</x:v>
      </x:c>
      <x:c r="D65" s="29" t="n">
        <x:v>275</x:v>
      </x:c>
      <x:c r="E65" s="29" t="n">
        <x:v>5</x:v>
      </x:c>
      <x:c r="F65" s="29" t="str">
        <x:v>NOT_RUN</x:v>
      </x:c>
      <x:c r="G65" s="29" t="str">
        <x:v>NOT_RUN</x:v>
      </x:c>
      <x:c r="H65" s="29" t="str">
        <x:v>NOT_RUN</x:v>
      </x:c>
      <x:c r="I65" s="29" t="str">
        <x:v>NOT_RUN</x:v>
      </x:c>
      <x:c r="J65" s="29" t="str">
        <x:v>NOT_RUN</x:v>
      </x:c>
      <x:c r="K65" s="29" t="str">
        <x:v>NOT_RUN</x:v>
      </x:c>
      <x:c r="L65" s="29" t="str"/>
      <x:c r="M65" s="29" t="str"/>
      <x:c r="N65" s="29" t="str"/>
      <x:c r="O65" s="29" t="str">
        <x:f>IF(COUNTIF(F65:K65,"NOT_RUN")=6,"NOT_RUN",IF(AND(COUNTIF(F65:K65,"PASS")=6,L65&lt;&gt;"",M65&lt;&gt;"",N65&lt;&gt;""),"PASS","HOLD"))</x:f>
        <x:v>NOT_RUN</x:v>
      </x:c>
    </x:row>
    <x:row r="66">
      <x:c r="A66" s="29" t="str">
        <x:v>DIO-EVT-011</x:v>
      </x:c>
      <x:c r="B66" s="29" t="str">
        <x:v>LOT-1</x:v>
      </x:c>
      <x:c r="C66" s="29" t="str">
        <x:v>H-MIC2</x:v>
      </x:c>
      <x:c r="D66" s="29" t="n">
        <x:v>275</x:v>
      </x:c>
      <x:c r="E66" s="29" t="n">
        <x:v>5</x:v>
      </x:c>
      <x:c r="F66" s="29" t="str">
        <x:v>NOT_RUN</x:v>
      </x:c>
      <x:c r="G66" s="29" t="str">
        <x:v>NOT_RUN</x:v>
      </x:c>
      <x:c r="H66" s="29" t="str">
        <x:v>NOT_RUN</x:v>
      </x:c>
      <x:c r="I66" s="29" t="str">
        <x:v>NOT_RUN</x:v>
      </x:c>
      <x:c r="J66" s="29" t="str">
        <x:v>NOT_RUN</x:v>
      </x:c>
      <x:c r="K66" s="29" t="str">
        <x:v>NOT_RUN</x:v>
      </x:c>
      <x:c r="L66" s="29" t="str"/>
      <x:c r="M66" s="29" t="str"/>
      <x:c r="N66" s="29" t="str"/>
      <x:c r="O66" s="29" t="str">
        <x:f>IF(COUNTIF(F66:K66,"NOT_RUN")=6,"NOT_RUN",IF(AND(COUNTIF(F66:K66,"PASS")=6,L66&lt;&gt;"",M66&lt;&gt;"",N66&lt;&gt;""),"PASS","HOLD"))</x:f>
        <x:v>NOT_RUN</x:v>
      </x:c>
    </x:row>
    <x:row r="67">
      <x:c r="A67" s="29" t="str">
        <x:v>DIO-EVT-011</x:v>
      </x:c>
      <x:c r="B67" s="29" t="str">
        <x:v>LOT-1</x:v>
      </x:c>
      <x:c r="C67" s="29" t="str">
        <x:v>H-MIC3</x:v>
      </x:c>
      <x:c r="D67" s="29" t="n">
        <x:v>275</x:v>
      </x:c>
      <x:c r="E67" s="29" t="n">
        <x:v>5</x:v>
      </x:c>
      <x:c r="F67" s="29" t="str">
        <x:v>NOT_RUN</x:v>
      </x:c>
      <x:c r="G67" s="29" t="str">
        <x:v>NOT_RUN</x:v>
      </x:c>
      <x:c r="H67" s="29" t="str">
        <x:v>NOT_RUN</x:v>
      </x:c>
      <x:c r="I67" s="29" t="str">
        <x:v>NOT_RUN</x:v>
      </x:c>
      <x:c r="J67" s="29" t="str">
        <x:v>NOT_RUN</x:v>
      </x:c>
      <x:c r="K67" s="29" t="str">
        <x:v>NOT_RUN</x:v>
      </x:c>
      <x:c r="L67" s="29" t="str"/>
      <x:c r="M67" s="29" t="str"/>
      <x:c r="N67" s="29" t="str"/>
      <x:c r="O67" s="29" t="str">
        <x:f>IF(COUNTIF(F67:K67,"NOT_RUN")=6,"NOT_RUN",IF(AND(COUNTIF(F67:K67,"PASS")=6,L67&lt;&gt;"",M67&lt;&gt;"",N67&lt;&gt;""),"PASS","HOLD"))</x:f>
        <x:v>NOT_RUN</x:v>
      </x:c>
    </x:row>
    <x:row r="68">
      <x:c r="A68" s="29" t="str">
        <x:v>DIO-EVT-011</x:v>
      </x:c>
      <x:c r="B68" s="29" t="str">
        <x:v>LOT-1</x:v>
      </x:c>
      <x:c r="C68" s="29" t="str">
        <x:v>H-MIC4</x:v>
      </x:c>
      <x:c r="D68" s="29" t="n">
        <x:v>275</x:v>
      </x:c>
      <x:c r="E68" s="29" t="n">
        <x:v>5</x:v>
      </x:c>
      <x:c r="F68" s="29" t="str">
        <x:v>NOT_RUN</x:v>
      </x:c>
      <x:c r="G68" s="29" t="str">
        <x:v>NOT_RUN</x:v>
      </x:c>
      <x:c r="H68" s="29" t="str">
        <x:v>NOT_RUN</x:v>
      </x:c>
      <x:c r="I68" s="29" t="str">
        <x:v>NOT_RUN</x:v>
      </x:c>
      <x:c r="J68" s="29" t="str">
        <x:v>NOT_RUN</x:v>
      </x:c>
      <x:c r="K68" s="29" t="str">
        <x:v>NOT_RUN</x:v>
      </x:c>
      <x:c r="L68" s="29" t="str"/>
      <x:c r="M68" s="29" t="str"/>
      <x:c r="N68" s="29" t="str"/>
      <x:c r="O68" s="29" t="str">
        <x:f>IF(COUNTIF(F68:K68,"NOT_RUN")=6,"NOT_RUN",IF(AND(COUNTIF(F68:K68,"PASS")=6,L68&lt;&gt;"",M68&lt;&gt;"",N68&lt;&gt;""),"PASS","HOLD"))</x:f>
        <x:v>NOT_RUN</x:v>
      </x:c>
    </x:row>
    <x:row r="69">
      <x:c r="A69" s="29" t="str">
        <x:v>DIO-EVT-011</x:v>
      </x:c>
      <x:c r="B69" s="29" t="str">
        <x:v>LOT-1</x:v>
      </x:c>
      <x:c r="C69" s="29" t="str">
        <x:v>H-MAIN-PWR</x:v>
      </x:c>
      <x:c r="D69" s="29" t="n">
        <x:v>440</x:v>
      </x:c>
      <x:c r="E69" s="29" t="n">
        <x:v>5</x:v>
      </x:c>
      <x:c r="F69" s="29" t="str">
        <x:v>NOT_RUN</x:v>
      </x:c>
      <x:c r="G69" s="29" t="str">
        <x:v>NOT_RUN</x:v>
      </x:c>
      <x:c r="H69" s="29" t="str">
        <x:v>NOT_RUN</x:v>
      </x:c>
      <x:c r="I69" s="29" t="str">
        <x:v>NOT_RUN</x:v>
      </x:c>
      <x:c r="J69" s="29" t="str">
        <x:v>NOT_RUN</x:v>
      </x:c>
      <x:c r="K69" s="29" t="str">
        <x:v>NOT_RUN</x:v>
      </x:c>
      <x:c r="L69" s="29" t="str"/>
      <x:c r="M69" s="29" t="str"/>
      <x:c r="N69" s="29" t="str"/>
      <x:c r="O69" s="29" t="str">
        <x:f>IF(COUNTIF(F69:K69,"NOT_RUN")=6,"NOT_RUN",IF(AND(COUNTIF(F69:K69,"PASS")=6,L69&lt;&gt;"",M69&lt;&gt;"",N69&lt;&gt;""),"PASS","HOLD"))</x:f>
        <x:v>NOT_RUN</x:v>
      </x:c>
    </x:row>
    <x:row r="70">
      <x:c r="A70" s="29" t="str">
        <x:v>DIO-EVT-011</x:v>
      </x:c>
      <x:c r="B70" s="29" t="str">
        <x:v>LOT-1</x:v>
      </x:c>
      <x:c r="C70" s="29" t="str">
        <x:v>H-BAT-PWR</x:v>
      </x:c>
      <x:c r="D70" s="29" t="n">
        <x:v>330</x:v>
      </x:c>
      <x:c r="E70" s="29" t="n">
        <x:v>5</x:v>
      </x:c>
      <x:c r="F70" s="29" t="str">
        <x:v>NOT_RUN</x:v>
      </x:c>
      <x:c r="G70" s="29" t="str">
        <x:v>NOT_RUN</x:v>
      </x:c>
      <x:c r="H70" s="29" t="str">
        <x:v>NOT_RUN</x:v>
      </x:c>
      <x:c r="I70" s="29" t="str">
        <x:v>NOT_RUN</x:v>
      </x:c>
      <x:c r="J70" s="29" t="str">
        <x:v>NOT_RUN</x:v>
      </x:c>
      <x:c r="K70" s="29" t="str">
        <x:v>NOT_RUN</x:v>
      </x:c>
      <x:c r="L70" s="29" t="str"/>
      <x:c r="M70" s="29" t="str"/>
      <x:c r="N70" s="29" t="str"/>
      <x:c r="O70" s="29" t="str">
        <x:f>IF(COUNTIF(F70:K70,"NOT_RUN")=6,"NOT_RUN",IF(AND(COUNTIF(F70:K70,"PASS")=6,L70&lt;&gt;"",M70&lt;&gt;"",N70&lt;&gt;""),"PASS","HOLD"))</x:f>
        <x:v>NOT_RUN</x:v>
      </x:c>
    </x:row>
    <x:row r="71">
      <x:c r="A71" s="29" t="str">
        <x:v>DIO-EVT-012</x:v>
      </x:c>
      <x:c r="B71" s="29" t="str">
        <x:v>LOT-1</x:v>
      </x:c>
      <x:c r="C71" s="29" t="str">
        <x:v>H-MIC1</x:v>
      </x:c>
      <x:c r="D71" s="29" t="n">
        <x:v>275</x:v>
      </x:c>
      <x:c r="E71" s="29" t="n">
        <x:v>5</x:v>
      </x:c>
      <x:c r="F71" s="29" t="str">
        <x:v>NOT_RUN</x:v>
      </x:c>
      <x:c r="G71" s="29" t="str">
        <x:v>NOT_RUN</x:v>
      </x:c>
      <x:c r="H71" s="29" t="str">
        <x:v>NOT_RUN</x:v>
      </x:c>
      <x:c r="I71" s="29" t="str">
        <x:v>NOT_RUN</x:v>
      </x:c>
      <x:c r="J71" s="29" t="str">
        <x:v>NOT_RUN</x:v>
      </x:c>
      <x:c r="K71" s="29" t="str">
        <x:v>NOT_RUN</x:v>
      </x:c>
      <x:c r="L71" s="29" t="str"/>
      <x:c r="M71" s="29" t="str"/>
      <x:c r="N71" s="29" t="str"/>
      <x:c r="O71" s="29" t="str">
        <x:f>IF(COUNTIF(F71:K71,"NOT_RUN")=6,"NOT_RUN",IF(AND(COUNTIF(F71:K71,"PASS")=6,L71&lt;&gt;"",M71&lt;&gt;"",N71&lt;&gt;""),"PASS","HOLD"))</x:f>
        <x:v>NOT_RUN</x:v>
      </x:c>
    </x:row>
    <x:row r="72">
      <x:c r="A72" s="29" t="str">
        <x:v>DIO-EVT-012</x:v>
      </x:c>
      <x:c r="B72" s="29" t="str">
        <x:v>LOT-1</x:v>
      </x:c>
      <x:c r="C72" s="29" t="str">
        <x:v>H-MIC2</x:v>
      </x:c>
      <x:c r="D72" s="29" t="n">
        <x:v>275</x:v>
      </x:c>
      <x:c r="E72" s="29" t="n">
        <x:v>5</x:v>
      </x:c>
      <x:c r="F72" s="29" t="str">
        <x:v>NOT_RUN</x:v>
      </x:c>
      <x:c r="G72" s="29" t="str">
        <x:v>NOT_RUN</x:v>
      </x:c>
      <x:c r="H72" s="29" t="str">
        <x:v>NOT_RUN</x:v>
      </x:c>
      <x:c r="I72" s="29" t="str">
        <x:v>NOT_RUN</x:v>
      </x:c>
      <x:c r="J72" s="29" t="str">
        <x:v>NOT_RUN</x:v>
      </x:c>
      <x:c r="K72" s="29" t="str">
        <x:v>NOT_RUN</x:v>
      </x:c>
      <x:c r="L72" s="29" t="str"/>
      <x:c r="M72" s="29" t="str"/>
      <x:c r="N72" s="29" t="str"/>
      <x:c r="O72" s="29" t="str">
        <x:f>IF(COUNTIF(F72:K72,"NOT_RUN")=6,"NOT_RUN",IF(AND(COUNTIF(F72:K72,"PASS")=6,L72&lt;&gt;"",M72&lt;&gt;"",N72&lt;&gt;""),"PASS","HOLD"))</x:f>
        <x:v>NOT_RUN</x:v>
      </x:c>
    </x:row>
    <x:row r="73">
      <x:c r="A73" s="29" t="str">
        <x:v>DIO-EVT-012</x:v>
      </x:c>
      <x:c r="B73" s="29" t="str">
        <x:v>LOT-1</x:v>
      </x:c>
      <x:c r="C73" s="29" t="str">
        <x:v>H-MIC3</x:v>
      </x:c>
      <x:c r="D73" s="29" t="n">
        <x:v>275</x:v>
      </x:c>
      <x:c r="E73" s="29" t="n">
        <x:v>5</x:v>
      </x:c>
      <x:c r="F73" s="29" t="str">
        <x:v>NOT_RUN</x:v>
      </x:c>
      <x:c r="G73" s="29" t="str">
        <x:v>NOT_RUN</x:v>
      </x:c>
      <x:c r="H73" s="29" t="str">
        <x:v>NOT_RUN</x:v>
      </x:c>
      <x:c r="I73" s="29" t="str">
        <x:v>NOT_RUN</x:v>
      </x:c>
      <x:c r="J73" s="29" t="str">
        <x:v>NOT_RUN</x:v>
      </x:c>
      <x:c r="K73" s="29" t="str">
        <x:v>NOT_RUN</x:v>
      </x:c>
      <x:c r="L73" s="29" t="str"/>
      <x:c r="M73" s="29" t="str"/>
      <x:c r="N73" s="29" t="str"/>
      <x:c r="O73" s="29" t="str">
        <x:f>IF(COUNTIF(F73:K73,"NOT_RUN")=6,"NOT_RUN",IF(AND(COUNTIF(F73:K73,"PASS")=6,L73&lt;&gt;"",M73&lt;&gt;"",N73&lt;&gt;""),"PASS","HOLD"))</x:f>
        <x:v>NOT_RUN</x:v>
      </x:c>
    </x:row>
    <x:row r="74">
      <x:c r="A74" s="29" t="str">
        <x:v>DIO-EVT-012</x:v>
      </x:c>
      <x:c r="B74" s="29" t="str">
        <x:v>LOT-1</x:v>
      </x:c>
      <x:c r="C74" s="29" t="str">
        <x:v>H-MIC4</x:v>
      </x:c>
      <x:c r="D74" s="29" t="n">
        <x:v>275</x:v>
      </x:c>
      <x:c r="E74" s="29" t="n">
        <x:v>5</x:v>
      </x:c>
      <x:c r="F74" s="29" t="str">
        <x:v>NOT_RUN</x:v>
      </x:c>
      <x:c r="G74" s="29" t="str">
        <x:v>NOT_RUN</x:v>
      </x:c>
      <x:c r="H74" s="29" t="str">
        <x:v>NOT_RUN</x:v>
      </x:c>
      <x:c r="I74" s="29" t="str">
        <x:v>NOT_RUN</x:v>
      </x:c>
      <x:c r="J74" s="29" t="str">
        <x:v>NOT_RUN</x:v>
      </x:c>
      <x:c r="K74" s="29" t="str">
        <x:v>NOT_RUN</x:v>
      </x:c>
      <x:c r="L74" s="29" t="str"/>
      <x:c r="M74" s="29" t="str"/>
      <x:c r="N74" s="29" t="str"/>
      <x:c r="O74" s="29" t="str">
        <x:f>IF(COUNTIF(F74:K74,"NOT_RUN")=6,"NOT_RUN",IF(AND(COUNTIF(F74:K74,"PASS")=6,L74&lt;&gt;"",M74&lt;&gt;"",N74&lt;&gt;""),"PASS","HOLD"))</x:f>
        <x:v>NOT_RUN</x:v>
      </x:c>
    </x:row>
    <x:row r="75">
      <x:c r="A75" s="29" t="str">
        <x:v>DIO-EVT-012</x:v>
      </x:c>
      <x:c r="B75" s="29" t="str">
        <x:v>LOT-1</x:v>
      </x:c>
      <x:c r="C75" s="29" t="str">
        <x:v>H-MAIN-PWR</x:v>
      </x:c>
      <x:c r="D75" s="29" t="n">
        <x:v>440</x:v>
      </x:c>
      <x:c r="E75" s="29" t="n">
        <x:v>5</x:v>
      </x:c>
      <x:c r="F75" s="29" t="str">
        <x:v>NOT_RUN</x:v>
      </x:c>
      <x:c r="G75" s="29" t="str">
        <x:v>NOT_RUN</x:v>
      </x:c>
      <x:c r="H75" s="29" t="str">
        <x:v>NOT_RUN</x:v>
      </x:c>
      <x:c r="I75" s="29" t="str">
        <x:v>NOT_RUN</x:v>
      </x:c>
      <x:c r="J75" s="29" t="str">
        <x:v>NOT_RUN</x:v>
      </x:c>
      <x:c r="K75" s="29" t="str">
        <x:v>NOT_RUN</x:v>
      </x:c>
      <x:c r="L75" s="29" t="str"/>
      <x:c r="M75" s="29" t="str"/>
      <x:c r="N75" s="29" t="str"/>
      <x:c r="O75" s="29" t="str">
        <x:f>IF(COUNTIF(F75:K75,"NOT_RUN")=6,"NOT_RUN",IF(AND(COUNTIF(F75:K75,"PASS")=6,L75&lt;&gt;"",M75&lt;&gt;"",N75&lt;&gt;""),"PASS","HOLD"))</x:f>
        <x:v>NOT_RUN</x:v>
      </x:c>
    </x:row>
    <x:row r="76">
      <x:c r="A76" s="29" t="str">
        <x:v>DIO-EVT-012</x:v>
      </x:c>
      <x:c r="B76" s="29" t="str">
        <x:v>LOT-1</x:v>
      </x:c>
      <x:c r="C76" s="29" t="str">
        <x:v>H-BAT-PWR</x:v>
      </x:c>
      <x:c r="D76" s="29" t="n">
        <x:v>330</x:v>
      </x:c>
      <x:c r="E76" s="29" t="n">
        <x:v>5</x:v>
      </x:c>
      <x:c r="F76" s="29" t="str">
        <x:v>NOT_RUN</x:v>
      </x:c>
      <x:c r="G76" s="29" t="str">
        <x:v>NOT_RUN</x:v>
      </x:c>
      <x:c r="H76" s="29" t="str">
        <x:v>NOT_RUN</x:v>
      </x:c>
      <x:c r="I76" s="29" t="str">
        <x:v>NOT_RUN</x:v>
      </x:c>
      <x:c r="J76" s="29" t="str">
        <x:v>NOT_RUN</x:v>
      </x:c>
      <x:c r="K76" s="29" t="str">
        <x:v>NOT_RUN</x:v>
      </x:c>
      <x:c r="L76" s="29" t="str"/>
      <x:c r="M76" s="29" t="str"/>
      <x:c r="N76" s="29" t="str"/>
      <x:c r="O76" s="29" t="str">
        <x:f>IF(COUNTIF(F76:K76,"NOT_RUN")=6,"NOT_RUN",IF(AND(COUNTIF(F76:K76,"PASS")=6,L76&lt;&gt;"",M76&lt;&gt;"",N76&lt;&gt;""),"PASS","HOLD"))</x:f>
        <x:v>NOT_RUN</x:v>
      </x:c>
    </x:row>
    <x:row r="77">
      <x:c r="A77" s="29" t="str">
        <x:v>DIO-EVT-013</x:v>
      </x:c>
      <x:c r="B77" s="29" t="str">
        <x:v>LOT-1</x:v>
      </x:c>
      <x:c r="C77" s="29" t="str">
        <x:v>H-MIC1</x:v>
      </x:c>
      <x:c r="D77" s="29" t="n">
        <x:v>275</x:v>
      </x:c>
      <x:c r="E77" s="29" t="n">
        <x:v>5</x:v>
      </x:c>
      <x:c r="F77" s="29" t="str">
        <x:v>NOT_RUN</x:v>
      </x:c>
      <x:c r="G77" s="29" t="str">
        <x:v>NOT_RUN</x:v>
      </x:c>
      <x:c r="H77" s="29" t="str">
        <x:v>NOT_RUN</x:v>
      </x:c>
      <x:c r="I77" s="29" t="str">
        <x:v>NOT_RUN</x:v>
      </x:c>
      <x:c r="J77" s="29" t="str">
        <x:v>NOT_RUN</x:v>
      </x:c>
      <x:c r="K77" s="29" t="str">
        <x:v>NOT_RUN</x:v>
      </x:c>
      <x:c r="L77" s="29" t="str"/>
      <x:c r="M77" s="29" t="str"/>
      <x:c r="N77" s="29" t="str"/>
      <x:c r="O77" s="29" t="str">
        <x:f>IF(COUNTIF(F77:K77,"NOT_RUN")=6,"NOT_RUN",IF(AND(COUNTIF(F77:K77,"PASS")=6,L77&lt;&gt;"",M77&lt;&gt;"",N77&lt;&gt;""),"PASS","HOLD"))</x:f>
        <x:v>NOT_RUN</x:v>
      </x:c>
    </x:row>
    <x:row r="78">
      <x:c r="A78" s="29" t="str">
        <x:v>DIO-EVT-013</x:v>
      </x:c>
      <x:c r="B78" s="29" t="str">
        <x:v>LOT-1</x:v>
      </x:c>
      <x:c r="C78" s="29" t="str">
        <x:v>H-MIC2</x:v>
      </x:c>
      <x:c r="D78" s="29" t="n">
        <x:v>275</x:v>
      </x:c>
      <x:c r="E78" s="29" t="n">
        <x:v>5</x:v>
      </x:c>
      <x:c r="F78" s="29" t="str">
        <x:v>NOT_RUN</x:v>
      </x:c>
      <x:c r="G78" s="29" t="str">
        <x:v>NOT_RUN</x:v>
      </x:c>
      <x:c r="H78" s="29" t="str">
        <x:v>NOT_RUN</x:v>
      </x:c>
      <x:c r="I78" s="29" t="str">
        <x:v>NOT_RUN</x:v>
      </x:c>
      <x:c r="J78" s="29" t="str">
        <x:v>NOT_RUN</x:v>
      </x:c>
      <x:c r="K78" s="29" t="str">
        <x:v>NOT_RUN</x:v>
      </x:c>
      <x:c r="L78" s="29" t="str"/>
      <x:c r="M78" s="29" t="str"/>
      <x:c r="N78" s="29" t="str"/>
      <x:c r="O78" s="29" t="str">
        <x:f>IF(COUNTIF(F78:K78,"NOT_RUN")=6,"NOT_RUN",IF(AND(COUNTIF(F78:K78,"PASS")=6,L78&lt;&gt;"",M78&lt;&gt;"",N78&lt;&gt;""),"PASS","HOLD"))</x:f>
        <x:v>NOT_RUN</x:v>
      </x:c>
    </x:row>
    <x:row r="79">
      <x:c r="A79" s="29" t="str">
        <x:v>DIO-EVT-013</x:v>
      </x:c>
      <x:c r="B79" s="29" t="str">
        <x:v>LOT-1</x:v>
      </x:c>
      <x:c r="C79" s="29" t="str">
        <x:v>H-MIC3</x:v>
      </x:c>
      <x:c r="D79" s="29" t="n">
        <x:v>275</x:v>
      </x:c>
      <x:c r="E79" s="29" t="n">
        <x:v>5</x:v>
      </x:c>
      <x:c r="F79" s="29" t="str">
        <x:v>NOT_RUN</x:v>
      </x:c>
      <x:c r="G79" s="29" t="str">
        <x:v>NOT_RUN</x:v>
      </x:c>
      <x:c r="H79" s="29" t="str">
        <x:v>NOT_RUN</x:v>
      </x:c>
      <x:c r="I79" s="29" t="str">
        <x:v>NOT_RUN</x:v>
      </x:c>
      <x:c r="J79" s="29" t="str">
        <x:v>NOT_RUN</x:v>
      </x:c>
      <x:c r="K79" s="29" t="str">
        <x:v>NOT_RUN</x:v>
      </x:c>
      <x:c r="L79" s="29" t="str"/>
      <x:c r="M79" s="29" t="str"/>
      <x:c r="N79" s="29" t="str"/>
      <x:c r="O79" s="29" t="str">
        <x:f>IF(COUNTIF(F79:K79,"NOT_RUN")=6,"NOT_RUN",IF(AND(COUNTIF(F79:K79,"PASS")=6,L79&lt;&gt;"",M79&lt;&gt;"",N79&lt;&gt;""),"PASS","HOLD"))</x:f>
        <x:v>NOT_RUN</x:v>
      </x:c>
    </x:row>
    <x:row r="80">
      <x:c r="A80" s="29" t="str">
        <x:v>DIO-EVT-013</x:v>
      </x:c>
      <x:c r="B80" s="29" t="str">
        <x:v>LOT-1</x:v>
      </x:c>
      <x:c r="C80" s="29" t="str">
        <x:v>H-MIC4</x:v>
      </x:c>
      <x:c r="D80" s="29" t="n">
        <x:v>275</x:v>
      </x:c>
      <x:c r="E80" s="29" t="n">
        <x:v>5</x:v>
      </x:c>
      <x:c r="F80" s="29" t="str">
        <x:v>NOT_RUN</x:v>
      </x:c>
      <x:c r="G80" s="29" t="str">
        <x:v>NOT_RUN</x:v>
      </x:c>
      <x:c r="H80" s="29" t="str">
        <x:v>NOT_RUN</x:v>
      </x:c>
      <x:c r="I80" s="29" t="str">
        <x:v>NOT_RUN</x:v>
      </x:c>
      <x:c r="J80" s="29" t="str">
        <x:v>NOT_RUN</x:v>
      </x:c>
      <x:c r="K80" s="29" t="str">
        <x:v>NOT_RUN</x:v>
      </x:c>
      <x:c r="L80" s="29" t="str"/>
      <x:c r="M80" s="29" t="str"/>
      <x:c r="N80" s="29" t="str"/>
      <x:c r="O80" s="29" t="str">
        <x:f>IF(COUNTIF(F80:K80,"NOT_RUN")=6,"NOT_RUN",IF(AND(COUNTIF(F80:K80,"PASS")=6,L80&lt;&gt;"",M80&lt;&gt;"",N80&lt;&gt;""),"PASS","HOLD"))</x:f>
        <x:v>NOT_RUN</x:v>
      </x:c>
    </x:row>
    <x:row r="81">
      <x:c r="A81" s="29" t="str">
        <x:v>DIO-EVT-013</x:v>
      </x:c>
      <x:c r="B81" s="29" t="str">
        <x:v>LOT-1</x:v>
      </x:c>
      <x:c r="C81" s="29" t="str">
        <x:v>H-MAIN-PWR</x:v>
      </x:c>
      <x:c r="D81" s="29" t="n">
        <x:v>440</x:v>
      </x:c>
      <x:c r="E81" s="29" t="n">
        <x:v>5</x:v>
      </x:c>
      <x:c r="F81" s="29" t="str">
        <x:v>NOT_RUN</x:v>
      </x:c>
      <x:c r="G81" s="29" t="str">
        <x:v>NOT_RUN</x:v>
      </x:c>
      <x:c r="H81" s="29" t="str">
        <x:v>NOT_RUN</x:v>
      </x:c>
      <x:c r="I81" s="29" t="str">
        <x:v>NOT_RUN</x:v>
      </x:c>
      <x:c r="J81" s="29" t="str">
        <x:v>NOT_RUN</x:v>
      </x:c>
      <x:c r="K81" s="29" t="str">
        <x:v>NOT_RUN</x:v>
      </x:c>
      <x:c r="L81" s="29" t="str"/>
      <x:c r="M81" s="29" t="str"/>
      <x:c r="N81" s="29" t="str"/>
      <x:c r="O81" s="29" t="str">
        <x:f>IF(COUNTIF(F81:K81,"NOT_RUN")=6,"NOT_RUN",IF(AND(COUNTIF(F81:K81,"PASS")=6,L81&lt;&gt;"",M81&lt;&gt;"",N81&lt;&gt;""),"PASS","HOLD"))</x:f>
        <x:v>NOT_RUN</x:v>
      </x:c>
    </x:row>
    <x:row r="82">
      <x:c r="A82" s="29" t="str">
        <x:v>DIO-EVT-013</x:v>
      </x:c>
      <x:c r="B82" s="29" t="str">
        <x:v>LOT-1</x:v>
      </x:c>
      <x:c r="C82" s="29" t="str">
        <x:v>H-BAT-PWR</x:v>
      </x:c>
      <x:c r="D82" s="29" t="n">
        <x:v>330</x:v>
      </x:c>
      <x:c r="E82" s="29" t="n">
        <x:v>5</x:v>
      </x:c>
      <x:c r="F82" s="29" t="str">
        <x:v>NOT_RUN</x:v>
      </x:c>
      <x:c r="G82" s="29" t="str">
        <x:v>NOT_RUN</x:v>
      </x:c>
      <x:c r="H82" s="29" t="str">
        <x:v>NOT_RUN</x:v>
      </x:c>
      <x:c r="I82" s="29" t="str">
        <x:v>NOT_RUN</x:v>
      </x:c>
      <x:c r="J82" s="29" t="str">
        <x:v>NOT_RUN</x:v>
      </x:c>
      <x:c r="K82" s="29" t="str">
        <x:v>NOT_RUN</x:v>
      </x:c>
      <x:c r="L82" s="29" t="str"/>
      <x:c r="M82" s="29" t="str"/>
      <x:c r="N82" s="29" t="str"/>
      <x:c r="O82" s="29" t="str">
        <x:f>IF(COUNTIF(F82:K82,"NOT_RUN")=6,"NOT_RUN",IF(AND(COUNTIF(F82:K82,"PASS")=6,L82&lt;&gt;"",M82&lt;&gt;"",N82&lt;&gt;""),"PASS","HOLD"))</x:f>
        <x:v>NOT_RUN</x:v>
      </x:c>
    </x:row>
    <x:row r="83">
      <x:c r="A83" s="29" t="str">
        <x:v>DIO-EVT-014</x:v>
      </x:c>
      <x:c r="B83" s="29" t="str">
        <x:v>LOT-1</x:v>
      </x:c>
      <x:c r="C83" s="29" t="str">
        <x:v>H-MIC1</x:v>
      </x:c>
      <x:c r="D83" s="29" t="n">
        <x:v>275</x:v>
      </x:c>
      <x:c r="E83" s="29" t="n">
        <x:v>5</x:v>
      </x:c>
      <x:c r="F83" s="29" t="str">
        <x:v>NOT_RUN</x:v>
      </x:c>
      <x:c r="G83" s="29" t="str">
        <x:v>NOT_RUN</x:v>
      </x:c>
      <x:c r="H83" s="29" t="str">
        <x:v>NOT_RUN</x:v>
      </x:c>
      <x:c r="I83" s="29" t="str">
        <x:v>NOT_RUN</x:v>
      </x:c>
      <x:c r="J83" s="29" t="str">
        <x:v>NOT_RUN</x:v>
      </x:c>
      <x:c r="K83" s="29" t="str">
        <x:v>NOT_RUN</x:v>
      </x:c>
      <x:c r="L83" s="29" t="str"/>
      <x:c r="M83" s="29" t="str"/>
      <x:c r="N83" s="29" t="str"/>
      <x:c r="O83" s="29" t="str">
        <x:f>IF(COUNTIF(F83:K83,"NOT_RUN")=6,"NOT_RUN",IF(AND(COUNTIF(F83:K83,"PASS")=6,L83&lt;&gt;"",M83&lt;&gt;"",N83&lt;&gt;""),"PASS","HOLD"))</x:f>
        <x:v>NOT_RUN</x:v>
      </x:c>
    </x:row>
    <x:row r="84">
      <x:c r="A84" s="29" t="str">
        <x:v>DIO-EVT-014</x:v>
      </x:c>
      <x:c r="B84" s="29" t="str">
        <x:v>LOT-1</x:v>
      </x:c>
      <x:c r="C84" s="29" t="str">
        <x:v>H-MIC2</x:v>
      </x:c>
      <x:c r="D84" s="29" t="n">
        <x:v>275</x:v>
      </x:c>
      <x:c r="E84" s="29" t="n">
        <x:v>5</x:v>
      </x:c>
      <x:c r="F84" s="29" t="str">
        <x:v>NOT_RUN</x:v>
      </x:c>
      <x:c r="G84" s="29" t="str">
        <x:v>NOT_RUN</x:v>
      </x:c>
      <x:c r="H84" s="29" t="str">
        <x:v>NOT_RUN</x:v>
      </x:c>
      <x:c r="I84" s="29" t="str">
        <x:v>NOT_RUN</x:v>
      </x:c>
      <x:c r="J84" s="29" t="str">
        <x:v>NOT_RUN</x:v>
      </x:c>
      <x:c r="K84" s="29" t="str">
        <x:v>NOT_RUN</x:v>
      </x:c>
      <x:c r="L84" s="29" t="str"/>
      <x:c r="M84" s="29" t="str"/>
      <x:c r="N84" s="29" t="str"/>
      <x:c r="O84" s="29" t="str">
        <x:f>IF(COUNTIF(F84:K84,"NOT_RUN")=6,"NOT_RUN",IF(AND(COUNTIF(F84:K84,"PASS")=6,L84&lt;&gt;"",M84&lt;&gt;"",N84&lt;&gt;""),"PASS","HOLD"))</x:f>
        <x:v>NOT_RUN</x:v>
      </x:c>
    </x:row>
    <x:row r="85">
      <x:c r="A85" s="29" t="str">
        <x:v>DIO-EVT-014</x:v>
      </x:c>
      <x:c r="B85" s="29" t="str">
        <x:v>LOT-1</x:v>
      </x:c>
      <x:c r="C85" s="29" t="str">
        <x:v>H-MIC3</x:v>
      </x:c>
      <x:c r="D85" s="29" t="n">
        <x:v>275</x:v>
      </x:c>
      <x:c r="E85" s="29" t="n">
        <x:v>5</x:v>
      </x:c>
      <x:c r="F85" s="29" t="str">
        <x:v>NOT_RUN</x:v>
      </x:c>
      <x:c r="G85" s="29" t="str">
        <x:v>NOT_RUN</x:v>
      </x:c>
      <x:c r="H85" s="29" t="str">
        <x:v>NOT_RUN</x:v>
      </x:c>
      <x:c r="I85" s="29" t="str">
        <x:v>NOT_RUN</x:v>
      </x:c>
      <x:c r="J85" s="29" t="str">
        <x:v>NOT_RUN</x:v>
      </x:c>
      <x:c r="K85" s="29" t="str">
        <x:v>NOT_RUN</x:v>
      </x:c>
      <x:c r="L85" s="29" t="str"/>
      <x:c r="M85" s="29" t="str"/>
      <x:c r="N85" s="29" t="str"/>
      <x:c r="O85" s="29" t="str">
        <x:f>IF(COUNTIF(F85:K85,"NOT_RUN")=6,"NOT_RUN",IF(AND(COUNTIF(F85:K85,"PASS")=6,L85&lt;&gt;"",M85&lt;&gt;"",N85&lt;&gt;""),"PASS","HOLD"))</x:f>
        <x:v>NOT_RUN</x:v>
      </x:c>
    </x:row>
    <x:row r="86">
      <x:c r="A86" s="29" t="str">
        <x:v>DIO-EVT-014</x:v>
      </x:c>
      <x:c r="B86" s="29" t="str">
        <x:v>LOT-1</x:v>
      </x:c>
      <x:c r="C86" s="29" t="str">
        <x:v>H-MIC4</x:v>
      </x:c>
      <x:c r="D86" s="29" t="n">
        <x:v>275</x:v>
      </x:c>
      <x:c r="E86" s="29" t="n">
        <x:v>5</x:v>
      </x:c>
      <x:c r="F86" s="29" t="str">
        <x:v>NOT_RUN</x:v>
      </x:c>
      <x:c r="G86" s="29" t="str">
        <x:v>NOT_RUN</x:v>
      </x:c>
      <x:c r="H86" s="29" t="str">
        <x:v>NOT_RUN</x:v>
      </x:c>
      <x:c r="I86" s="29" t="str">
        <x:v>NOT_RUN</x:v>
      </x:c>
      <x:c r="J86" s="29" t="str">
        <x:v>NOT_RUN</x:v>
      </x:c>
      <x:c r="K86" s="29" t="str">
        <x:v>NOT_RUN</x:v>
      </x:c>
      <x:c r="L86" s="29" t="str"/>
      <x:c r="M86" s="29" t="str"/>
      <x:c r="N86" s="29" t="str"/>
      <x:c r="O86" s="29" t="str">
        <x:f>IF(COUNTIF(F86:K86,"NOT_RUN")=6,"NOT_RUN",IF(AND(COUNTIF(F86:K86,"PASS")=6,L86&lt;&gt;"",M86&lt;&gt;"",N86&lt;&gt;""),"PASS","HOLD"))</x:f>
        <x:v>NOT_RUN</x:v>
      </x:c>
    </x:row>
    <x:row r="87">
      <x:c r="A87" s="29" t="str">
        <x:v>DIO-EVT-014</x:v>
      </x:c>
      <x:c r="B87" s="29" t="str">
        <x:v>LOT-1</x:v>
      </x:c>
      <x:c r="C87" s="29" t="str">
        <x:v>H-MAIN-PWR</x:v>
      </x:c>
      <x:c r="D87" s="29" t="n">
        <x:v>440</x:v>
      </x:c>
      <x:c r="E87" s="29" t="n">
        <x:v>5</x:v>
      </x:c>
      <x:c r="F87" s="29" t="str">
        <x:v>NOT_RUN</x:v>
      </x:c>
      <x:c r="G87" s="29" t="str">
        <x:v>NOT_RUN</x:v>
      </x:c>
      <x:c r="H87" s="29" t="str">
        <x:v>NOT_RUN</x:v>
      </x:c>
      <x:c r="I87" s="29" t="str">
        <x:v>NOT_RUN</x:v>
      </x:c>
      <x:c r="J87" s="29" t="str">
        <x:v>NOT_RUN</x:v>
      </x:c>
      <x:c r="K87" s="29" t="str">
        <x:v>NOT_RUN</x:v>
      </x:c>
      <x:c r="L87" s="29" t="str"/>
      <x:c r="M87" s="29" t="str"/>
      <x:c r="N87" s="29" t="str"/>
      <x:c r="O87" s="29" t="str">
        <x:f>IF(COUNTIF(F87:K87,"NOT_RUN")=6,"NOT_RUN",IF(AND(COUNTIF(F87:K87,"PASS")=6,L87&lt;&gt;"",M87&lt;&gt;"",N87&lt;&gt;""),"PASS","HOLD"))</x:f>
        <x:v>NOT_RUN</x:v>
      </x:c>
    </x:row>
    <x:row r="88">
      <x:c r="A88" s="29" t="str">
        <x:v>DIO-EVT-014</x:v>
      </x:c>
      <x:c r="B88" s="29" t="str">
        <x:v>LOT-1</x:v>
      </x:c>
      <x:c r="C88" s="29" t="str">
        <x:v>H-BAT-PWR</x:v>
      </x:c>
      <x:c r="D88" s="29" t="n">
        <x:v>330</x:v>
      </x:c>
      <x:c r="E88" s="29" t="n">
        <x:v>5</x:v>
      </x:c>
      <x:c r="F88" s="29" t="str">
        <x:v>NOT_RUN</x:v>
      </x:c>
      <x:c r="G88" s="29" t="str">
        <x:v>NOT_RUN</x:v>
      </x:c>
      <x:c r="H88" s="29" t="str">
        <x:v>NOT_RUN</x:v>
      </x:c>
      <x:c r="I88" s="29" t="str">
        <x:v>NOT_RUN</x:v>
      </x:c>
      <x:c r="J88" s="29" t="str">
        <x:v>NOT_RUN</x:v>
      </x:c>
      <x:c r="K88" s="29" t="str">
        <x:v>NOT_RUN</x:v>
      </x:c>
      <x:c r="L88" s="29" t="str"/>
      <x:c r="M88" s="29" t="str"/>
      <x:c r="N88" s="29" t="str"/>
      <x:c r="O88" s="29" t="str">
        <x:f>IF(COUNTIF(F88:K88,"NOT_RUN")=6,"NOT_RUN",IF(AND(COUNTIF(F88:K88,"PASS")=6,L88&lt;&gt;"",M88&lt;&gt;"",N88&lt;&gt;""),"PASS","HOLD"))</x:f>
        <x:v>NOT_RUN</x:v>
      </x:c>
    </x:row>
    <x:row r="89">
      <x:c r="A89" s="29" t="str">
        <x:v>DIO-EVT-015</x:v>
      </x:c>
      <x:c r="B89" s="29" t="str">
        <x:v>LOT-1</x:v>
      </x:c>
      <x:c r="C89" s="29" t="str">
        <x:v>H-MIC1</x:v>
      </x:c>
      <x:c r="D89" s="29" t="n">
        <x:v>275</x:v>
      </x:c>
      <x:c r="E89" s="29" t="n">
        <x:v>5</x:v>
      </x:c>
      <x:c r="F89" s="29" t="str">
        <x:v>NOT_RUN</x:v>
      </x:c>
      <x:c r="G89" s="29" t="str">
        <x:v>NOT_RUN</x:v>
      </x:c>
      <x:c r="H89" s="29" t="str">
        <x:v>NOT_RUN</x:v>
      </x:c>
      <x:c r="I89" s="29" t="str">
        <x:v>NOT_RUN</x:v>
      </x:c>
      <x:c r="J89" s="29" t="str">
        <x:v>NOT_RUN</x:v>
      </x:c>
      <x:c r="K89" s="29" t="str">
        <x:v>NOT_RUN</x:v>
      </x:c>
      <x:c r="L89" s="29" t="str"/>
      <x:c r="M89" s="29" t="str"/>
      <x:c r="N89" s="29" t="str"/>
      <x:c r="O89" s="29" t="str">
        <x:f>IF(COUNTIF(F89:K89,"NOT_RUN")=6,"NOT_RUN",IF(AND(COUNTIF(F89:K89,"PASS")=6,L89&lt;&gt;"",M89&lt;&gt;"",N89&lt;&gt;""),"PASS","HOLD"))</x:f>
        <x:v>NOT_RUN</x:v>
      </x:c>
    </x:row>
    <x:row r="90">
      <x:c r="A90" s="29" t="str">
        <x:v>DIO-EVT-015</x:v>
      </x:c>
      <x:c r="B90" s="29" t="str">
        <x:v>LOT-1</x:v>
      </x:c>
      <x:c r="C90" s="29" t="str">
        <x:v>H-MIC2</x:v>
      </x:c>
      <x:c r="D90" s="29" t="n">
        <x:v>275</x:v>
      </x:c>
      <x:c r="E90" s="29" t="n">
        <x:v>5</x:v>
      </x:c>
      <x:c r="F90" s="29" t="str">
        <x:v>NOT_RUN</x:v>
      </x:c>
      <x:c r="G90" s="29" t="str">
        <x:v>NOT_RUN</x:v>
      </x:c>
      <x:c r="H90" s="29" t="str">
        <x:v>NOT_RUN</x:v>
      </x:c>
      <x:c r="I90" s="29" t="str">
        <x:v>NOT_RUN</x:v>
      </x:c>
      <x:c r="J90" s="29" t="str">
        <x:v>NOT_RUN</x:v>
      </x:c>
      <x:c r="K90" s="29" t="str">
        <x:v>NOT_RUN</x:v>
      </x:c>
      <x:c r="L90" s="29" t="str"/>
      <x:c r="M90" s="29" t="str"/>
      <x:c r="N90" s="29" t="str"/>
      <x:c r="O90" s="29" t="str">
        <x:f>IF(COUNTIF(F90:K90,"NOT_RUN")=6,"NOT_RUN",IF(AND(COUNTIF(F90:K90,"PASS")=6,L90&lt;&gt;"",M90&lt;&gt;"",N90&lt;&gt;""),"PASS","HOLD"))</x:f>
        <x:v>NOT_RUN</x:v>
      </x:c>
    </x:row>
    <x:row r="91">
      <x:c r="A91" s="29" t="str">
        <x:v>DIO-EVT-015</x:v>
      </x:c>
      <x:c r="B91" s="29" t="str">
        <x:v>LOT-1</x:v>
      </x:c>
      <x:c r="C91" s="29" t="str">
        <x:v>H-MIC3</x:v>
      </x:c>
      <x:c r="D91" s="29" t="n">
        <x:v>275</x:v>
      </x:c>
      <x:c r="E91" s="29" t="n">
        <x:v>5</x:v>
      </x:c>
      <x:c r="F91" s="29" t="str">
        <x:v>NOT_RUN</x:v>
      </x:c>
      <x:c r="G91" s="29" t="str">
        <x:v>NOT_RUN</x:v>
      </x:c>
      <x:c r="H91" s="29" t="str">
        <x:v>NOT_RUN</x:v>
      </x:c>
      <x:c r="I91" s="29" t="str">
        <x:v>NOT_RUN</x:v>
      </x:c>
      <x:c r="J91" s="29" t="str">
        <x:v>NOT_RUN</x:v>
      </x:c>
      <x:c r="K91" s="29" t="str">
        <x:v>NOT_RUN</x:v>
      </x:c>
      <x:c r="L91" s="29" t="str"/>
      <x:c r="M91" s="29" t="str"/>
      <x:c r="N91" s="29" t="str"/>
      <x:c r="O91" s="29" t="str">
        <x:f>IF(COUNTIF(F91:K91,"NOT_RUN")=6,"NOT_RUN",IF(AND(COUNTIF(F91:K91,"PASS")=6,L91&lt;&gt;"",M91&lt;&gt;"",N91&lt;&gt;""),"PASS","HOLD"))</x:f>
        <x:v>NOT_RUN</x:v>
      </x:c>
    </x:row>
    <x:row r="92">
      <x:c r="A92" s="29" t="str">
        <x:v>DIO-EVT-015</x:v>
      </x:c>
      <x:c r="B92" s="29" t="str">
        <x:v>LOT-1</x:v>
      </x:c>
      <x:c r="C92" s="29" t="str">
        <x:v>H-MIC4</x:v>
      </x:c>
      <x:c r="D92" s="29" t="n">
        <x:v>275</x:v>
      </x:c>
      <x:c r="E92" s="29" t="n">
        <x:v>5</x:v>
      </x:c>
      <x:c r="F92" s="29" t="str">
        <x:v>NOT_RUN</x:v>
      </x:c>
      <x:c r="G92" s="29" t="str">
        <x:v>NOT_RUN</x:v>
      </x:c>
      <x:c r="H92" s="29" t="str">
        <x:v>NOT_RUN</x:v>
      </x:c>
      <x:c r="I92" s="29" t="str">
        <x:v>NOT_RUN</x:v>
      </x:c>
      <x:c r="J92" s="29" t="str">
        <x:v>NOT_RUN</x:v>
      </x:c>
      <x:c r="K92" s="29" t="str">
        <x:v>NOT_RUN</x:v>
      </x:c>
      <x:c r="L92" s="29" t="str"/>
      <x:c r="M92" s="29" t="str"/>
      <x:c r="N92" s="29" t="str"/>
      <x:c r="O92" s="29" t="str">
        <x:f>IF(COUNTIF(F92:K92,"NOT_RUN")=6,"NOT_RUN",IF(AND(COUNTIF(F92:K92,"PASS")=6,L92&lt;&gt;"",M92&lt;&gt;"",N92&lt;&gt;""),"PASS","HOLD"))</x:f>
        <x:v>NOT_RUN</x:v>
      </x:c>
    </x:row>
    <x:row r="93">
      <x:c r="A93" s="29" t="str">
        <x:v>DIO-EVT-015</x:v>
      </x:c>
      <x:c r="B93" s="29" t="str">
        <x:v>LOT-1</x:v>
      </x:c>
      <x:c r="C93" s="29" t="str">
        <x:v>H-MAIN-PWR</x:v>
      </x:c>
      <x:c r="D93" s="29" t="n">
        <x:v>440</x:v>
      </x:c>
      <x:c r="E93" s="29" t="n">
        <x:v>5</x:v>
      </x:c>
      <x:c r="F93" s="29" t="str">
        <x:v>NOT_RUN</x:v>
      </x:c>
      <x:c r="G93" s="29" t="str">
        <x:v>NOT_RUN</x:v>
      </x:c>
      <x:c r="H93" s="29" t="str">
        <x:v>NOT_RUN</x:v>
      </x:c>
      <x:c r="I93" s="29" t="str">
        <x:v>NOT_RUN</x:v>
      </x:c>
      <x:c r="J93" s="29" t="str">
        <x:v>NOT_RUN</x:v>
      </x:c>
      <x:c r="K93" s="29" t="str">
        <x:v>NOT_RUN</x:v>
      </x:c>
      <x:c r="L93" s="29" t="str"/>
      <x:c r="M93" s="29" t="str"/>
      <x:c r="N93" s="29" t="str"/>
      <x:c r="O93" s="29" t="str">
        <x:f>IF(COUNTIF(F93:K93,"NOT_RUN")=6,"NOT_RUN",IF(AND(COUNTIF(F93:K93,"PASS")=6,L93&lt;&gt;"",M93&lt;&gt;"",N93&lt;&gt;""),"PASS","HOLD"))</x:f>
        <x:v>NOT_RUN</x:v>
      </x:c>
    </x:row>
    <x:row r="94">
      <x:c r="A94" s="29" t="str">
        <x:v>DIO-EVT-015</x:v>
      </x:c>
      <x:c r="B94" s="29" t="str">
        <x:v>LOT-1</x:v>
      </x:c>
      <x:c r="C94" s="29" t="str">
        <x:v>H-BAT-PWR</x:v>
      </x:c>
      <x:c r="D94" s="29" t="n">
        <x:v>330</x:v>
      </x:c>
      <x:c r="E94" s="29" t="n">
        <x:v>5</x:v>
      </x:c>
      <x:c r="F94" s="29" t="str">
        <x:v>NOT_RUN</x:v>
      </x:c>
      <x:c r="G94" s="29" t="str">
        <x:v>NOT_RUN</x:v>
      </x:c>
      <x:c r="H94" s="29" t="str">
        <x:v>NOT_RUN</x:v>
      </x:c>
      <x:c r="I94" s="29" t="str">
        <x:v>NOT_RUN</x:v>
      </x:c>
      <x:c r="J94" s="29" t="str">
        <x:v>NOT_RUN</x:v>
      </x:c>
      <x:c r="K94" s="29" t="str">
        <x:v>NOT_RUN</x:v>
      </x:c>
      <x:c r="L94" s="29" t="str"/>
      <x:c r="M94" s="29" t="str"/>
      <x:c r="N94" s="29" t="str"/>
      <x:c r="O94" s="29" t="str">
        <x:f>IF(COUNTIF(F94:K94,"NOT_RUN")=6,"NOT_RUN",IF(AND(COUNTIF(F94:K94,"PASS")=6,L94&lt;&gt;"",M94&lt;&gt;"",N94&lt;&gt;""),"PASS","HOLD"))</x:f>
        <x:v>NOT_RUN</x:v>
      </x:c>
    </x:row>
    <x:row r="95">
      <x:c r="A95" s="29" t="str">
        <x:v>DIO-EVT-016</x:v>
      </x:c>
      <x:c r="B95" s="29" t="str">
        <x:v>LOT-1</x:v>
      </x:c>
      <x:c r="C95" s="29" t="str">
        <x:v>H-MIC1</x:v>
      </x:c>
      <x:c r="D95" s="29" t="n">
        <x:v>275</x:v>
      </x:c>
      <x:c r="E95" s="29" t="n">
        <x:v>5</x:v>
      </x:c>
      <x:c r="F95" s="29" t="str">
        <x:v>NOT_RUN</x:v>
      </x:c>
      <x:c r="G95" s="29" t="str">
        <x:v>NOT_RUN</x:v>
      </x:c>
      <x:c r="H95" s="29" t="str">
        <x:v>NOT_RUN</x:v>
      </x:c>
      <x:c r="I95" s="29" t="str">
        <x:v>NOT_RUN</x:v>
      </x:c>
      <x:c r="J95" s="29" t="str">
        <x:v>NOT_RUN</x:v>
      </x:c>
      <x:c r="K95" s="29" t="str">
        <x:v>NOT_RUN</x:v>
      </x:c>
      <x:c r="L95" s="29" t="str"/>
      <x:c r="M95" s="29" t="str"/>
      <x:c r="N95" s="29" t="str"/>
      <x:c r="O95" s="29" t="str">
        <x:f>IF(COUNTIF(F95:K95,"NOT_RUN")=6,"NOT_RUN",IF(AND(COUNTIF(F95:K95,"PASS")=6,L95&lt;&gt;"",M95&lt;&gt;"",N95&lt;&gt;""),"PASS","HOLD"))</x:f>
        <x:v>NOT_RUN</x:v>
      </x:c>
    </x:row>
    <x:row r="96">
      <x:c r="A96" s="29" t="str">
        <x:v>DIO-EVT-016</x:v>
      </x:c>
      <x:c r="B96" s="29" t="str">
        <x:v>LOT-1</x:v>
      </x:c>
      <x:c r="C96" s="29" t="str">
        <x:v>H-MIC2</x:v>
      </x:c>
      <x:c r="D96" s="29" t="n">
        <x:v>275</x:v>
      </x:c>
      <x:c r="E96" s="29" t="n">
        <x:v>5</x:v>
      </x:c>
      <x:c r="F96" s="29" t="str">
        <x:v>NOT_RUN</x:v>
      </x:c>
      <x:c r="G96" s="29" t="str">
        <x:v>NOT_RUN</x:v>
      </x:c>
      <x:c r="H96" s="29" t="str">
        <x:v>NOT_RUN</x:v>
      </x:c>
      <x:c r="I96" s="29" t="str">
        <x:v>NOT_RUN</x:v>
      </x:c>
      <x:c r="J96" s="29" t="str">
        <x:v>NOT_RUN</x:v>
      </x:c>
      <x:c r="K96" s="29" t="str">
        <x:v>NOT_RUN</x:v>
      </x:c>
      <x:c r="L96" s="29" t="str"/>
      <x:c r="M96" s="29" t="str"/>
      <x:c r="N96" s="29" t="str"/>
      <x:c r="O96" s="29" t="str">
        <x:f>IF(COUNTIF(F96:K96,"NOT_RUN")=6,"NOT_RUN",IF(AND(COUNTIF(F96:K96,"PASS")=6,L96&lt;&gt;"",M96&lt;&gt;"",N96&lt;&gt;""),"PASS","HOLD"))</x:f>
        <x:v>NOT_RUN</x:v>
      </x:c>
    </x:row>
    <x:row r="97">
      <x:c r="A97" s="29" t="str">
        <x:v>DIO-EVT-016</x:v>
      </x:c>
      <x:c r="B97" s="29" t="str">
        <x:v>LOT-1</x:v>
      </x:c>
      <x:c r="C97" s="29" t="str">
        <x:v>H-MIC3</x:v>
      </x:c>
      <x:c r="D97" s="29" t="n">
        <x:v>275</x:v>
      </x:c>
      <x:c r="E97" s="29" t="n">
        <x:v>5</x:v>
      </x:c>
      <x:c r="F97" s="29" t="str">
        <x:v>NOT_RUN</x:v>
      </x:c>
      <x:c r="G97" s="29" t="str">
        <x:v>NOT_RUN</x:v>
      </x:c>
      <x:c r="H97" s="29" t="str">
        <x:v>NOT_RUN</x:v>
      </x:c>
      <x:c r="I97" s="29" t="str">
        <x:v>NOT_RUN</x:v>
      </x:c>
      <x:c r="J97" s="29" t="str">
        <x:v>NOT_RUN</x:v>
      </x:c>
      <x:c r="K97" s="29" t="str">
        <x:v>NOT_RUN</x:v>
      </x:c>
      <x:c r="L97" s="29" t="str"/>
      <x:c r="M97" s="29" t="str"/>
      <x:c r="N97" s="29" t="str"/>
      <x:c r="O97" s="29" t="str">
        <x:f>IF(COUNTIF(F97:K97,"NOT_RUN")=6,"NOT_RUN",IF(AND(COUNTIF(F97:K97,"PASS")=6,L97&lt;&gt;"",M97&lt;&gt;"",N97&lt;&gt;""),"PASS","HOLD"))</x:f>
        <x:v>NOT_RUN</x:v>
      </x:c>
    </x:row>
    <x:row r="98">
      <x:c r="A98" s="29" t="str">
        <x:v>DIO-EVT-016</x:v>
      </x:c>
      <x:c r="B98" s="29" t="str">
        <x:v>LOT-1</x:v>
      </x:c>
      <x:c r="C98" s="29" t="str">
        <x:v>H-MIC4</x:v>
      </x:c>
      <x:c r="D98" s="29" t="n">
        <x:v>275</x:v>
      </x:c>
      <x:c r="E98" s="29" t="n">
        <x:v>5</x:v>
      </x:c>
      <x:c r="F98" s="29" t="str">
        <x:v>NOT_RUN</x:v>
      </x:c>
      <x:c r="G98" s="29" t="str">
        <x:v>NOT_RUN</x:v>
      </x:c>
      <x:c r="H98" s="29" t="str">
        <x:v>NOT_RUN</x:v>
      </x:c>
      <x:c r="I98" s="29" t="str">
        <x:v>NOT_RUN</x:v>
      </x:c>
      <x:c r="J98" s="29" t="str">
        <x:v>NOT_RUN</x:v>
      </x:c>
      <x:c r="K98" s="29" t="str">
        <x:v>NOT_RUN</x:v>
      </x:c>
      <x:c r="L98" s="29" t="str"/>
      <x:c r="M98" s="29" t="str"/>
      <x:c r="N98" s="29" t="str"/>
      <x:c r="O98" s="29" t="str">
        <x:f>IF(COUNTIF(F98:K98,"NOT_RUN")=6,"NOT_RUN",IF(AND(COUNTIF(F98:K98,"PASS")=6,L98&lt;&gt;"",M98&lt;&gt;"",N98&lt;&gt;""),"PASS","HOLD"))</x:f>
        <x:v>NOT_RUN</x:v>
      </x:c>
    </x:row>
    <x:row r="99">
      <x:c r="A99" s="29" t="str">
        <x:v>DIO-EVT-016</x:v>
      </x:c>
      <x:c r="B99" s="29" t="str">
        <x:v>LOT-1</x:v>
      </x:c>
      <x:c r="C99" s="29" t="str">
        <x:v>H-MAIN-PWR</x:v>
      </x:c>
      <x:c r="D99" s="29" t="n">
        <x:v>440</x:v>
      </x:c>
      <x:c r="E99" s="29" t="n">
        <x:v>5</x:v>
      </x:c>
      <x:c r="F99" s="29" t="str">
        <x:v>NOT_RUN</x:v>
      </x:c>
      <x:c r="G99" s="29" t="str">
        <x:v>NOT_RUN</x:v>
      </x:c>
      <x:c r="H99" s="29" t="str">
        <x:v>NOT_RUN</x:v>
      </x:c>
      <x:c r="I99" s="29" t="str">
        <x:v>NOT_RUN</x:v>
      </x:c>
      <x:c r="J99" s="29" t="str">
        <x:v>NOT_RUN</x:v>
      </x:c>
      <x:c r="K99" s="29" t="str">
        <x:v>NOT_RUN</x:v>
      </x:c>
      <x:c r="L99" s="29" t="str"/>
      <x:c r="M99" s="29" t="str"/>
      <x:c r="N99" s="29" t="str"/>
      <x:c r="O99" s="29" t="str">
        <x:f>IF(COUNTIF(F99:K99,"NOT_RUN")=6,"NOT_RUN",IF(AND(COUNTIF(F99:K99,"PASS")=6,L99&lt;&gt;"",M99&lt;&gt;"",N99&lt;&gt;""),"PASS","HOLD"))</x:f>
        <x:v>NOT_RUN</x:v>
      </x:c>
    </x:row>
    <x:row r="100">
      <x:c r="A100" s="29" t="str">
        <x:v>DIO-EVT-016</x:v>
      </x:c>
      <x:c r="B100" s="29" t="str">
        <x:v>LOT-1</x:v>
      </x:c>
      <x:c r="C100" s="29" t="str">
        <x:v>H-BAT-PWR</x:v>
      </x:c>
      <x:c r="D100" s="29" t="n">
        <x:v>330</x:v>
      </x:c>
      <x:c r="E100" s="29" t="n">
        <x:v>5</x:v>
      </x:c>
      <x:c r="F100" s="29" t="str">
        <x:v>NOT_RUN</x:v>
      </x:c>
      <x:c r="G100" s="29" t="str">
        <x:v>NOT_RUN</x:v>
      </x:c>
      <x:c r="H100" s="29" t="str">
        <x:v>NOT_RUN</x:v>
      </x:c>
      <x:c r="I100" s="29" t="str">
        <x:v>NOT_RUN</x:v>
      </x:c>
      <x:c r="J100" s="29" t="str">
        <x:v>NOT_RUN</x:v>
      </x:c>
      <x:c r="K100" s="29" t="str">
        <x:v>NOT_RUN</x:v>
      </x:c>
      <x:c r="L100" s="29" t="str"/>
      <x:c r="M100" s="29" t="str"/>
      <x:c r="N100" s="29" t="str"/>
      <x:c r="O100" s="29" t="str">
        <x:f>IF(COUNTIF(F100:K100,"NOT_RUN")=6,"NOT_RUN",IF(AND(COUNTIF(F100:K100,"PASS")=6,L100&lt;&gt;"",M100&lt;&gt;"",N100&lt;&gt;""),"PASS","HOLD"))</x:f>
        <x:v>NOT_RUN</x:v>
      </x:c>
    </x:row>
    <x:row r="101">
      <x:c r="A101" s="29" t="str">
        <x:v>DIO-EVT-017</x:v>
      </x:c>
      <x:c r="B101" s="29" t="str">
        <x:v>LOT-1</x:v>
      </x:c>
      <x:c r="C101" s="29" t="str">
        <x:v>H-MIC1</x:v>
      </x:c>
      <x:c r="D101" s="29" t="n">
        <x:v>275</x:v>
      </x:c>
      <x:c r="E101" s="29" t="n">
        <x:v>5</x:v>
      </x:c>
      <x:c r="F101" s="29" t="str">
        <x:v>NOT_RUN</x:v>
      </x:c>
      <x:c r="G101" s="29" t="str">
        <x:v>NOT_RUN</x:v>
      </x:c>
      <x:c r="H101" s="29" t="str">
        <x:v>NOT_RUN</x:v>
      </x:c>
      <x:c r="I101" s="29" t="str">
        <x:v>NOT_RUN</x:v>
      </x:c>
      <x:c r="J101" s="29" t="str">
        <x:v>NOT_RUN</x:v>
      </x:c>
      <x:c r="K101" s="29" t="str">
        <x:v>NOT_RUN</x:v>
      </x:c>
      <x:c r="L101" s="29" t="str"/>
      <x:c r="M101" s="29" t="str"/>
      <x:c r="N101" s="29" t="str"/>
      <x:c r="O101" s="29" t="str">
        <x:f>IF(COUNTIF(F101:K101,"NOT_RUN")=6,"NOT_RUN",IF(AND(COUNTIF(F101:K101,"PASS")=6,L101&lt;&gt;"",M101&lt;&gt;"",N101&lt;&gt;""),"PASS","HOLD"))</x:f>
        <x:v>NOT_RUN</x:v>
      </x:c>
    </x:row>
    <x:row r="102">
      <x:c r="A102" s="29" t="str">
        <x:v>DIO-EVT-017</x:v>
      </x:c>
      <x:c r="B102" s="29" t="str">
        <x:v>LOT-1</x:v>
      </x:c>
      <x:c r="C102" s="29" t="str">
        <x:v>H-MIC2</x:v>
      </x:c>
      <x:c r="D102" s="29" t="n">
        <x:v>275</x:v>
      </x:c>
      <x:c r="E102" s="29" t="n">
        <x:v>5</x:v>
      </x:c>
      <x:c r="F102" s="29" t="str">
        <x:v>NOT_RUN</x:v>
      </x:c>
      <x:c r="G102" s="29" t="str">
        <x:v>NOT_RUN</x:v>
      </x:c>
      <x:c r="H102" s="29" t="str">
        <x:v>NOT_RUN</x:v>
      </x:c>
      <x:c r="I102" s="29" t="str">
        <x:v>NOT_RUN</x:v>
      </x:c>
      <x:c r="J102" s="29" t="str">
        <x:v>NOT_RUN</x:v>
      </x:c>
      <x:c r="K102" s="29" t="str">
        <x:v>NOT_RUN</x:v>
      </x:c>
      <x:c r="L102" s="29" t="str"/>
      <x:c r="M102" s="29" t="str"/>
      <x:c r="N102" s="29" t="str"/>
      <x:c r="O102" s="29" t="str">
        <x:f>IF(COUNTIF(F102:K102,"NOT_RUN")=6,"NOT_RUN",IF(AND(COUNTIF(F102:K102,"PASS")=6,L102&lt;&gt;"",M102&lt;&gt;"",N102&lt;&gt;""),"PASS","HOLD"))</x:f>
        <x:v>NOT_RUN</x:v>
      </x:c>
    </x:row>
    <x:row r="103">
      <x:c r="A103" s="29" t="str">
        <x:v>DIO-EVT-017</x:v>
      </x:c>
      <x:c r="B103" s="29" t="str">
        <x:v>LOT-1</x:v>
      </x:c>
      <x:c r="C103" s="29" t="str">
        <x:v>H-MIC3</x:v>
      </x:c>
      <x:c r="D103" s="29" t="n">
        <x:v>275</x:v>
      </x:c>
      <x:c r="E103" s="29" t="n">
        <x:v>5</x:v>
      </x:c>
      <x:c r="F103" s="29" t="str">
        <x:v>NOT_RUN</x:v>
      </x:c>
      <x:c r="G103" s="29" t="str">
        <x:v>NOT_RUN</x:v>
      </x:c>
      <x:c r="H103" s="29" t="str">
        <x:v>NOT_RUN</x:v>
      </x:c>
      <x:c r="I103" s="29" t="str">
        <x:v>NOT_RUN</x:v>
      </x:c>
      <x:c r="J103" s="29" t="str">
        <x:v>NOT_RUN</x:v>
      </x:c>
      <x:c r="K103" s="29" t="str">
        <x:v>NOT_RUN</x:v>
      </x:c>
      <x:c r="L103" s="29" t="str"/>
      <x:c r="M103" s="29" t="str"/>
      <x:c r="N103" s="29" t="str"/>
      <x:c r="O103" s="29" t="str">
        <x:f>IF(COUNTIF(F103:K103,"NOT_RUN")=6,"NOT_RUN",IF(AND(COUNTIF(F103:K103,"PASS")=6,L103&lt;&gt;"",M103&lt;&gt;"",N103&lt;&gt;""),"PASS","HOLD"))</x:f>
        <x:v>NOT_RUN</x:v>
      </x:c>
    </x:row>
    <x:row r="104">
      <x:c r="A104" s="29" t="str">
        <x:v>DIO-EVT-017</x:v>
      </x:c>
      <x:c r="B104" s="29" t="str">
        <x:v>LOT-1</x:v>
      </x:c>
      <x:c r="C104" s="29" t="str">
        <x:v>H-MIC4</x:v>
      </x:c>
      <x:c r="D104" s="29" t="n">
        <x:v>275</x:v>
      </x:c>
      <x:c r="E104" s="29" t="n">
        <x:v>5</x:v>
      </x:c>
      <x:c r="F104" s="29" t="str">
        <x:v>NOT_RUN</x:v>
      </x:c>
      <x:c r="G104" s="29" t="str">
        <x:v>NOT_RUN</x:v>
      </x:c>
      <x:c r="H104" s="29" t="str">
        <x:v>NOT_RUN</x:v>
      </x:c>
      <x:c r="I104" s="29" t="str">
        <x:v>NOT_RUN</x:v>
      </x:c>
      <x:c r="J104" s="29" t="str">
        <x:v>NOT_RUN</x:v>
      </x:c>
      <x:c r="K104" s="29" t="str">
        <x:v>NOT_RUN</x:v>
      </x:c>
      <x:c r="L104" s="29" t="str"/>
      <x:c r="M104" s="29" t="str"/>
      <x:c r="N104" s="29" t="str"/>
      <x:c r="O104" s="29" t="str">
        <x:f>IF(COUNTIF(F104:K104,"NOT_RUN")=6,"NOT_RUN",IF(AND(COUNTIF(F104:K104,"PASS")=6,L104&lt;&gt;"",M104&lt;&gt;"",N104&lt;&gt;""),"PASS","HOLD"))</x:f>
        <x:v>NOT_RUN</x:v>
      </x:c>
    </x:row>
    <x:row r="105">
      <x:c r="A105" s="29" t="str">
        <x:v>DIO-EVT-017</x:v>
      </x:c>
      <x:c r="B105" s="29" t="str">
        <x:v>LOT-1</x:v>
      </x:c>
      <x:c r="C105" s="29" t="str">
        <x:v>H-MAIN-PWR</x:v>
      </x:c>
      <x:c r="D105" s="29" t="n">
        <x:v>440</x:v>
      </x:c>
      <x:c r="E105" s="29" t="n">
        <x:v>5</x:v>
      </x:c>
      <x:c r="F105" s="29" t="str">
        <x:v>NOT_RUN</x:v>
      </x:c>
      <x:c r="G105" s="29" t="str">
        <x:v>NOT_RUN</x:v>
      </x:c>
      <x:c r="H105" s="29" t="str">
        <x:v>NOT_RUN</x:v>
      </x:c>
      <x:c r="I105" s="29" t="str">
        <x:v>NOT_RUN</x:v>
      </x:c>
      <x:c r="J105" s="29" t="str">
        <x:v>NOT_RUN</x:v>
      </x:c>
      <x:c r="K105" s="29" t="str">
        <x:v>NOT_RUN</x:v>
      </x:c>
      <x:c r="L105" s="29" t="str"/>
      <x:c r="M105" s="29" t="str"/>
      <x:c r="N105" s="29" t="str"/>
      <x:c r="O105" s="29" t="str">
        <x:f>IF(COUNTIF(F105:K105,"NOT_RUN")=6,"NOT_RUN",IF(AND(COUNTIF(F105:K105,"PASS")=6,L105&lt;&gt;"",M105&lt;&gt;"",N105&lt;&gt;""),"PASS","HOLD"))</x:f>
        <x:v>NOT_RUN</x:v>
      </x:c>
    </x:row>
    <x:row r="106">
      <x:c r="A106" s="29" t="str">
        <x:v>DIO-EVT-017</x:v>
      </x:c>
      <x:c r="B106" s="29" t="str">
        <x:v>LOT-1</x:v>
      </x:c>
      <x:c r="C106" s="29" t="str">
        <x:v>H-BAT-PWR</x:v>
      </x:c>
      <x:c r="D106" s="29" t="n">
        <x:v>330</x:v>
      </x:c>
      <x:c r="E106" s="29" t="n">
        <x:v>5</x:v>
      </x:c>
      <x:c r="F106" s="29" t="str">
        <x:v>NOT_RUN</x:v>
      </x:c>
      <x:c r="G106" s="29" t="str">
        <x:v>NOT_RUN</x:v>
      </x:c>
      <x:c r="H106" s="29" t="str">
        <x:v>NOT_RUN</x:v>
      </x:c>
      <x:c r="I106" s="29" t="str">
        <x:v>NOT_RUN</x:v>
      </x:c>
      <x:c r="J106" s="29" t="str">
        <x:v>NOT_RUN</x:v>
      </x:c>
      <x:c r="K106" s="29" t="str">
        <x:v>NOT_RUN</x:v>
      </x:c>
      <x:c r="L106" s="29" t="str"/>
      <x:c r="M106" s="29" t="str"/>
      <x:c r="N106" s="29" t="str"/>
      <x:c r="O106" s="29" t="str">
        <x:f>IF(COUNTIF(F106:K106,"NOT_RUN")=6,"NOT_RUN",IF(AND(COUNTIF(F106:K106,"PASS")=6,L106&lt;&gt;"",M106&lt;&gt;"",N106&lt;&gt;""),"PASS","HOLD"))</x:f>
        <x:v>NOT_RUN</x:v>
      </x:c>
    </x:row>
    <x:row r="107">
      <x:c r="A107" s="29" t="str">
        <x:v>DIO-EVT-018</x:v>
      </x:c>
      <x:c r="B107" s="29" t="str">
        <x:v>LOT-1</x:v>
      </x:c>
      <x:c r="C107" s="29" t="str">
        <x:v>H-MIC1</x:v>
      </x:c>
      <x:c r="D107" s="29" t="n">
        <x:v>275</x:v>
      </x:c>
      <x:c r="E107" s="29" t="n">
        <x:v>5</x:v>
      </x:c>
      <x:c r="F107" s="29" t="str">
        <x:v>NOT_RUN</x:v>
      </x:c>
      <x:c r="G107" s="29" t="str">
        <x:v>NOT_RUN</x:v>
      </x:c>
      <x:c r="H107" s="29" t="str">
        <x:v>NOT_RUN</x:v>
      </x:c>
      <x:c r="I107" s="29" t="str">
        <x:v>NOT_RUN</x:v>
      </x:c>
      <x:c r="J107" s="29" t="str">
        <x:v>NOT_RUN</x:v>
      </x:c>
      <x:c r="K107" s="29" t="str">
        <x:v>NOT_RUN</x:v>
      </x:c>
      <x:c r="L107" s="29" t="str"/>
      <x:c r="M107" s="29" t="str"/>
      <x:c r="N107" s="29" t="str"/>
      <x:c r="O107" s="29" t="str">
        <x:f>IF(COUNTIF(F107:K107,"NOT_RUN")=6,"NOT_RUN",IF(AND(COUNTIF(F107:K107,"PASS")=6,L107&lt;&gt;"",M107&lt;&gt;"",N107&lt;&gt;""),"PASS","HOLD"))</x:f>
        <x:v>NOT_RUN</x:v>
      </x:c>
    </x:row>
    <x:row r="108">
      <x:c r="A108" s="29" t="str">
        <x:v>DIO-EVT-018</x:v>
      </x:c>
      <x:c r="B108" s="29" t="str">
        <x:v>LOT-1</x:v>
      </x:c>
      <x:c r="C108" s="29" t="str">
        <x:v>H-MIC2</x:v>
      </x:c>
      <x:c r="D108" s="29" t="n">
        <x:v>275</x:v>
      </x:c>
      <x:c r="E108" s="29" t="n">
        <x:v>5</x:v>
      </x:c>
      <x:c r="F108" s="29" t="str">
        <x:v>NOT_RUN</x:v>
      </x:c>
      <x:c r="G108" s="29" t="str">
        <x:v>NOT_RUN</x:v>
      </x:c>
      <x:c r="H108" s="29" t="str">
        <x:v>NOT_RUN</x:v>
      </x:c>
      <x:c r="I108" s="29" t="str">
        <x:v>NOT_RUN</x:v>
      </x:c>
      <x:c r="J108" s="29" t="str">
        <x:v>NOT_RUN</x:v>
      </x:c>
      <x:c r="K108" s="29" t="str">
        <x:v>NOT_RUN</x:v>
      </x:c>
      <x:c r="L108" s="29" t="str"/>
      <x:c r="M108" s="29" t="str"/>
      <x:c r="N108" s="29" t="str"/>
      <x:c r="O108" s="29" t="str">
        <x:f>IF(COUNTIF(F108:K108,"NOT_RUN")=6,"NOT_RUN",IF(AND(COUNTIF(F108:K108,"PASS")=6,L108&lt;&gt;"",M108&lt;&gt;"",N108&lt;&gt;""),"PASS","HOLD"))</x:f>
        <x:v>NOT_RUN</x:v>
      </x:c>
    </x:row>
    <x:row r="109">
      <x:c r="A109" s="29" t="str">
        <x:v>DIO-EVT-018</x:v>
      </x:c>
      <x:c r="B109" s="29" t="str">
        <x:v>LOT-1</x:v>
      </x:c>
      <x:c r="C109" s="29" t="str">
        <x:v>H-MIC3</x:v>
      </x:c>
      <x:c r="D109" s="29" t="n">
        <x:v>275</x:v>
      </x:c>
      <x:c r="E109" s="29" t="n">
        <x:v>5</x:v>
      </x:c>
      <x:c r="F109" s="29" t="str">
        <x:v>NOT_RUN</x:v>
      </x:c>
      <x:c r="G109" s="29" t="str">
        <x:v>NOT_RUN</x:v>
      </x:c>
      <x:c r="H109" s="29" t="str">
        <x:v>NOT_RUN</x:v>
      </x:c>
      <x:c r="I109" s="29" t="str">
        <x:v>NOT_RUN</x:v>
      </x:c>
      <x:c r="J109" s="29" t="str">
        <x:v>NOT_RUN</x:v>
      </x:c>
      <x:c r="K109" s="29" t="str">
        <x:v>NOT_RUN</x:v>
      </x:c>
      <x:c r="L109" s="29" t="str"/>
      <x:c r="M109" s="29" t="str"/>
      <x:c r="N109" s="29" t="str"/>
      <x:c r="O109" s="29" t="str">
        <x:f>IF(COUNTIF(F109:K109,"NOT_RUN")=6,"NOT_RUN",IF(AND(COUNTIF(F109:K109,"PASS")=6,L109&lt;&gt;"",M109&lt;&gt;"",N109&lt;&gt;""),"PASS","HOLD"))</x:f>
        <x:v>NOT_RUN</x:v>
      </x:c>
    </x:row>
    <x:row r="110">
      <x:c r="A110" s="29" t="str">
        <x:v>DIO-EVT-018</x:v>
      </x:c>
      <x:c r="B110" s="29" t="str">
        <x:v>LOT-1</x:v>
      </x:c>
      <x:c r="C110" s="29" t="str">
        <x:v>H-MIC4</x:v>
      </x:c>
      <x:c r="D110" s="29" t="n">
        <x:v>275</x:v>
      </x:c>
      <x:c r="E110" s="29" t="n">
        <x:v>5</x:v>
      </x:c>
      <x:c r="F110" s="29" t="str">
        <x:v>NOT_RUN</x:v>
      </x:c>
      <x:c r="G110" s="29" t="str">
        <x:v>NOT_RUN</x:v>
      </x:c>
      <x:c r="H110" s="29" t="str">
        <x:v>NOT_RUN</x:v>
      </x:c>
      <x:c r="I110" s="29" t="str">
        <x:v>NOT_RUN</x:v>
      </x:c>
      <x:c r="J110" s="29" t="str">
        <x:v>NOT_RUN</x:v>
      </x:c>
      <x:c r="K110" s="29" t="str">
        <x:v>NOT_RUN</x:v>
      </x:c>
      <x:c r="L110" s="29" t="str"/>
      <x:c r="M110" s="29" t="str"/>
      <x:c r="N110" s="29" t="str"/>
      <x:c r="O110" s="29" t="str">
        <x:f>IF(COUNTIF(F110:K110,"NOT_RUN")=6,"NOT_RUN",IF(AND(COUNTIF(F110:K110,"PASS")=6,L110&lt;&gt;"",M110&lt;&gt;"",N110&lt;&gt;""),"PASS","HOLD"))</x:f>
        <x:v>NOT_RUN</x:v>
      </x:c>
    </x:row>
    <x:row r="111">
      <x:c r="A111" s="29" t="str">
        <x:v>DIO-EVT-018</x:v>
      </x:c>
      <x:c r="B111" s="29" t="str">
        <x:v>LOT-1</x:v>
      </x:c>
      <x:c r="C111" s="29" t="str">
        <x:v>H-MAIN-PWR</x:v>
      </x:c>
      <x:c r="D111" s="29" t="n">
        <x:v>440</x:v>
      </x:c>
      <x:c r="E111" s="29" t="n">
        <x:v>5</x:v>
      </x:c>
      <x:c r="F111" s="29" t="str">
        <x:v>NOT_RUN</x:v>
      </x:c>
      <x:c r="G111" s="29" t="str">
        <x:v>NOT_RUN</x:v>
      </x:c>
      <x:c r="H111" s="29" t="str">
        <x:v>NOT_RUN</x:v>
      </x:c>
      <x:c r="I111" s="29" t="str">
        <x:v>NOT_RUN</x:v>
      </x:c>
      <x:c r="J111" s="29" t="str">
        <x:v>NOT_RUN</x:v>
      </x:c>
      <x:c r="K111" s="29" t="str">
        <x:v>NOT_RUN</x:v>
      </x:c>
      <x:c r="L111" s="29" t="str"/>
      <x:c r="M111" s="29" t="str"/>
      <x:c r="N111" s="29" t="str"/>
      <x:c r="O111" s="29" t="str">
        <x:f>IF(COUNTIF(F111:K111,"NOT_RUN")=6,"NOT_RUN",IF(AND(COUNTIF(F111:K111,"PASS")=6,L111&lt;&gt;"",M111&lt;&gt;"",N111&lt;&gt;""),"PASS","HOLD"))</x:f>
        <x:v>NOT_RUN</x:v>
      </x:c>
    </x:row>
    <x:row r="112">
      <x:c r="A112" s="29" t="str">
        <x:v>DIO-EVT-018</x:v>
      </x:c>
      <x:c r="B112" s="29" t="str">
        <x:v>LOT-1</x:v>
      </x:c>
      <x:c r="C112" s="29" t="str">
        <x:v>H-BAT-PWR</x:v>
      </x:c>
      <x:c r="D112" s="29" t="n">
        <x:v>330</x:v>
      </x:c>
      <x:c r="E112" s="29" t="n">
        <x:v>5</x:v>
      </x:c>
      <x:c r="F112" s="29" t="str">
        <x:v>NOT_RUN</x:v>
      </x:c>
      <x:c r="G112" s="29" t="str">
        <x:v>NOT_RUN</x:v>
      </x:c>
      <x:c r="H112" s="29" t="str">
        <x:v>NOT_RUN</x:v>
      </x:c>
      <x:c r="I112" s="29" t="str">
        <x:v>NOT_RUN</x:v>
      </x:c>
      <x:c r="J112" s="29" t="str">
        <x:v>NOT_RUN</x:v>
      </x:c>
      <x:c r="K112" s="29" t="str">
        <x:v>NOT_RUN</x:v>
      </x:c>
      <x:c r="L112" s="29" t="str"/>
      <x:c r="M112" s="29" t="str"/>
      <x:c r="N112" s="29" t="str"/>
      <x:c r="O112" s="29" t="str">
        <x:f>IF(COUNTIF(F112:K112,"NOT_RUN")=6,"NOT_RUN",IF(AND(COUNTIF(F112:K112,"PASS")=6,L112&lt;&gt;"",M112&lt;&gt;"",N112&lt;&gt;""),"PASS","HOLD"))</x:f>
        <x:v>NOT_RUN</x:v>
      </x:c>
    </x:row>
    <x:row r="113">
      <x:c r="A113" s="29" t="str">
        <x:v>DIO-EVT-019</x:v>
      </x:c>
      <x:c r="B113" s="29" t="str">
        <x:v>LOT-1</x:v>
      </x:c>
      <x:c r="C113" s="29" t="str">
        <x:v>H-MIC1</x:v>
      </x:c>
      <x:c r="D113" s="29" t="n">
        <x:v>275</x:v>
      </x:c>
      <x:c r="E113" s="29" t="n">
        <x:v>5</x:v>
      </x:c>
      <x:c r="F113" s="29" t="str">
        <x:v>NOT_RUN</x:v>
      </x:c>
      <x:c r="G113" s="29" t="str">
        <x:v>NOT_RUN</x:v>
      </x:c>
      <x:c r="H113" s="29" t="str">
        <x:v>NOT_RUN</x:v>
      </x:c>
      <x:c r="I113" s="29" t="str">
        <x:v>NOT_RUN</x:v>
      </x:c>
      <x:c r="J113" s="29" t="str">
        <x:v>NOT_RUN</x:v>
      </x:c>
      <x:c r="K113" s="29" t="str">
        <x:v>NOT_RUN</x:v>
      </x:c>
      <x:c r="L113" s="29" t="str"/>
      <x:c r="M113" s="29" t="str"/>
      <x:c r="N113" s="29" t="str"/>
      <x:c r="O113" s="29" t="str">
        <x:f>IF(COUNTIF(F113:K113,"NOT_RUN")=6,"NOT_RUN",IF(AND(COUNTIF(F113:K113,"PASS")=6,L113&lt;&gt;"",M113&lt;&gt;"",N113&lt;&gt;""),"PASS","HOLD"))</x:f>
        <x:v>NOT_RUN</x:v>
      </x:c>
    </x:row>
    <x:row r="114">
      <x:c r="A114" s="29" t="str">
        <x:v>DIO-EVT-019</x:v>
      </x:c>
      <x:c r="B114" s="29" t="str">
        <x:v>LOT-1</x:v>
      </x:c>
      <x:c r="C114" s="29" t="str">
        <x:v>H-MIC2</x:v>
      </x:c>
      <x:c r="D114" s="29" t="n">
        <x:v>275</x:v>
      </x:c>
      <x:c r="E114" s="29" t="n">
        <x:v>5</x:v>
      </x:c>
      <x:c r="F114" s="29" t="str">
        <x:v>NOT_RUN</x:v>
      </x:c>
      <x:c r="G114" s="29" t="str">
        <x:v>NOT_RUN</x:v>
      </x:c>
      <x:c r="H114" s="29" t="str">
        <x:v>NOT_RUN</x:v>
      </x:c>
      <x:c r="I114" s="29" t="str">
        <x:v>NOT_RUN</x:v>
      </x:c>
      <x:c r="J114" s="29" t="str">
        <x:v>NOT_RUN</x:v>
      </x:c>
      <x:c r="K114" s="29" t="str">
        <x:v>NOT_RUN</x:v>
      </x:c>
      <x:c r="L114" s="29" t="str"/>
      <x:c r="M114" s="29" t="str"/>
      <x:c r="N114" s="29" t="str"/>
      <x:c r="O114" s="29" t="str">
        <x:f>IF(COUNTIF(F114:K114,"NOT_RUN")=6,"NOT_RUN",IF(AND(COUNTIF(F114:K114,"PASS")=6,L114&lt;&gt;"",M114&lt;&gt;"",N114&lt;&gt;""),"PASS","HOLD"))</x:f>
        <x:v>NOT_RUN</x:v>
      </x:c>
    </x:row>
    <x:row r="115">
      <x:c r="A115" s="29" t="str">
        <x:v>DIO-EVT-019</x:v>
      </x:c>
      <x:c r="B115" s="29" t="str">
        <x:v>LOT-1</x:v>
      </x:c>
      <x:c r="C115" s="29" t="str">
        <x:v>H-MIC3</x:v>
      </x:c>
      <x:c r="D115" s="29" t="n">
        <x:v>275</x:v>
      </x:c>
      <x:c r="E115" s="29" t="n">
        <x:v>5</x:v>
      </x:c>
      <x:c r="F115" s="29" t="str">
        <x:v>NOT_RUN</x:v>
      </x:c>
      <x:c r="G115" s="29" t="str">
        <x:v>NOT_RUN</x:v>
      </x:c>
      <x:c r="H115" s="29" t="str">
        <x:v>NOT_RUN</x:v>
      </x:c>
      <x:c r="I115" s="29" t="str">
        <x:v>NOT_RUN</x:v>
      </x:c>
      <x:c r="J115" s="29" t="str">
        <x:v>NOT_RUN</x:v>
      </x:c>
      <x:c r="K115" s="29" t="str">
        <x:v>NOT_RUN</x:v>
      </x:c>
      <x:c r="L115" s="29" t="str"/>
      <x:c r="M115" s="29" t="str"/>
      <x:c r="N115" s="29" t="str"/>
      <x:c r="O115" s="29" t="str">
        <x:f>IF(COUNTIF(F115:K115,"NOT_RUN")=6,"NOT_RUN",IF(AND(COUNTIF(F115:K115,"PASS")=6,L115&lt;&gt;"",M115&lt;&gt;"",N115&lt;&gt;""),"PASS","HOLD"))</x:f>
        <x:v>NOT_RUN</x:v>
      </x:c>
    </x:row>
    <x:row r="116">
      <x:c r="A116" s="29" t="str">
        <x:v>DIO-EVT-019</x:v>
      </x:c>
      <x:c r="B116" s="29" t="str">
        <x:v>LOT-1</x:v>
      </x:c>
      <x:c r="C116" s="29" t="str">
        <x:v>H-MIC4</x:v>
      </x:c>
      <x:c r="D116" s="29" t="n">
        <x:v>275</x:v>
      </x:c>
      <x:c r="E116" s="29" t="n">
        <x:v>5</x:v>
      </x:c>
      <x:c r="F116" s="29" t="str">
        <x:v>NOT_RUN</x:v>
      </x:c>
      <x:c r="G116" s="29" t="str">
        <x:v>NOT_RUN</x:v>
      </x:c>
      <x:c r="H116" s="29" t="str">
        <x:v>NOT_RUN</x:v>
      </x:c>
      <x:c r="I116" s="29" t="str">
        <x:v>NOT_RUN</x:v>
      </x:c>
      <x:c r="J116" s="29" t="str">
        <x:v>NOT_RUN</x:v>
      </x:c>
      <x:c r="K116" s="29" t="str">
        <x:v>NOT_RUN</x:v>
      </x:c>
      <x:c r="L116" s="29" t="str"/>
      <x:c r="M116" s="29" t="str"/>
      <x:c r="N116" s="29" t="str"/>
      <x:c r="O116" s="29" t="str">
        <x:f>IF(COUNTIF(F116:K116,"NOT_RUN")=6,"NOT_RUN",IF(AND(COUNTIF(F116:K116,"PASS")=6,L116&lt;&gt;"",M116&lt;&gt;"",N116&lt;&gt;""),"PASS","HOLD"))</x:f>
        <x:v>NOT_RUN</x:v>
      </x:c>
    </x:row>
    <x:row r="117">
      <x:c r="A117" s="29" t="str">
        <x:v>DIO-EVT-019</x:v>
      </x:c>
      <x:c r="B117" s="29" t="str">
        <x:v>LOT-1</x:v>
      </x:c>
      <x:c r="C117" s="29" t="str">
        <x:v>H-MAIN-PWR</x:v>
      </x:c>
      <x:c r="D117" s="29" t="n">
        <x:v>440</x:v>
      </x:c>
      <x:c r="E117" s="29" t="n">
        <x:v>5</x:v>
      </x:c>
      <x:c r="F117" s="29" t="str">
        <x:v>NOT_RUN</x:v>
      </x:c>
      <x:c r="G117" s="29" t="str">
        <x:v>NOT_RUN</x:v>
      </x:c>
      <x:c r="H117" s="29" t="str">
        <x:v>NOT_RUN</x:v>
      </x:c>
      <x:c r="I117" s="29" t="str">
        <x:v>NOT_RUN</x:v>
      </x:c>
      <x:c r="J117" s="29" t="str">
        <x:v>NOT_RUN</x:v>
      </x:c>
      <x:c r="K117" s="29" t="str">
        <x:v>NOT_RUN</x:v>
      </x:c>
      <x:c r="L117" s="29" t="str"/>
      <x:c r="M117" s="29" t="str"/>
      <x:c r="N117" s="29" t="str"/>
      <x:c r="O117" s="29" t="str">
        <x:f>IF(COUNTIF(F117:K117,"NOT_RUN")=6,"NOT_RUN",IF(AND(COUNTIF(F117:K117,"PASS")=6,L117&lt;&gt;"",M117&lt;&gt;"",N117&lt;&gt;""),"PASS","HOLD"))</x:f>
        <x:v>NOT_RUN</x:v>
      </x:c>
    </x:row>
    <x:row r="118">
      <x:c r="A118" s="29" t="str">
        <x:v>DIO-EVT-019</x:v>
      </x:c>
      <x:c r="B118" s="29" t="str">
        <x:v>LOT-1</x:v>
      </x:c>
      <x:c r="C118" s="29" t="str">
        <x:v>H-BAT-PWR</x:v>
      </x:c>
      <x:c r="D118" s="29" t="n">
        <x:v>330</x:v>
      </x:c>
      <x:c r="E118" s="29" t="n">
        <x:v>5</x:v>
      </x:c>
      <x:c r="F118" s="29" t="str">
        <x:v>NOT_RUN</x:v>
      </x:c>
      <x:c r="G118" s="29" t="str">
        <x:v>NOT_RUN</x:v>
      </x:c>
      <x:c r="H118" s="29" t="str">
        <x:v>NOT_RUN</x:v>
      </x:c>
      <x:c r="I118" s="29" t="str">
        <x:v>NOT_RUN</x:v>
      </x:c>
      <x:c r="J118" s="29" t="str">
        <x:v>NOT_RUN</x:v>
      </x:c>
      <x:c r="K118" s="29" t="str">
        <x:v>NOT_RUN</x:v>
      </x:c>
      <x:c r="L118" s="29" t="str"/>
      <x:c r="M118" s="29" t="str"/>
      <x:c r="N118" s="29" t="str"/>
      <x:c r="O118" s="29" t="str">
        <x:f>IF(COUNTIF(F118:K118,"NOT_RUN")=6,"NOT_RUN",IF(AND(COUNTIF(F118:K118,"PASS")=6,L118&lt;&gt;"",M118&lt;&gt;"",N118&lt;&gt;""),"PASS","HOLD"))</x:f>
        <x:v>NOT_RUN</x:v>
      </x:c>
    </x:row>
    <x:row r="119">
      <x:c r="A119" s="29" t="str">
        <x:v>DIO-EVT-020</x:v>
      </x:c>
      <x:c r="B119" s="29" t="str">
        <x:v>LOT-1</x:v>
      </x:c>
      <x:c r="C119" s="29" t="str">
        <x:v>H-MIC1</x:v>
      </x:c>
      <x:c r="D119" s="29" t="n">
        <x:v>275</x:v>
      </x:c>
      <x:c r="E119" s="29" t="n">
        <x:v>5</x:v>
      </x:c>
      <x:c r="F119" s="29" t="str">
        <x:v>NOT_RUN</x:v>
      </x:c>
      <x:c r="G119" s="29" t="str">
        <x:v>NOT_RUN</x:v>
      </x:c>
      <x:c r="H119" s="29" t="str">
        <x:v>NOT_RUN</x:v>
      </x:c>
      <x:c r="I119" s="29" t="str">
        <x:v>NOT_RUN</x:v>
      </x:c>
      <x:c r="J119" s="29" t="str">
        <x:v>NOT_RUN</x:v>
      </x:c>
      <x:c r="K119" s="29" t="str">
        <x:v>NOT_RUN</x:v>
      </x:c>
      <x:c r="L119" s="29" t="str"/>
      <x:c r="M119" s="29" t="str"/>
      <x:c r="N119" s="29" t="str"/>
      <x:c r="O119" s="29" t="str">
        <x:f>IF(COUNTIF(F119:K119,"NOT_RUN")=6,"NOT_RUN",IF(AND(COUNTIF(F119:K119,"PASS")=6,L119&lt;&gt;"",M119&lt;&gt;"",N119&lt;&gt;""),"PASS","HOLD"))</x:f>
        <x:v>NOT_RUN</x:v>
      </x:c>
    </x:row>
    <x:row r="120">
      <x:c r="A120" s="29" t="str">
        <x:v>DIO-EVT-020</x:v>
      </x:c>
      <x:c r="B120" s="29" t="str">
        <x:v>LOT-1</x:v>
      </x:c>
      <x:c r="C120" s="29" t="str">
        <x:v>H-MIC2</x:v>
      </x:c>
      <x:c r="D120" s="29" t="n">
        <x:v>275</x:v>
      </x:c>
      <x:c r="E120" s="29" t="n">
        <x:v>5</x:v>
      </x:c>
      <x:c r="F120" s="29" t="str">
        <x:v>NOT_RUN</x:v>
      </x:c>
      <x:c r="G120" s="29" t="str">
        <x:v>NOT_RUN</x:v>
      </x:c>
      <x:c r="H120" s="29" t="str">
        <x:v>NOT_RUN</x:v>
      </x:c>
      <x:c r="I120" s="29" t="str">
        <x:v>NOT_RUN</x:v>
      </x:c>
      <x:c r="J120" s="29" t="str">
        <x:v>NOT_RUN</x:v>
      </x:c>
      <x:c r="K120" s="29" t="str">
        <x:v>NOT_RUN</x:v>
      </x:c>
      <x:c r="L120" s="29" t="str"/>
      <x:c r="M120" s="29" t="str"/>
      <x:c r="N120" s="29" t="str"/>
      <x:c r="O120" s="29" t="str">
        <x:f>IF(COUNTIF(F120:K120,"NOT_RUN")=6,"NOT_RUN",IF(AND(COUNTIF(F120:K120,"PASS")=6,L120&lt;&gt;"",M120&lt;&gt;"",N120&lt;&gt;""),"PASS","HOLD"))</x:f>
        <x:v>NOT_RUN</x:v>
      </x:c>
    </x:row>
    <x:row r="121">
      <x:c r="A121" s="29" t="str">
        <x:v>DIO-EVT-020</x:v>
      </x:c>
      <x:c r="B121" s="29" t="str">
        <x:v>LOT-1</x:v>
      </x:c>
      <x:c r="C121" s="29" t="str">
        <x:v>H-MIC3</x:v>
      </x:c>
      <x:c r="D121" s="29" t="n">
        <x:v>275</x:v>
      </x:c>
      <x:c r="E121" s="29" t="n">
        <x:v>5</x:v>
      </x:c>
      <x:c r="F121" s="29" t="str">
        <x:v>NOT_RUN</x:v>
      </x:c>
      <x:c r="G121" s="29" t="str">
        <x:v>NOT_RUN</x:v>
      </x:c>
      <x:c r="H121" s="29" t="str">
        <x:v>NOT_RUN</x:v>
      </x:c>
      <x:c r="I121" s="29" t="str">
        <x:v>NOT_RUN</x:v>
      </x:c>
      <x:c r="J121" s="29" t="str">
        <x:v>NOT_RUN</x:v>
      </x:c>
      <x:c r="K121" s="29" t="str">
        <x:v>NOT_RUN</x:v>
      </x:c>
      <x:c r="L121" s="29" t="str"/>
      <x:c r="M121" s="29" t="str"/>
      <x:c r="N121" s="29" t="str"/>
      <x:c r="O121" s="29" t="str">
        <x:f>IF(COUNTIF(F121:K121,"NOT_RUN")=6,"NOT_RUN",IF(AND(COUNTIF(F121:K121,"PASS")=6,L121&lt;&gt;"",M121&lt;&gt;"",N121&lt;&gt;""),"PASS","HOLD"))</x:f>
        <x:v>NOT_RUN</x:v>
      </x:c>
    </x:row>
    <x:row r="122">
      <x:c r="A122" s="29" t="str">
        <x:v>DIO-EVT-020</x:v>
      </x:c>
      <x:c r="B122" s="29" t="str">
        <x:v>LOT-1</x:v>
      </x:c>
      <x:c r="C122" s="29" t="str">
        <x:v>H-MIC4</x:v>
      </x:c>
      <x:c r="D122" s="29" t="n">
        <x:v>275</x:v>
      </x:c>
      <x:c r="E122" s="29" t="n">
        <x:v>5</x:v>
      </x:c>
      <x:c r="F122" s="29" t="str">
        <x:v>NOT_RUN</x:v>
      </x:c>
      <x:c r="G122" s="29" t="str">
        <x:v>NOT_RUN</x:v>
      </x:c>
      <x:c r="H122" s="29" t="str">
        <x:v>NOT_RUN</x:v>
      </x:c>
      <x:c r="I122" s="29" t="str">
        <x:v>NOT_RUN</x:v>
      </x:c>
      <x:c r="J122" s="29" t="str">
        <x:v>NOT_RUN</x:v>
      </x:c>
      <x:c r="K122" s="29" t="str">
        <x:v>NOT_RUN</x:v>
      </x:c>
      <x:c r="L122" s="29" t="str"/>
      <x:c r="M122" s="29" t="str"/>
      <x:c r="N122" s="29" t="str"/>
      <x:c r="O122" s="29" t="str">
        <x:f>IF(COUNTIF(F122:K122,"NOT_RUN")=6,"NOT_RUN",IF(AND(COUNTIF(F122:K122,"PASS")=6,L122&lt;&gt;"",M122&lt;&gt;"",N122&lt;&gt;""),"PASS","HOLD"))</x:f>
        <x:v>NOT_RUN</x:v>
      </x:c>
    </x:row>
    <x:row r="123">
      <x:c r="A123" s="29" t="str">
        <x:v>DIO-EVT-020</x:v>
      </x:c>
      <x:c r="B123" s="29" t="str">
        <x:v>LOT-1</x:v>
      </x:c>
      <x:c r="C123" s="29" t="str">
        <x:v>H-MAIN-PWR</x:v>
      </x:c>
      <x:c r="D123" s="29" t="n">
        <x:v>440</x:v>
      </x:c>
      <x:c r="E123" s="29" t="n">
        <x:v>5</x:v>
      </x:c>
      <x:c r="F123" s="29" t="str">
        <x:v>NOT_RUN</x:v>
      </x:c>
      <x:c r="G123" s="29" t="str">
        <x:v>NOT_RUN</x:v>
      </x:c>
      <x:c r="H123" s="29" t="str">
        <x:v>NOT_RUN</x:v>
      </x:c>
      <x:c r="I123" s="29" t="str">
        <x:v>NOT_RUN</x:v>
      </x:c>
      <x:c r="J123" s="29" t="str">
        <x:v>NOT_RUN</x:v>
      </x:c>
      <x:c r="K123" s="29" t="str">
        <x:v>NOT_RUN</x:v>
      </x:c>
      <x:c r="L123" s="29" t="str"/>
      <x:c r="M123" s="29" t="str"/>
      <x:c r="N123" s="29" t="str"/>
      <x:c r="O123" s="29" t="str">
        <x:f>IF(COUNTIF(F123:K123,"NOT_RUN")=6,"NOT_RUN",IF(AND(COUNTIF(F123:K123,"PASS")=6,L123&lt;&gt;"",M123&lt;&gt;"",N123&lt;&gt;""),"PASS","HOLD"))</x:f>
        <x:v>NOT_RUN</x:v>
      </x:c>
    </x:row>
    <x:row r="124">
      <x:c r="A124" s="29" t="str">
        <x:v>DIO-EVT-020</x:v>
      </x:c>
      <x:c r="B124" s="29" t="str">
        <x:v>LOT-1</x:v>
      </x:c>
      <x:c r="C124" s="29" t="str">
        <x:v>H-BAT-PWR</x:v>
      </x:c>
      <x:c r="D124" s="29" t="n">
        <x:v>330</x:v>
      </x:c>
      <x:c r="E124" s="29" t="n">
        <x:v>5</x:v>
      </x:c>
      <x:c r="F124" s="29" t="str">
        <x:v>NOT_RUN</x:v>
      </x:c>
      <x:c r="G124" s="29" t="str">
        <x:v>NOT_RUN</x:v>
      </x:c>
      <x:c r="H124" s="29" t="str">
        <x:v>NOT_RUN</x:v>
      </x:c>
      <x:c r="I124" s="29" t="str">
        <x:v>NOT_RUN</x:v>
      </x:c>
      <x:c r="J124" s="29" t="str">
        <x:v>NOT_RUN</x:v>
      </x:c>
      <x:c r="K124" s="29" t="str">
        <x:v>NOT_RUN</x:v>
      </x:c>
      <x:c r="L124" s="29" t="str"/>
      <x:c r="M124" s="29" t="str"/>
      <x:c r="N124" s="29" t="str"/>
      <x:c r="O124" s="29" t="str">
        <x:f>IF(COUNTIF(F124:K124,"NOT_RUN")=6,"NOT_RUN",IF(AND(COUNTIF(F124:K124,"PASS")=6,L124&lt;&gt;"",M124&lt;&gt;"",N124&lt;&gt;""),"PASS","HOLD"))</x:f>
        <x:v>NOT_RUN</x:v>
      </x:c>
    </x:row>
    <x:row r="125">
      <x:c r="A125" s="29" t="str">
        <x:v>DIO-EVT-021</x:v>
      </x:c>
      <x:c r="B125" s="29" t="str">
        <x:v>LOT-2</x:v>
      </x:c>
      <x:c r="C125" s="29" t="str">
        <x:v>H-MIC1</x:v>
      </x:c>
      <x:c r="D125" s="29" t="n">
        <x:v>275</x:v>
      </x:c>
      <x:c r="E125" s="29" t="n">
        <x:v>5</x:v>
      </x:c>
      <x:c r="F125" s="29" t="str">
        <x:v>NOT_RUN</x:v>
      </x:c>
      <x:c r="G125" s="29" t="str">
        <x:v>NOT_RUN</x:v>
      </x:c>
      <x:c r="H125" s="29" t="str">
        <x:v>NOT_RUN</x:v>
      </x:c>
      <x:c r="I125" s="29" t="str">
        <x:v>NOT_RUN</x:v>
      </x:c>
      <x:c r="J125" s="29" t="str">
        <x:v>NOT_RUN</x:v>
      </x:c>
      <x:c r="K125" s="29" t="str">
        <x:v>NOT_RUN</x:v>
      </x:c>
      <x:c r="L125" s="29" t="str"/>
      <x:c r="M125" s="29" t="str"/>
      <x:c r="N125" s="29" t="str"/>
      <x:c r="O125" s="29" t="str">
        <x:f>IF(COUNTIF(F125:K125,"NOT_RUN")=6,"NOT_RUN",IF(AND(COUNTIF(F125:K125,"PASS")=6,L125&lt;&gt;"",M125&lt;&gt;"",N125&lt;&gt;""),"PASS","HOLD"))</x:f>
        <x:v>NOT_RUN</x:v>
      </x:c>
    </x:row>
    <x:row r="126">
      <x:c r="A126" s="29" t="str">
        <x:v>DIO-EVT-021</x:v>
      </x:c>
      <x:c r="B126" s="29" t="str">
        <x:v>LOT-2</x:v>
      </x:c>
      <x:c r="C126" s="29" t="str">
        <x:v>H-MIC2</x:v>
      </x:c>
      <x:c r="D126" s="29" t="n">
        <x:v>275</x:v>
      </x:c>
      <x:c r="E126" s="29" t="n">
        <x:v>5</x:v>
      </x:c>
      <x:c r="F126" s="29" t="str">
        <x:v>NOT_RUN</x:v>
      </x:c>
      <x:c r="G126" s="29" t="str">
        <x:v>NOT_RUN</x:v>
      </x:c>
      <x:c r="H126" s="29" t="str">
        <x:v>NOT_RUN</x:v>
      </x:c>
      <x:c r="I126" s="29" t="str">
        <x:v>NOT_RUN</x:v>
      </x:c>
      <x:c r="J126" s="29" t="str">
        <x:v>NOT_RUN</x:v>
      </x:c>
      <x:c r="K126" s="29" t="str">
        <x:v>NOT_RUN</x:v>
      </x:c>
      <x:c r="L126" s="29" t="str"/>
      <x:c r="M126" s="29" t="str"/>
      <x:c r="N126" s="29" t="str"/>
      <x:c r="O126" s="29" t="str">
        <x:f>IF(COUNTIF(F126:K126,"NOT_RUN")=6,"NOT_RUN",IF(AND(COUNTIF(F126:K126,"PASS")=6,L126&lt;&gt;"",M126&lt;&gt;"",N126&lt;&gt;""),"PASS","HOLD"))</x:f>
        <x:v>NOT_RUN</x:v>
      </x:c>
    </x:row>
    <x:row r="127">
      <x:c r="A127" s="29" t="str">
        <x:v>DIO-EVT-021</x:v>
      </x:c>
      <x:c r="B127" s="29" t="str">
        <x:v>LOT-2</x:v>
      </x:c>
      <x:c r="C127" s="29" t="str">
        <x:v>H-MIC3</x:v>
      </x:c>
      <x:c r="D127" s="29" t="n">
        <x:v>275</x:v>
      </x:c>
      <x:c r="E127" s="29" t="n">
        <x:v>5</x:v>
      </x:c>
      <x:c r="F127" s="29" t="str">
        <x:v>NOT_RUN</x:v>
      </x:c>
      <x:c r="G127" s="29" t="str">
        <x:v>NOT_RUN</x:v>
      </x:c>
      <x:c r="H127" s="29" t="str">
        <x:v>NOT_RUN</x:v>
      </x:c>
      <x:c r="I127" s="29" t="str">
        <x:v>NOT_RUN</x:v>
      </x:c>
      <x:c r="J127" s="29" t="str">
        <x:v>NOT_RUN</x:v>
      </x:c>
      <x:c r="K127" s="29" t="str">
        <x:v>NOT_RUN</x:v>
      </x:c>
      <x:c r="L127" s="29" t="str"/>
      <x:c r="M127" s="29" t="str"/>
      <x:c r="N127" s="29" t="str"/>
      <x:c r="O127" s="29" t="str">
        <x:f>IF(COUNTIF(F127:K127,"NOT_RUN")=6,"NOT_RUN",IF(AND(COUNTIF(F127:K127,"PASS")=6,L127&lt;&gt;"",M127&lt;&gt;"",N127&lt;&gt;""),"PASS","HOLD"))</x:f>
        <x:v>NOT_RUN</x:v>
      </x:c>
    </x:row>
    <x:row r="128">
      <x:c r="A128" s="29" t="str">
        <x:v>DIO-EVT-021</x:v>
      </x:c>
      <x:c r="B128" s="29" t="str">
        <x:v>LOT-2</x:v>
      </x:c>
      <x:c r="C128" s="29" t="str">
        <x:v>H-MIC4</x:v>
      </x:c>
      <x:c r="D128" s="29" t="n">
        <x:v>275</x:v>
      </x:c>
      <x:c r="E128" s="29" t="n">
        <x:v>5</x:v>
      </x:c>
      <x:c r="F128" s="29" t="str">
        <x:v>NOT_RUN</x:v>
      </x:c>
      <x:c r="G128" s="29" t="str">
        <x:v>NOT_RUN</x:v>
      </x:c>
      <x:c r="H128" s="29" t="str">
        <x:v>NOT_RUN</x:v>
      </x:c>
      <x:c r="I128" s="29" t="str">
        <x:v>NOT_RUN</x:v>
      </x:c>
      <x:c r="J128" s="29" t="str">
        <x:v>NOT_RUN</x:v>
      </x:c>
      <x:c r="K128" s="29" t="str">
        <x:v>NOT_RUN</x:v>
      </x:c>
      <x:c r="L128" s="29" t="str"/>
      <x:c r="M128" s="29" t="str"/>
      <x:c r="N128" s="29" t="str"/>
      <x:c r="O128" s="29" t="str">
        <x:f>IF(COUNTIF(F128:K128,"NOT_RUN")=6,"NOT_RUN",IF(AND(COUNTIF(F128:K128,"PASS")=6,L128&lt;&gt;"",M128&lt;&gt;"",N128&lt;&gt;""),"PASS","HOLD"))</x:f>
        <x:v>NOT_RUN</x:v>
      </x:c>
    </x:row>
    <x:row r="129">
      <x:c r="A129" s="29" t="str">
        <x:v>DIO-EVT-021</x:v>
      </x:c>
      <x:c r="B129" s="29" t="str">
        <x:v>LOT-2</x:v>
      </x:c>
      <x:c r="C129" s="29" t="str">
        <x:v>H-MAIN-PWR</x:v>
      </x:c>
      <x:c r="D129" s="29" t="n">
        <x:v>440</x:v>
      </x:c>
      <x:c r="E129" s="29" t="n">
        <x:v>5</x:v>
      </x:c>
      <x:c r="F129" s="29" t="str">
        <x:v>NOT_RUN</x:v>
      </x:c>
      <x:c r="G129" s="29" t="str">
        <x:v>NOT_RUN</x:v>
      </x:c>
      <x:c r="H129" s="29" t="str">
        <x:v>NOT_RUN</x:v>
      </x:c>
      <x:c r="I129" s="29" t="str">
        <x:v>NOT_RUN</x:v>
      </x:c>
      <x:c r="J129" s="29" t="str">
        <x:v>NOT_RUN</x:v>
      </x:c>
      <x:c r="K129" s="29" t="str">
        <x:v>NOT_RUN</x:v>
      </x:c>
      <x:c r="L129" s="29" t="str"/>
      <x:c r="M129" s="29" t="str"/>
      <x:c r="N129" s="29" t="str"/>
      <x:c r="O129" s="29" t="str">
        <x:f>IF(COUNTIF(F129:K129,"NOT_RUN")=6,"NOT_RUN",IF(AND(COUNTIF(F129:K129,"PASS")=6,L129&lt;&gt;"",M129&lt;&gt;"",N129&lt;&gt;""),"PASS","HOLD"))</x:f>
        <x:v>NOT_RUN</x:v>
      </x:c>
    </x:row>
    <x:row r="130">
      <x:c r="A130" s="29" t="str">
        <x:v>DIO-EVT-021</x:v>
      </x:c>
      <x:c r="B130" s="29" t="str">
        <x:v>LOT-2</x:v>
      </x:c>
      <x:c r="C130" s="29" t="str">
        <x:v>H-BAT-PWR</x:v>
      </x:c>
      <x:c r="D130" s="29" t="n">
        <x:v>330</x:v>
      </x:c>
      <x:c r="E130" s="29" t="n">
        <x:v>5</x:v>
      </x:c>
      <x:c r="F130" s="29" t="str">
        <x:v>NOT_RUN</x:v>
      </x:c>
      <x:c r="G130" s="29" t="str">
        <x:v>NOT_RUN</x:v>
      </x:c>
      <x:c r="H130" s="29" t="str">
        <x:v>NOT_RUN</x:v>
      </x:c>
      <x:c r="I130" s="29" t="str">
        <x:v>NOT_RUN</x:v>
      </x:c>
      <x:c r="J130" s="29" t="str">
        <x:v>NOT_RUN</x:v>
      </x:c>
      <x:c r="K130" s="29" t="str">
        <x:v>NOT_RUN</x:v>
      </x:c>
      <x:c r="L130" s="29" t="str"/>
      <x:c r="M130" s="29" t="str"/>
      <x:c r="N130" s="29" t="str"/>
      <x:c r="O130" s="29" t="str">
        <x:f>IF(COUNTIF(F130:K130,"NOT_RUN")=6,"NOT_RUN",IF(AND(COUNTIF(F130:K130,"PASS")=6,L130&lt;&gt;"",M130&lt;&gt;"",N130&lt;&gt;""),"PASS","HOLD"))</x:f>
        <x:v>NOT_RUN</x:v>
      </x:c>
    </x:row>
    <x:row r="131">
      <x:c r="A131" s="29" t="str">
        <x:v>DIO-EVT-022</x:v>
      </x:c>
      <x:c r="B131" s="29" t="str">
        <x:v>LOT-2</x:v>
      </x:c>
      <x:c r="C131" s="29" t="str">
        <x:v>H-MIC1</x:v>
      </x:c>
      <x:c r="D131" s="29" t="n">
        <x:v>275</x:v>
      </x:c>
      <x:c r="E131" s="29" t="n">
        <x:v>5</x:v>
      </x:c>
      <x:c r="F131" s="29" t="str">
        <x:v>NOT_RUN</x:v>
      </x:c>
      <x:c r="G131" s="29" t="str">
        <x:v>NOT_RUN</x:v>
      </x:c>
      <x:c r="H131" s="29" t="str">
        <x:v>NOT_RUN</x:v>
      </x:c>
      <x:c r="I131" s="29" t="str">
        <x:v>NOT_RUN</x:v>
      </x:c>
      <x:c r="J131" s="29" t="str">
        <x:v>NOT_RUN</x:v>
      </x:c>
      <x:c r="K131" s="29" t="str">
        <x:v>NOT_RUN</x:v>
      </x:c>
      <x:c r="L131" s="29" t="str"/>
      <x:c r="M131" s="29" t="str"/>
      <x:c r="N131" s="29" t="str"/>
      <x:c r="O131" s="29" t="str">
        <x:f>IF(COUNTIF(F131:K131,"NOT_RUN")=6,"NOT_RUN",IF(AND(COUNTIF(F131:K131,"PASS")=6,L131&lt;&gt;"",M131&lt;&gt;"",N131&lt;&gt;""),"PASS","HOLD"))</x:f>
        <x:v>NOT_RUN</x:v>
      </x:c>
    </x:row>
    <x:row r="132">
      <x:c r="A132" s="29" t="str">
        <x:v>DIO-EVT-022</x:v>
      </x:c>
      <x:c r="B132" s="29" t="str">
        <x:v>LOT-2</x:v>
      </x:c>
      <x:c r="C132" s="29" t="str">
        <x:v>H-MIC2</x:v>
      </x:c>
      <x:c r="D132" s="29" t="n">
        <x:v>275</x:v>
      </x:c>
      <x:c r="E132" s="29" t="n">
        <x:v>5</x:v>
      </x:c>
      <x:c r="F132" s="29" t="str">
        <x:v>NOT_RUN</x:v>
      </x:c>
      <x:c r="G132" s="29" t="str">
        <x:v>NOT_RUN</x:v>
      </x:c>
      <x:c r="H132" s="29" t="str">
        <x:v>NOT_RUN</x:v>
      </x:c>
      <x:c r="I132" s="29" t="str">
        <x:v>NOT_RUN</x:v>
      </x:c>
      <x:c r="J132" s="29" t="str">
        <x:v>NOT_RUN</x:v>
      </x:c>
      <x:c r="K132" s="29" t="str">
        <x:v>NOT_RUN</x:v>
      </x:c>
      <x:c r="L132" s="29" t="str"/>
      <x:c r="M132" s="29" t="str"/>
      <x:c r="N132" s="29" t="str"/>
      <x:c r="O132" s="29" t="str">
        <x:f>IF(COUNTIF(F132:K132,"NOT_RUN")=6,"NOT_RUN",IF(AND(COUNTIF(F132:K132,"PASS")=6,L132&lt;&gt;"",M132&lt;&gt;"",N132&lt;&gt;""),"PASS","HOLD"))</x:f>
        <x:v>NOT_RUN</x:v>
      </x:c>
    </x:row>
    <x:row r="133">
      <x:c r="A133" s="29" t="str">
        <x:v>DIO-EVT-022</x:v>
      </x:c>
      <x:c r="B133" s="29" t="str">
        <x:v>LOT-2</x:v>
      </x:c>
      <x:c r="C133" s="29" t="str">
        <x:v>H-MIC3</x:v>
      </x:c>
      <x:c r="D133" s="29" t="n">
        <x:v>275</x:v>
      </x:c>
      <x:c r="E133" s="29" t="n">
        <x:v>5</x:v>
      </x:c>
      <x:c r="F133" s="29" t="str">
        <x:v>NOT_RUN</x:v>
      </x:c>
      <x:c r="G133" s="29" t="str">
        <x:v>NOT_RUN</x:v>
      </x:c>
      <x:c r="H133" s="29" t="str">
        <x:v>NOT_RUN</x:v>
      </x:c>
      <x:c r="I133" s="29" t="str">
        <x:v>NOT_RUN</x:v>
      </x:c>
      <x:c r="J133" s="29" t="str">
        <x:v>NOT_RUN</x:v>
      </x:c>
      <x:c r="K133" s="29" t="str">
        <x:v>NOT_RUN</x:v>
      </x:c>
      <x:c r="L133" s="29" t="str"/>
      <x:c r="M133" s="29" t="str"/>
      <x:c r="N133" s="29" t="str"/>
      <x:c r="O133" s="29" t="str">
        <x:f>IF(COUNTIF(F133:K133,"NOT_RUN")=6,"NOT_RUN",IF(AND(COUNTIF(F133:K133,"PASS")=6,L133&lt;&gt;"",M133&lt;&gt;"",N133&lt;&gt;""),"PASS","HOLD"))</x:f>
        <x:v>NOT_RUN</x:v>
      </x:c>
    </x:row>
    <x:row r="134">
      <x:c r="A134" s="29" t="str">
        <x:v>DIO-EVT-022</x:v>
      </x:c>
      <x:c r="B134" s="29" t="str">
        <x:v>LOT-2</x:v>
      </x:c>
      <x:c r="C134" s="29" t="str">
        <x:v>H-MIC4</x:v>
      </x:c>
      <x:c r="D134" s="29" t="n">
        <x:v>275</x:v>
      </x:c>
      <x:c r="E134" s="29" t="n">
        <x:v>5</x:v>
      </x:c>
      <x:c r="F134" s="29" t="str">
        <x:v>NOT_RUN</x:v>
      </x:c>
      <x:c r="G134" s="29" t="str">
        <x:v>NOT_RUN</x:v>
      </x:c>
      <x:c r="H134" s="29" t="str">
        <x:v>NOT_RUN</x:v>
      </x:c>
      <x:c r="I134" s="29" t="str">
        <x:v>NOT_RUN</x:v>
      </x:c>
      <x:c r="J134" s="29" t="str">
        <x:v>NOT_RUN</x:v>
      </x:c>
      <x:c r="K134" s="29" t="str">
        <x:v>NOT_RUN</x:v>
      </x:c>
      <x:c r="L134" s="29" t="str"/>
      <x:c r="M134" s="29" t="str"/>
      <x:c r="N134" s="29" t="str"/>
      <x:c r="O134" s="29" t="str">
        <x:f>IF(COUNTIF(F134:K134,"NOT_RUN")=6,"NOT_RUN",IF(AND(COUNTIF(F134:K134,"PASS")=6,L134&lt;&gt;"",M134&lt;&gt;"",N134&lt;&gt;""),"PASS","HOLD"))</x:f>
        <x:v>NOT_RUN</x:v>
      </x:c>
    </x:row>
    <x:row r="135">
      <x:c r="A135" s="29" t="str">
        <x:v>DIO-EVT-022</x:v>
      </x:c>
      <x:c r="B135" s="29" t="str">
        <x:v>LOT-2</x:v>
      </x:c>
      <x:c r="C135" s="29" t="str">
        <x:v>H-MAIN-PWR</x:v>
      </x:c>
      <x:c r="D135" s="29" t="n">
        <x:v>440</x:v>
      </x:c>
      <x:c r="E135" s="29" t="n">
        <x:v>5</x:v>
      </x:c>
      <x:c r="F135" s="29" t="str">
        <x:v>NOT_RUN</x:v>
      </x:c>
      <x:c r="G135" s="29" t="str">
        <x:v>NOT_RUN</x:v>
      </x:c>
      <x:c r="H135" s="29" t="str">
        <x:v>NOT_RUN</x:v>
      </x:c>
      <x:c r="I135" s="29" t="str">
        <x:v>NOT_RUN</x:v>
      </x:c>
      <x:c r="J135" s="29" t="str">
        <x:v>NOT_RUN</x:v>
      </x:c>
      <x:c r="K135" s="29" t="str">
        <x:v>NOT_RUN</x:v>
      </x:c>
      <x:c r="L135" s="29" t="str"/>
      <x:c r="M135" s="29" t="str"/>
      <x:c r="N135" s="29" t="str"/>
      <x:c r="O135" s="29" t="str">
        <x:f>IF(COUNTIF(F135:K135,"NOT_RUN")=6,"NOT_RUN",IF(AND(COUNTIF(F135:K135,"PASS")=6,L135&lt;&gt;"",M135&lt;&gt;"",N135&lt;&gt;""),"PASS","HOLD"))</x:f>
        <x:v>NOT_RUN</x:v>
      </x:c>
    </x:row>
    <x:row r="136">
      <x:c r="A136" s="29" t="str">
        <x:v>DIO-EVT-022</x:v>
      </x:c>
      <x:c r="B136" s="29" t="str">
        <x:v>LOT-2</x:v>
      </x:c>
      <x:c r="C136" s="29" t="str">
        <x:v>H-BAT-PWR</x:v>
      </x:c>
      <x:c r="D136" s="29" t="n">
        <x:v>330</x:v>
      </x:c>
      <x:c r="E136" s="29" t="n">
        <x:v>5</x:v>
      </x:c>
      <x:c r="F136" s="29" t="str">
        <x:v>NOT_RUN</x:v>
      </x:c>
      <x:c r="G136" s="29" t="str">
        <x:v>NOT_RUN</x:v>
      </x:c>
      <x:c r="H136" s="29" t="str">
        <x:v>NOT_RUN</x:v>
      </x:c>
      <x:c r="I136" s="29" t="str">
        <x:v>NOT_RUN</x:v>
      </x:c>
      <x:c r="J136" s="29" t="str">
        <x:v>NOT_RUN</x:v>
      </x:c>
      <x:c r="K136" s="29" t="str">
        <x:v>NOT_RUN</x:v>
      </x:c>
      <x:c r="L136" s="29" t="str"/>
      <x:c r="M136" s="29" t="str"/>
      <x:c r="N136" s="29" t="str"/>
      <x:c r="O136" s="29" t="str">
        <x:f>IF(COUNTIF(F136:K136,"NOT_RUN")=6,"NOT_RUN",IF(AND(COUNTIF(F136:K136,"PASS")=6,L136&lt;&gt;"",M136&lt;&gt;"",N136&lt;&gt;""),"PASS","HOLD"))</x:f>
        <x:v>NOT_RUN</x:v>
      </x:c>
    </x:row>
    <x:row r="137">
      <x:c r="A137" s="29" t="str">
        <x:v>DIO-EVT-023</x:v>
      </x:c>
      <x:c r="B137" s="29" t="str">
        <x:v>LOT-2</x:v>
      </x:c>
      <x:c r="C137" s="29" t="str">
        <x:v>H-MIC1</x:v>
      </x:c>
      <x:c r="D137" s="29" t="n">
        <x:v>275</x:v>
      </x:c>
      <x:c r="E137" s="29" t="n">
        <x:v>5</x:v>
      </x:c>
      <x:c r="F137" s="29" t="str">
        <x:v>NOT_RUN</x:v>
      </x:c>
      <x:c r="G137" s="29" t="str">
        <x:v>NOT_RUN</x:v>
      </x:c>
      <x:c r="H137" s="29" t="str">
        <x:v>NOT_RUN</x:v>
      </x:c>
      <x:c r="I137" s="29" t="str">
        <x:v>NOT_RUN</x:v>
      </x:c>
      <x:c r="J137" s="29" t="str">
        <x:v>NOT_RUN</x:v>
      </x:c>
      <x:c r="K137" s="29" t="str">
        <x:v>NOT_RUN</x:v>
      </x:c>
      <x:c r="L137" s="29" t="str"/>
      <x:c r="M137" s="29" t="str"/>
      <x:c r="N137" s="29" t="str"/>
      <x:c r="O137" s="29" t="str">
        <x:f>IF(COUNTIF(F137:K137,"NOT_RUN")=6,"NOT_RUN",IF(AND(COUNTIF(F137:K137,"PASS")=6,L137&lt;&gt;"",M137&lt;&gt;"",N137&lt;&gt;""),"PASS","HOLD"))</x:f>
        <x:v>NOT_RUN</x:v>
      </x:c>
    </x:row>
    <x:row r="138">
      <x:c r="A138" s="29" t="str">
        <x:v>DIO-EVT-023</x:v>
      </x:c>
      <x:c r="B138" s="29" t="str">
        <x:v>LOT-2</x:v>
      </x:c>
      <x:c r="C138" s="29" t="str">
        <x:v>H-MIC2</x:v>
      </x:c>
      <x:c r="D138" s="29" t="n">
        <x:v>275</x:v>
      </x:c>
      <x:c r="E138" s="29" t="n">
        <x:v>5</x:v>
      </x:c>
      <x:c r="F138" s="29" t="str">
        <x:v>NOT_RUN</x:v>
      </x:c>
      <x:c r="G138" s="29" t="str">
        <x:v>NOT_RUN</x:v>
      </x:c>
      <x:c r="H138" s="29" t="str">
        <x:v>NOT_RUN</x:v>
      </x:c>
      <x:c r="I138" s="29" t="str">
        <x:v>NOT_RUN</x:v>
      </x:c>
      <x:c r="J138" s="29" t="str">
        <x:v>NOT_RUN</x:v>
      </x:c>
      <x:c r="K138" s="29" t="str">
        <x:v>NOT_RUN</x:v>
      </x:c>
      <x:c r="L138" s="29" t="str"/>
      <x:c r="M138" s="29" t="str"/>
      <x:c r="N138" s="29" t="str"/>
      <x:c r="O138" s="29" t="str">
        <x:f>IF(COUNTIF(F138:K138,"NOT_RUN")=6,"NOT_RUN",IF(AND(COUNTIF(F138:K138,"PASS")=6,L138&lt;&gt;"",M138&lt;&gt;"",N138&lt;&gt;""),"PASS","HOLD"))</x:f>
        <x:v>NOT_RUN</x:v>
      </x:c>
    </x:row>
    <x:row r="139">
      <x:c r="A139" s="29" t="str">
        <x:v>DIO-EVT-023</x:v>
      </x:c>
      <x:c r="B139" s="29" t="str">
        <x:v>LOT-2</x:v>
      </x:c>
      <x:c r="C139" s="29" t="str">
        <x:v>H-MIC3</x:v>
      </x:c>
      <x:c r="D139" s="29" t="n">
        <x:v>275</x:v>
      </x:c>
      <x:c r="E139" s="29" t="n">
        <x:v>5</x:v>
      </x:c>
      <x:c r="F139" s="29" t="str">
        <x:v>NOT_RUN</x:v>
      </x:c>
      <x:c r="G139" s="29" t="str">
        <x:v>NOT_RUN</x:v>
      </x:c>
      <x:c r="H139" s="29" t="str">
        <x:v>NOT_RUN</x:v>
      </x:c>
      <x:c r="I139" s="29" t="str">
        <x:v>NOT_RUN</x:v>
      </x:c>
      <x:c r="J139" s="29" t="str">
        <x:v>NOT_RUN</x:v>
      </x:c>
      <x:c r="K139" s="29" t="str">
        <x:v>NOT_RUN</x:v>
      </x:c>
      <x:c r="L139" s="29" t="str"/>
      <x:c r="M139" s="29" t="str"/>
      <x:c r="N139" s="29" t="str"/>
      <x:c r="O139" s="29" t="str">
        <x:f>IF(COUNTIF(F139:K139,"NOT_RUN")=6,"NOT_RUN",IF(AND(COUNTIF(F139:K139,"PASS")=6,L139&lt;&gt;"",M139&lt;&gt;"",N139&lt;&gt;""),"PASS","HOLD"))</x:f>
        <x:v>NOT_RUN</x:v>
      </x:c>
    </x:row>
    <x:row r="140">
      <x:c r="A140" s="29" t="str">
        <x:v>DIO-EVT-023</x:v>
      </x:c>
      <x:c r="B140" s="29" t="str">
        <x:v>LOT-2</x:v>
      </x:c>
      <x:c r="C140" s="29" t="str">
        <x:v>H-MIC4</x:v>
      </x:c>
      <x:c r="D140" s="29" t="n">
        <x:v>275</x:v>
      </x:c>
      <x:c r="E140" s="29" t="n">
        <x:v>5</x:v>
      </x:c>
      <x:c r="F140" s="29" t="str">
        <x:v>NOT_RUN</x:v>
      </x:c>
      <x:c r="G140" s="29" t="str">
        <x:v>NOT_RUN</x:v>
      </x:c>
      <x:c r="H140" s="29" t="str">
        <x:v>NOT_RUN</x:v>
      </x:c>
      <x:c r="I140" s="29" t="str">
        <x:v>NOT_RUN</x:v>
      </x:c>
      <x:c r="J140" s="29" t="str">
        <x:v>NOT_RUN</x:v>
      </x:c>
      <x:c r="K140" s="29" t="str">
        <x:v>NOT_RUN</x:v>
      </x:c>
      <x:c r="L140" s="29" t="str"/>
      <x:c r="M140" s="29" t="str"/>
      <x:c r="N140" s="29" t="str"/>
      <x:c r="O140" s="29" t="str">
        <x:f>IF(COUNTIF(F140:K140,"NOT_RUN")=6,"NOT_RUN",IF(AND(COUNTIF(F140:K140,"PASS")=6,L140&lt;&gt;"",M140&lt;&gt;"",N140&lt;&gt;""),"PASS","HOLD"))</x:f>
        <x:v>NOT_RUN</x:v>
      </x:c>
    </x:row>
    <x:row r="141">
      <x:c r="A141" s="29" t="str">
        <x:v>DIO-EVT-023</x:v>
      </x:c>
      <x:c r="B141" s="29" t="str">
        <x:v>LOT-2</x:v>
      </x:c>
      <x:c r="C141" s="29" t="str">
        <x:v>H-MAIN-PWR</x:v>
      </x:c>
      <x:c r="D141" s="29" t="n">
        <x:v>440</x:v>
      </x:c>
      <x:c r="E141" s="29" t="n">
        <x:v>5</x:v>
      </x:c>
      <x:c r="F141" s="29" t="str">
        <x:v>NOT_RUN</x:v>
      </x:c>
      <x:c r="G141" s="29" t="str">
        <x:v>NOT_RUN</x:v>
      </x:c>
      <x:c r="H141" s="29" t="str">
        <x:v>NOT_RUN</x:v>
      </x:c>
      <x:c r="I141" s="29" t="str">
        <x:v>NOT_RUN</x:v>
      </x:c>
      <x:c r="J141" s="29" t="str">
        <x:v>NOT_RUN</x:v>
      </x:c>
      <x:c r="K141" s="29" t="str">
        <x:v>NOT_RUN</x:v>
      </x:c>
      <x:c r="L141" s="29" t="str"/>
      <x:c r="M141" s="29" t="str"/>
      <x:c r="N141" s="29" t="str"/>
      <x:c r="O141" s="29" t="str">
        <x:f>IF(COUNTIF(F141:K141,"NOT_RUN")=6,"NOT_RUN",IF(AND(COUNTIF(F141:K141,"PASS")=6,L141&lt;&gt;"",M141&lt;&gt;"",N141&lt;&gt;""),"PASS","HOLD"))</x:f>
        <x:v>NOT_RUN</x:v>
      </x:c>
    </x:row>
    <x:row r="142">
      <x:c r="A142" s="29" t="str">
        <x:v>DIO-EVT-023</x:v>
      </x:c>
      <x:c r="B142" s="29" t="str">
        <x:v>LOT-2</x:v>
      </x:c>
      <x:c r="C142" s="29" t="str">
        <x:v>H-BAT-PWR</x:v>
      </x:c>
      <x:c r="D142" s="29" t="n">
        <x:v>330</x:v>
      </x:c>
      <x:c r="E142" s="29" t="n">
        <x:v>5</x:v>
      </x:c>
      <x:c r="F142" s="29" t="str">
        <x:v>NOT_RUN</x:v>
      </x:c>
      <x:c r="G142" s="29" t="str">
        <x:v>NOT_RUN</x:v>
      </x:c>
      <x:c r="H142" s="29" t="str">
        <x:v>NOT_RUN</x:v>
      </x:c>
      <x:c r="I142" s="29" t="str">
        <x:v>NOT_RUN</x:v>
      </x:c>
      <x:c r="J142" s="29" t="str">
        <x:v>NOT_RUN</x:v>
      </x:c>
      <x:c r="K142" s="29" t="str">
        <x:v>NOT_RUN</x:v>
      </x:c>
      <x:c r="L142" s="29" t="str"/>
      <x:c r="M142" s="29" t="str"/>
      <x:c r="N142" s="29" t="str"/>
      <x:c r="O142" s="29" t="str">
        <x:f>IF(COUNTIF(F142:K142,"NOT_RUN")=6,"NOT_RUN",IF(AND(COUNTIF(F142:K142,"PASS")=6,L142&lt;&gt;"",M142&lt;&gt;"",N142&lt;&gt;""),"PASS","HOLD"))</x:f>
        <x:v>NOT_RUN</x:v>
      </x:c>
    </x:row>
    <x:row r="143">
      <x:c r="A143" s="29" t="str">
        <x:v>DIO-EVT-024</x:v>
      </x:c>
      <x:c r="B143" s="29" t="str">
        <x:v>LOT-2</x:v>
      </x:c>
      <x:c r="C143" s="29" t="str">
        <x:v>H-MIC1</x:v>
      </x:c>
      <x:c r="D143" s="29" t="n">
        <x:v>275</x:v>
      </x:c>
      <x:c r="E143" s="29" t="n">
        <x:v>5</x:v>
      </x:c>
      <x:c r="F143" s="29" t="str">
        <x:v>NOT_RUN</x:v>
      </x:c>
      <x:c r="G143" s="29" t="str">
        <x:v>NOT_RUN</x:v>
      </x:c>
      <x:c r="H143" s="29" t="str">
        <x:v>NOT_RUN</x:v>
      </x:c>
      <x:c r="I143" s="29" t="str">
        <x:v>NOT_RUN</x:v>
      </x:c>
      <x:c r="J143" s="29" t="str">
        <x:v>NOT_RUN</x:v>
      </x:c>
      <x:c r="K143" s="29" t="str">
        <x:v>NOT_RUN</x:v>
      </x:c>
      <x:c r="L143" s="29" t="str"/>
      <x:c r="M143" s="29" t="str"/>
      <x:c r="N143" s="29" t="str"/>
      <x:c r="O143" s="29" t="str">
        <x:f>IF(COUNTIF(F143:K143,"NOT_RUN")=6,"NOT_RUN",IF(AND(COUNTIF(F143:K143,"PASS")=6,L143&lt;&gt;"",M143&lt;&gt;"",N143&lt;&gt;""),"PASS","HOLD"))</x:f>
        <x:v>NOT_RUN</x:v>
      </x:c>
    </x:row>
    <x:row r="144">
      <x:c r="A144" s="29" t="str">
        <x:v>DIO-EVT-024</x:v>
      </x:c>
      <x:c r="B144" s="29" t="str">
        <x:v>LOT-2</x:v>
      </x:c>
      <x:c r="C144" s="29" t="str">
        <x:v>H-MIC2</x:v>
      </x:c>
      <x:c r="D144" s="29" t="n">
        <x:v>275</x:v>
      </x:c>
      <x:c r="E144" s="29" t="n">
        <x:v>5</x:v>
      </x:c>
      <x:c r="F144" s="29" t="str">
        <x:v>NOT_RUN</x:v>
      </x:c>
      <x:c r="G144" s="29" t="str">
        <x:v>NOT_RUN</x:v>
      </x:c>
      <x:c r="H144" s="29" t="str">
        <x:v>NOT_RUN</x:v>
      </x:c>
      <x:c r="I144" s="29" t="str">
        <x:v>NOT_RUN</x:v>
      </x:c>
      <x:c r="J144" s="29" t="str">
        <x:v>NOT_RUN</x:v>
      </x:c>
      <x:c r="K144" s="29" t="str">
        <x:v>NOT_RUN</x:v>
      </x:c>
      <x:c r="L144" s="29" t="str"/>
      <x:c r="M144" s="29" t="str"/>
      <x:c r="N144" s="29" t="str"/>
      <x:c r="O144" s="29" t="str">
        <x:f>IF(COUNTIF(F144:K144,"NOT_RUN")=6,"NOT_RUN",IF(AND(COUNTIF(F144:K144,"PASS")=6,L144&lt;&gt;"",M144&lt;&gt;"",N144&lt;&gt;""),"PASS","HOLD"))</x:f>
        <x:v>NOT_RUN</x:v>
      </x:c>
    </x:row>
    <x:row r="145">
      <x:c r="A145" s="29" t="str">
        <x:v>DIO-EVT-024</x:v>
      </x:c>
      <x:c r="B145" s="29" t="str">
        <x:v>LOT-2</x:v>
      </x:c>
      <x:c r="C145" s="29" t="str">
        <x:v>H-MIC3</x:v>
      </x:c>
      <x:c r="D145" s="29" t="n">
        <x:v>275</x:v>
      </x:c>
      <x:c r="E145" s="29" t="n">
        <x:v>5</x:v>
      </x:c>
      <x:c r="F145" s="29" t="str">
        <x:v>NOT_RUN</x:v>
      </x:c>
      <x:c r="G145" s="29" t="str">
        <x:v>NOT_RUN</x:v>
      </x:c>
      <x:c r="H145" s="29" t="str">
        <x:v>NOT_RUN</x:v>
      </x:c>
      <x:c r="I145" s="29" t="str">
        <x:v>NOT_RUN</x:v>
      </x:c>
      <x:c r="J145" s="29" t="str">
        <x:v>NOT_RUN</x:v>
      </x:c>
      <x:c r="K145" s="29" t="str">
        <x:v>NOT_RUN</x:v>
      </x:c>
      <x:c r="L145" s="29" t="str"/>
      <x:c r="M145" s="29" t="str"/>
      <x:c r="N145" s="29" t="str"/>
      <x:c r="O145" s="29" t="str">
        <x:f>IF(COUNTIF(F145:K145,"NOT_RUN")=6,"NOT_RUN",IF(AND(COUNTIF(F145:K145,"PASS")=6,L145&lt;&gt;"",M145&lt;&gt;"",N145&lt;&gt;""),"PASS","HOLD"))</x:f>
        <x:v>NOT_RUN</x:v>
      </x:c>
    </x:row>
    <x:row r="146">
      <x:c r="A146" s="29" t="str">
        <x:v>DIO-EVT-024</x:v>
      </x:c>
      <x:c r="B146" s="29" t="str">
        <x:v>LOT-2</x:v>
      </x:c>
      <x:c r="C146" s="29" t="str">
        <x:v>H-MIC4</x:v>
      </x:c>
      <x:c r="D146" s="29" t="n">
        <x:v>275</x:v>
      </x:c>
      <x:c r="E146" s="29" t="n">
        <x:v>5</x:v>
      </x:c>
      <x:c r="F146" s="29" t="str">
        <x:v>NOT_RUN</x:v>
      </x:c>
      <x:c r="G146" s="29" t="str">
        <x:v>NOT_RUN</x:v>
      </x:c>
      <x:c r="H146" s="29" t="str">
        <x:v>NOT_RUN</x:v>
      </x:c>
      <x:c r="I146" s="29" t="str">
        <x:v>NOT_RUN</x:v>
      </x:c>
      <x:c r="J146" s="29" t="str">
        <x:v>NOT_RUN</x:v>
      </x:c>
      <x:c r="K146" s="29" t="str">
        <x:v>NOT_RUN</x:v>
      </x:c>
      <x:c r="L146" s="29" t="str"/>
      <x:c r="M146" s="29" t="str"/>
      <x:c r="N146" s="29" t="str"/>
      <x:c r="O146" s="29" t="str">
        <x:f>IF(COUNTIF(F146:K146,"NOT_RUN")=6,"NOT_RUN",IF(AND(COUNTIF(F146:K146,"PASS")=6,L146&lt;&gt;"",M146&lt;&gt;"",N146&lt;&gt;""),"PASS","HOLD"))</x:f>
        <x:v>NOT_RUN</x:v>
      </x:c>
    </x:row>
    <x:row r="147">
      <x:c r="A147" s="29" t="str">
        <x:v>DIO-EVT-024</x:v>
      </x:c>
      <x:c r="B147" s="29" t="str">
        <x:v>LOT-2</x:v>
      </x:c>
      <x:c r="C147" s="29" t="str">
        <x:v>H-MAIN-PWR</x:v>
      </x:c>
      <x:c r="D147" s="29" t="n">
        <x:v>440</x:v>
      </x:c>
      <x:c r="E147" s="29" t="n">
        <x:v>5</x:v>
      </x:c>
      <x:c r="F147" s="29" t="str">
        <x:v>NOT_RUN</x:v>
      </x:c>
      <x:c r="G147" s="29" t="str">
        <x:v>NOT_RUN</x:v>
      </x:c>
      <x:c r="H147" s="29" t="str">
        <x:v>NOT_RUN</x:v>
      </x:c>
      <x:c r="I147" s="29" t="str">
        <x:v>NOT_RUN</x:v>
      </x:c>
      <x:c r="J147" s="29" t="str">
        <x:v>NOT_RUN</x:v>
      </x:c>
      <x:c r="K147" s="29" t="str">
        <x:v>NOT_RUN</x:v>
      </x:c>
      <x:c r="L147" s="29" t="str"/>
      <x:c r="M147" s="29" t="str"/>
      <x:c r="N147" s="29" t="str"/>
      <x:c r="O147" s="29" t="str">
        <x:f>IF(COUNTIF(F147:K147,"NOT_RUN")=6,"NOT_RUN",IF(AND(COUNTIF(F147:K147,"PASS")=6,L147&lt;&gt;"",M147&lt;&gt;"",N147&lt;&gt;""),"PASS","HOLD"))</x:f>
        <x:v>NOT_RUN</x:v>
      </x:c>
    </x:row>
    <x:row r="148">
      <x:c r="A148" s="29" t="str">
        <x:v>DIO-EVT-024</x:v>
      </x:c>
      <x:c r="B148" s="29" t="str">
        <x:v>LOT-2</x:v>
      </x:c>
      <x:c r="C148" s="29" t="str">
        <x:v>H-BAT-PWR</x:v>
      </x:c>
      <x:c r="D148" s="29" t="n">
        <x:v>330</x:v>
      </x:c>
      <x:c r="E148" s="29" t="n">
        <x:v>5</x:v>
      </x:c>
      <x:c r="F148" s="29" t="str">
        <x:v>NOT_RUN</x:v>
      </x:c>
      <x:c r="G148" s="29" t="str">
        <x:v>NOT_RUN</x:v>
      </x:c>
      <x:c r="H148" s="29" t="str">
        <x:v>NOT_RUN</x:v>
      </x:c>
      <x:c r="I148" s="29" t="str">
        <x:v>NOT_RUN</x:v>
      </x:c>
      <x:c r="J148" s="29" t="str">
        <x:v>NOT_RUN</x:v>
      </x:c>
      <x:c r="K148" s="29" t="str">
        <x:v>NOT_RUN</x:v>
      </x:c>
      <x:c r="L148" s="29" t="str"/>
      <x:c r="M148" s="29" t="str"/>
      <x:c r="N148" s="29" t="str"/>
      <x:c r="O148" s="29" t="str">
        <x:f>IF(COUNTIF(F148:K148,"NOT_RUN")=6,"NOT_RUN",IF(AND(COUNTIF(F148:K148,"PASS")=6,L148&lt;&gt;"",M148&lt;&gt;"",N148&lt;&gt;""),"PASS","HOLD"))</x:f>
        <x:v>NOT_RUN</x:v>
      </x:c>
    </x:row>
    <x:row r="149">
      <x:c r="A149" s="29" t="str">
        <x:v>DIO-EVT-025</x:v>
      </x:c>
      <x:c r="B149" s="29" t="str">
        <x:v>LOT-2</x:v>
      </x:c>
      <x:c r="C149" s="29" t="str">
        <x:v>H-MIC1</x:v>
      </x:c>
      <x:c r="D149" s="29" t="n">
        <x:v>275</x:v>
      </x:c>
      <x:c r="E149" s="29" t="n">
        <x:v>5</x:v>
      </x:c>
      <x:c r="F149" s="29" t="str">
        <x:v>NOT_RUN</x:v>
      </x:c>
      <x:c r="G149" s="29" t="str">
        <x:v>NOT_RUN</x:v>
      </x:c>
      <x:c r="H149" s="29" t="str">
        <x:v>NOT_RUN</x:v>
      </x:c>
      <x:c r="I149" s="29" t="str">
        <x:v>NOT_RUN</x:v>
      </x:c>
      <x:c r="J149" s="29" t="str">
        <x:v>NOT_RUN</x:v>
      </x:c>
      <x:c r="K149" s="29" t="str">
        <x:v>NOT_RUN</x:v>
      </x:c>
      <x:c r="L149" s="29" t="str"/>
      <x:c r="M149" s="29" t="str"/>
      <x:c r="N149" s="29" t="str"/>
      <x:c r="O149" s="29" t="str">
        <x:f>IF(COUNTIF(F149:K149,"NOT_RUN")=6,"NOT_RUN",IF(AND(COUNTIF(F149:K149,"PASS")=6,L149&lt;&gt;"",M149&lt;&gt;"",N149&lt;&gt;""),"PASS","HOLD"))</x:f>
        <x:v>NOT_RUN</x:v>
      </x:c>
    </x:row>
    <x:row r="150">
      <x:c r="A150" s="29" t="str">
        <x:v>DIO-EVT-025</x:v>
      </x:c>
      <x:c r="B150" s="29" t="str">
        <x:v>LOT-2</x:v>
      </x:c>
      <x:c r="C150" s="29" t="str">
        <x:v>H-MIC2</x:v>
      </x:c>
      <x:c r="D150" s="29" t="n">
        <x:v>275</x:v>
      </x:c>
      <x:c r="E150" s="29" t="n">
        <x:v>5</x:v>
      </x:c>
      <x:c r="F150" s="29" t="str">
        <x:v>NOT_RUN</x:v>
      </x:c>
      <x:c r="G150" s="29" t="str">
        <x:v>NOT_RUN</x:v>
      </x:c>
      <x:c r="H150" s="29" t="str">
        <x:v>NOT_RUN</x:v>
      </x:c>
      <x:c r="I150" s="29" t="str">
        <x:v>NOT_RUN</x:v>
      </x:c>
      <x:c r="J150" s="29" t="str">
        <x:v>NOT_RUN</x:v>
      </x:c>
      <x:c r="K150" s="29" t="str">
        <x:v>NOT_RUN</x:v>
      </x:c>
      <x:c r="L150" s="29" t="str"/>
      <x:c r="M150" s="29" t="str"/>
      <x:c r="N150" s="29" t="str"/>
      <x:c r="O150" s="29" t="str">
        <x:f>IF(COUNTIF(F150:K150,"NOT_RUN")=6,"NOT_RUN",IF(AND(COUNTIF(F150:K150,"PASS")=6,L150&lt;&gt;"",M150&lt;&gt;"",N150&lt;&gt;""),"PASS","HOLD"))</x:f>
        <x:v>NOT_RUN</x:v>
      </x:c>
    </x:row>
    <x:row r="151">
      <x:c r="A151" s="29" t="str">
        <x:v>DIO-EVT-025</x:v>
      </x:c>
      <x:c r="B151" s="29" t="str">
        <x:v>LOT-2</x:v>
      </x:c>
      <x:c r="C151" s="29" t="str">
        <x:v>H-MIC3</x:v>
      </x:c>
      <x:c r="D151" s="29" t="n">
        <x:v>275</x:v>
      </x:c>
      <x:c r="E151" s="29" t="n">
        <x:v>5</x:v>
      </x:c>
      <x:c r="F151" s="29" t="str">
        <x:v>NOT_RUN</x:v>
      </x:c>
      <x:c r="G151" s="29" t="str">
        <x:v>NOT_RUN</x:v>
      </x:c>
      <x:c r="H151" s="29" t="str">
        <x:v>NOT_RUN</x:v>
      </x:c>
      <x:c r="I151" s="29" t="str">
        <x:v>NOT_RUN</x:v>
      </x:c>
      <x:c r="J151" s="29" t="str">
        <x:v>NOT_RUN</x:v>
      </x:c>
      <x:c r="K151" s="29" t="str">
        <x:v>NOT_RUN</x:v>
      </x:c>
      <x:c r="L151" s="29" t="str"/>
      <x:c r="M151" s="29" t="str"/>
      <x:c r="N151" s="29" t="str"/>
      <x:c r="O151" s="29" t="str">
        <x:f>IF(COUNTIF(F151:K151,"NOT_RUN")=6,"NOT_RUN",IF(AND(COUNTIF(F151:K151,"PASS")=6,L151&lt;&gt;"",M151&lt;&gt;"",N151&lt;&gt;""),"PASS","HOLD"))</x:f>
        <x:v>NOT_RUN</x:v>
      </x:c>
    </x:row>
    <x:row r="152">
      <x:c r="A152" s="29" t="str">
        <x:v>DIO-EVT-025</x:v>
      </x:c>
      <x:c r="B152" s="29" t="str">
        <x:v>LOT-2</x:v>
      </x:c>
      <x:c r="C152" s="29" t="str">
        <x:v>H-MIC4</x:v>
      </x:c>
      <x:c r="D152" s="29" t="n">
        <x:v>275</x:v>
      </x:c>
      <x:c r="E152" s="29" t="n">
        <x:v>5</x:v>
      </x:c>
      <x:c r="F152" s="29" t="str">
        <x:v>NOT_RUN</x:v>
      </x:c>
      <x:c r="G152" s="29" t="str">
        <x:v>NOT_RUN</x:v>
      </x:c>
      <x:c r="H152" s="29" t="str">
        <x:v>NOT_RUN</x:v>
      </x:c>
      <x:c r="I152" s="29" t="str">
        <x:v>NOT_RUN</x:v>
      </x:c>
      <x:c r="J152" s="29" t="str">
        <x:v>NOT_RUN</x:v>
      </x:c>
      <x:c r="K152" s="29" t="str">
        <x:v>NOT_RUN</x:v>
      </x:c>
      <x:c r="L152" s="29" t="str"/>
      <x:c r="M152" s="29" t="str"/>
      <x:c r="N152" s="29" t="str"/>
      <x:c r="O152" s="29" t="str">
        <x:f>IF(COUNTIF(F152:K152,"NOT_RUN")=6,"NOT_RUN",IF(AND(COUNTIF(F152:K152,"PASS")=6,L152&lt;&gt;"",M152&lt;&gt;"",N152&lt;&gt;""),"PASS","HOLD"))</x:f>
        <x:v>NOT_RUN</x:v>
      </x:c>
    </x:row>
    <x:row r="153">
      <x:c r="A153" s="29" t="str">
        <x:v>DIO-EVT-025</x:v>
      </x:c>
      <x:c r="B153" s="29" t="str">
        <x:v>LOT-2</x:v>
      </x:c>
      <x:c r="C153" s="29" t="str">
        <x:v>H-MAIN-PWR</x:v>
      </x:c>
      <x:c r="D153" s="29" t="n">
        <x:v>440</x:v>
      </x:c>
      <x:c r="E153" s="29" t="n">
        <x:v>5</x:v>
      </x:c>
      <x:c r="F153" s="29" t="str">
        <x:v>NOT_RUN</x:v>
      </x:c>
      <x:c r="G153" s="29" t="str">
        <x:v>NOT_RUN</x:v>
      </x:c>
      <x:c r="H153" s="29" t="str">
        <x:v>NOT_RUN</x:v>
      </x:c>
      <x:c r="I153" s="29" t="str">
        <x:v>NOT_RUN</x:v>
      </x:c>
      <x:c r="J153" s="29" t="str">
        <x:v>NOT_RUN</x:v>
      </x:c>
      <x:c r="K153" s="29" t="str">
        <x:v>NOT_RUN</x:v>
      </x:c>
      <x:c r="L153" s="29" t="str"/>
      <x:c r="M153" s="29" t="str"/>
      <x:c r="N153" s="29" t="str"/>
      <x:c r="O153" s="29" t="str">
        <x:f>IF(COUNTIF(F153:K153,"NOT_RUN")=6,"NOT_RUN",IF(AND(COUNTIF(F153:K153,"PASS")=6,L153&lt;&gt;"",M153&lt;&gt;"",N153&lt;&gt;""),"PASS","HOLD"))</x:f>
        <x:v>NOT_RUN</x:v>
      </x:c>
    </x:row>
    <x:row r="154">
      <x:c r="A154" s="29" t="str">
        <x:v>DIO-EVT-025</x:v>
      </x:c>
      <x:c r="B154" s="29" t="str">
        <x:v>LOT-2</x:v>
      </x:c>
      <x:c r="C154" s="29" t="str">
        <x:v>H-BAT-PWR</x:v>
      </x:c>
      <x:c r="D154" s="29" t="n">
        <x:v>330</x:v>
      </x:c>
      <x:c r="E154" s="29" t="n">
        <x:v>5</x:v>
      </x:c>
      <x:c r="F154" s="29" t="str">
        <x:v>NOT_RUN</x:v>
      </x:c>
      <x:c r="G154" s="29" t="str">
        <x:v>NOT_RUN</x:v>
      </x:c>
      <x:c r="H154" s="29" t="str">
        <x:v>NOT_RUN</x:v>
      </x:c>
      <x:c r="I154" s="29" t="str">
        <x:v>NOT_RUN</x:v>
      </x:c>
      <x:c r="J154" s="29" t="str">
        <x:v>NOT_RUN</x:v>
      </x:c>
      <x:c r="K154" s="29" t="str">
        <x:v>NOT_RUN</x:v>
      </x:c>
      <x:c r="L154" s="29" t="str"/>
      <x:c r="M154" s="29" t="str"/>
      <x:c r="N154" s="29" t="str"/>
      <x:c r="O154" s="29" t="str">
        <x:f>IF(COUNTIF(F154:K154,"NOT_RUN")=6,"NOT_RUN",IF(AND(COUNTIF(F154:K154,"PASS")=6,L154&lt;&gt;"",M154&lt;&gt;"",N154&lt;&gt;""),"PASS","HOLD"))</x:f>
        <x:v>NOT_RUN</x:v>
      </x:c>
    </x:row>
    <x:row r="155">
      <x:c r="A155" s="29" t="str">
        <x:v>DIO-EVT-026</x:v>
      </x:c>
      <x:c r="B155" s="29" t="str">
        <x:v>LOT-2</x:v>
      </x:c>
      <x:c r="C155" s="29" t="str">
        <x:v>H-MIC1</x:v>
      </x:c>
      <x:c r="D155" s="29" t="n">
        <x:v>275</x:v>
      </x:c>
      <x:c r="E155" s="29" t="n">
        <x:v>5</x:v>
      </x:c>
      <x:c r="F155" s="29" t="str">
        <x:v>NOT_RUN</x:v>
      </x:c>
      <x:c r="G155" s="29" t="str">
        <x:v>NOT_RUN</x:v>
      </x:c>
      <x:c r="H155" s="29" t="str">
        <x:v>NOT_RUN</x:v>
      </x:c>
      <x:c r="I155" s="29" t="str">
        <x:v>NOT_RUN</x:v>
      </x:c>
      <x:c r="J155" s="29" t="str">
        <x:v>NOT_RUN</x:v>
      </x:c>
      <x:c r="K155" s="29" t="str">
        <x:v>NOT_RUN</x:v>
      </x:c>
      <x:c r="L155" s="29" t="str"/>
      <x:c r="M155" s="29" t="str"/>
      <x:c r="N155" s="29" t="str"/>
      <x:c r="O155" s="29" t="str">
        <x:f>IF(COUNTIF(F155:K155,"NOT_RUN")=6,"NOT_RUN",IF(AND(COUNTIF(F155:K155,"PASS")=6,L155&lt;&gt;"",M155&lt;&gt;"",N155&lt;&gt;""),"PASS","HOLD"))</x:f>
        <x:v>NOT_RUN</x:v>
      </x:c>
    </x:row>
    <x:row r="156">
      <x:c r="A156" s="29" t="str">
        <x:v>DIO-EVT-026</x:v>
      </x:c>
      <x:c r="B156" s="29" t="str">
        <x:v>LOT-2</x:v>
      </x:c>
      <x:c r="C156" s="29" t="str">
        <x:v>H-MIC2</x:v>
      </x:c>
      <x:c r="D156" s="29" t="n">
        <x:v>275</x:v>
      </x:c>
      <x:c r="E156" s="29" t="n">
        <x:v>5</x:v>
      </x:c>
      <x:c r="F156" s="29" t="str">
        <x:v>NOT_RUN</x:v>
      </x:c>
      <x:c r="G156" s="29" t="str">
        <x:v>NOT_RUN</x:v>
      </x:c>
      <x:c r="H156" s="29" t="str">
        <x:v>NOT_RUN</x:v>
      </x:c>
      <x:c r="I156" s="29" t="str">
        <x:v>NOT_RUN</x:v>
      </x:c>
      <x:c r="J156" s="29" t="str">
        <x:v>NOT_RUN</x:v>
      </x:c>
      <x:c r="K156" s="29" t="str">
        <x:v>NOT_RUN</x:v>
      </x:c>
      <x:c r="L156" s="29" t="str"/>
      <x:c r="M156" s="29" t="str"/>
      <x:c r="N156" s="29" t="str"/>
      <x:c r="O156" s="29" t="str">
        <x:f>IF(COUNTIF(F156:K156,"NOT_RUN")=6,"NOT_RUN",IF(AND(COUNTIF(F156:K156,"PASS")=6,L156&lt;&gt;"",M156&lt;&gt;"",N156&lt;&gt;""),"PASS","HOLD"))</x:f>
        <x:v>NOT_RUN</x:v>
      </x:c>
    </x:row>
    <x:row r="157">
      <x:c r="A157" s="29" t="str">
        <x:v>DIO-EVT-026</x:v>
      </x:c>
      <x:c r="B157" s="29" t="str">
        <x:v>LOT-2</x:v>
      </x:c>
      <x:c r="C157" s="29" t="str">
        <x:v>H-MIC3</x:v>
      </x:c>
      <x:c r="D157" s="29" t="n">
        <x:v>275</x:v>
      </x:c>
      <x:c r="E157" s="29" t="n">
        <x:v>5</x:v>
      </x:c>
      <x:c r="F157" s="29" t="str">
        <x:v>NOT_RUN</x:v>
      </x:c>
      <x:c r="G157" s="29" t="str">
        <x:v>NOT_RUN</x:v>
      </x:c>
      <x:c r="H157" s="29" t="str">
        <x:v>NOT_RUN</x:v>
      </x:c>
      <x:c r="I157" s="29" t="str">
        <x:v>NOT_RUN</x:v>
      </x:c>
      <x:c r="J157" s="29" t="str">
        <x:v>NOT_RUN</x:v>
      </x:c>
      <x:c r="K157" s="29" t="str">
        <x:v>NOT_RUN</x:v>
      </x:c>
      <x:c r="L157" s="29" t="str"/>
      <x:c r="M157" s="29" t="str"/>
      <x:c r="N157" s="29" t="str"/>
      <x:c r="O157" s="29" t="str">
        <x:f>IF(COUNTIF(F157:K157,"NOT_RUN")=6,"NOT_RUN",IF(AND(COUNTIF(F157:K157,"PASS")=6,L157&lt;&gt;"",M157&lt;&gt;"",N157&lt;&gt;""),"PASS","HOLD"))</x:f>
        <x:v>NOT_RUN</x:v>
      </x:c>
    </x:row>
    <x:row r="158">
      <x:c r="A158" s="29" t="str">
        <x:v>DIO-EVT-026</x:v>
      </x:c>
      <x:c r="B158" s="29" t="str">
        <x:v>LOT-2</x:v>
      </x:c>
      <x:c r="C158" s="29" t="str">
        <x:v>H-MIC4</x:v>
      </x:c>
      <x:c r="D158" s="29" t="n">
        <x:v>275</x:v>
      </x:c>
      <x:c r="E158" s="29" t="n">
        <x:v>5</x:v>
      </x:c>
      <x:c r="F158" s="29" t="str">
        <x:v>NOT_RUN</x:v>
      </x:c>
      <x:c r="G158" s="29" t="str">
        <x:v>NOT_RUN</x:v>
      </x:c>
      <x:c r="H158" s="29" t="str">
        <x:v>NOT_RUN</x:v>
      </x:c>
      <x:c r="I158" s="29" t="str">
        <x:v>NOT_RUN</x:v>
      </x:c>
      <x:c r="J158" s="29" t="str">
        <x:v>NOT_RUN</x:v>
      </x:c>
      <x:c r="K158" s="29" t="str">
        <x:v>NOT_RUN</x:v>
      </x:c>
      <x:c r="L158" s="29" t="str"/>
      <x:c r="M158" s="29" t="str"/>
      <x:c r="N158" s="29" t="str"/>
      <x:c r="O158" s="29" t="str">
        <x:f>IF(COUNTIF(F158:K158,"NOT_RUN")=6,"NOT_RUN",IF(AND(COUNTIF(F158:K158,"PASS")=6,L158&lt;&gt;"",M158&lt;&gt;"",N158&lt;&gt;""),"PASS","HOLD"))</x:f>
        <x:v>NOT_RUN</x:v>
      </x:c>
    </x:row>
    <x:row r="159">
      <x:c r="A159" s="29" t="str">
        <x:v>DIO-EVT-026</x:v>
      </x:c>
      <x:c r="B159" s="29" t="str">
        <x:v>LOT-2</x:v>
      </x:c>
      <x:c r="C159" s="29" t="str">
        <x:v>H-MAIN-PWR</x:v>
      </x:c>
      <x:c r="D159" s="29" t="n">
        <x:v>440</x:v>
      </x:c>
      <x:c r="E159" s="29" t="n">
        <x:v>5</x:v>
      </x:c>
      <x:c r="F159" s="29" t="str">
        <x:v>NOT_RUN</x:v>
      </x:c>
      <x:c r="G159" s="29" t="str">
        <x:v>NOT_RUN</x:v>
      </x:c>
      <x:c r="H159" s="29" t="str">
        <x:v>NOT_RUN</x:v>
      </x:c>
      <x:c r="I159" s="29" t="str">
        <x:v>NOT_RUN</x:v>
      </x:c>
      <x:c r="J159" s="29" t="str">
        <x:v>NOT_RUN</x:v>
      </x:c>
      <x:c r="K159" s="29" t="str">
        <x:v>NOT_RUN</x:v>
      </x:c>
      <x:c r="L159" s="29" t="str"/>
      <x:c r="M159" s="29" t="str"/>
      <x:c r="N159" s="29" t="str"/>
      <x:c r="O159" s="29" t="str">
        <x:f>IF(COUNTIF(F159:K159,"NOT_RUN")=6,"NOT_RUN",IF(AND(COUNTIF(F159:K159,"PASS")=6,L159&lt;&gt;"",M159&lt;&gt;"",N159&lt;&gt;""),"PASS","HOLD"))</x:f>
        <x:v>NOT_RUN</x:v>
      </x:c>
    </x:row>
    <x:row r="160">
      <x:c r="A160" s="29" t="str">
        <x:v>DIO-EVT-026</x:v>
      </x:c>
      <x:c r="B160" s="29" t="str">
        <x:v>LOT-2</x:v>
      </x:c>
      <x:c r="C160" s="29" t="str">
        <x:v>H-BAT-PWR</x:v>
      </x:c>
      <x:c r="D160" s="29" t="n">
        <x:v>330</x:v>
      </x:c>
      <x:c r="E160" s="29" t="n">
        <x:v>5</x:v>
      </x:c>
      <x:c r="F160" s="29" t="str">
        <x:v>NOT_RUN</x:v>
      </x:c>
      <x:c r="G160" s="29" t="str">
        <x:v>NOT_RUN</x:v>
      </x:c>
      <x:c r="H160" s="29" t="str">
        <x:v>NOT_RUN</x:v>
      </x:c>
      <x:c r="I160" s="29" t="str">
        <x:v>NOT_RUN</x:v>
      </x:c>
      <x:c r="J160" s="29" t="str">
        <x:v>NOT_RUN</x:v>
      </x:c>
      <x:c r="K160" s="29" t="str">
        <x:v>NOT_RUN</x:v>
      </x:c>
      <x:c r="L160" s="29" t="str"/>
      <x:c r="M160" s="29" t="str"/>
      <x:c r="N160" s="29" t="str"/>
      <x:c r="O160" s="29" t="str">
        <x:f>IF(COUNTIF(F160:K160,"NOT_RUN")=6,"NOT_RUN",IF(AND(COUNTIF(F160:K160,"PASS")=6,L160&lt;&gt;"",M160&lt;&gt;"",N160&lt;&gt;""),"PASS","HOLD"))</x:f>
        <x:v>NOT_RUN</x:v>
      </x:c>
    </x:row>
    <x:row r="161">
      <x:c r="A161" s="29" t="str">
        <x:v>DIO-EVT-027</x:v>
      </x:c>
      <x:c r="B161" s="29" t="str">
        <x:v>LOT-2</x:v>
      </x:c>
      <x:c r="C161" s="29" t="str">
        <x:v>H-MIC1</x:v>
      </x:c>
      <x:c r="D161" s="29" t="n">
        <x:v>275</x:v>
      </x:c>
      <x:c r="E161" s="29" t="n">
        <x:v>5</x:v>
      </x:c>
      <x:c r="F161" s="29" t="str">
        <x:v>NOT_RUN</x:v>
      </x:c>
      <x:c r="G161" s="29" t="str">
        <x:v>NOT_RUN</x:v>
      </x:c>
      <x:c r="H161" s="29" t="str">
        <x:v>NOT_RUN</x:v>
      </x:c>
      <x:c r="I161" s="29" t="str">
        <x:v>NOT_RUN</x:v>
      </x:c>
      <x:c r="J161" s="29" t="str">
        <x:v>NOT_RUN</x:v>
      </x:c>
      <x:c r="K161" s="29" t="str">
        <x:v>NOT_RUN</x:v>
      </x:c>
      <x:c r="L161" s="29" t="str"/>
      <x:c r="M161" s="29" t="str"/>
      <x:c r="N161" s="29" t="str"/>
      <x:c r="O161" s="29" t="str">
        <x:f>IF(COUNTIF(F161:K161,"NOT_RUN")=6,"NOT_RUN",IF(AND(COUNTIF(F161:K161,"PASS")=6,L161&lt;&gt;"",M161&lt;&gt;"",N161&lt;&gt;""),"PASS","HOLD"))</x:f>
        <x:v>NOT_RUN</x:v>
      </x:c>
    </x:row>
    <x:row r="162">
      <x:c r="A162" s="29" t="str">
        <x:v>DIO-EVT-027</x:v>
      </x:c>
      <x:c r="B162" s="29" t="str">
        <x:v>LOT-2</x:v>
      </x:c>
      <x:c r="C162" s="29" t="str">
        <x:v>H-MIC2</x:v>
      </x:c>
      <x:c r="D162" s="29" t="n">
        <x:v>275</x:v>
      </x:c>
      <x:c r="E162" s="29" t="n">
        <x:v>5</x:v>
      </x:c>
      <x:c r="F162" s="29" t="str">
        <x:v>NOT_RUN</x:v>
      </x:c>
      <x:c r="G162" s="29" t="str">
        <x:v>NOT_RUN</x:v>
      </x:c>
      <x:c r="H162" s="29" t="str">
        <x:v>NOT_RUN</x:v>
      </x:c>
      <x:c r="I162" s="29" t="str">
        <x:v>NOT_RUN</x:v>
      </x:c>
      <x:c r="J162" s="29" t="str">
        <x:v>NOT_RUN</x:v>
      </x:c>
      <x:c r="K162" s="29" t="str">
        <x:v>NOT_RUN</x:v>
      </x:c>
      <x:c r="L162" s="29" t="str"/>
      <x:c r="M162" s="29" t="str"/>
      <x:c r="N162" s="29" t="str"/>
      <x:c r="O162" s="29" t="str">
        <x:f>IF(COUNTIF(F162:K162,"NOT_RUN")=6,"NOT_RUN",IF(AND(COUNTIF(F162:K162,"PASS")=6,L162&lt;&gt;"",M162&lt;&gt;"",N162&lt;&gt;""),"PASS","HOLD"))</x:f>
        <x:v>NOT_RUN</x:v>
      </x:c>
    </x:row>
    <x:row r="163">
      <x:c r="A163" s="29" t="str">
        <x:v>DIO-EVT-027</x:v>
      </x:c>
      <x:c r="B163" s="29" t="str">
        <x:v>LOT-2</x:v>
      </x:c>
      <x:c r="C163" s="29" t="str">
        <x:v>H-MIC3</x:v>
      </x:c>
      <x:c r="D163" s="29" t="n">
        <x:v>275</x:v>
      </x:c>
      <x:c r="E163" s="29" t="n">
        <x:v>5</x:v>
      </x:c>
      <x:c r="F163" s="29" t="str">
        <x:v>NOT_RUN</x:v>
      </x:c>
      <x:c r="G163" s="29" t="str">
        <x:v>NOT_RUN</x:v>
      </x:c>
      <x:c r="H163" s="29" t="str">
        <x:v>NOT_RUN</x:v>
      </x:c>
      <x:c r="I163" s="29" t="str">
        <x:v>NOT_RUN</x:v>
      </x:c>
      <x:c r="J163" s="29" t="str">
        <x:v>NOT_RUN</x:v>
      </x:c>
      <x:c r="K163" s="29" t="str">
        <x:v>NOT_RUN</x:v>
      </x:c>
      <x:c r="L163" s="29" t="str"/>
      <x:c r="M163" s="29" t="str"/>
      <x:c r="N163" s="29" t="str"/>
      <x:c r="O163" s="29" t="str">
        <x:f>IF(COUNTIF(F163:K163,"NOT_RUN")=6,"NOT_RUN",IF(AND(COUNTIF(F163:K163,"PASS")=6,L163&lt;&gt;"",M163&lt;&gt;"",N163&lt;&gt;""),"PASS","HOLD"))</x:f>
        <x:v>NOT_RUN</x:v>
      </x:c>
    </x:row>
    <x:row r="164">
      <x:c r="A164" s="29" t="str">
        <x:v>DIO-EVT-027</x:v>
      </x:c>
      <x:c r="B164" s="29" t="str">
        <x:v>LOT-2</x:v>
      </x:c>
      <x:c r="C164" s="29" t="str">
        <x:v>H-MIC4</x:v>
      </x:c>
      <x:c r="D164" s="29" t="n">
        <x:v>275</x:v>
      </x:c>
      <x:c r="E164" s="29" t="n">
        <x:v>5</x:v>
      </x:c>
      <x:c r="F164" s="29" t="str">
        <x:v>NOT_RUN</x:v>
      </x:c>
      <x:c r="G164" s="29" t="str">
        <x:v>NOT_RUN</x:v>
      </x:c>
      <x:c r="H164" s="29" t="str">
        <x:v>NOT_RUN</x:v>
      </x:c>
      <x:c r="I164" s="29" t="str">
        <x:v>NOT_RUN</x:v>
      </x:c>
      <x:c r="J164" s="29" t="str">
        <x:v>NOT_RUN</x:v>
      </x:c>
      <x:c r="K164" s="29" t="str">
        <x:v>NOT_RUN</x:v>
      </x:c>
      <x:c r="L164" s="29" t="str"/>
      <x:c r="M164" s="29" t="str"/>
      <x:c r="N164" s="29" t="str"/>
      <x:c r="O164" s="29" t="str">
        <x:f>IF(COUNTIF(F164:K164,"NOT_RUN")=6,"NOT_RUN",IF(AND(COUNTIF(F164:K164,"PASS")=6,L164&lt;&gt;"",M164&lt;&gt;"",N164&lt;&gt;""),"PASS","HOLD"))</x:f>
        <x:v>NOT_RUN</x:v>
      </x:c>
    </x:row>
    <x:row r="165">
      <x:c r="A165" s="29" t="str">
        <x:v>DIO-EVT-027</x:v>
      </x:c>
      <x:c r="B165" s="29" t="str">
        <x:v>LOT-2</x:v>
      </x:c>
      <x:c r="C165" s="29" t="str">
        <x:v>H-MAIN-PWR</x:v>
      </x:c>
      <x:c r="D165" s="29" t="n">
        <x:v>440</x:v>
      </x:c>
      <x:c r="E165" s="29" t="n">
        <x:v>5</x:v>
      </x:c>
      <x:c r="F165" s="29" t="str">
        <x:v>NOT_RUN</x:v>
      </x:c>
      <x:c r="G165" s="29" t="str">
        <x:v>NOT_RUN</x:v>
      </x:c>
      <x:c r="H165" s="29" t="str">
        <x:v>NOT_RUN</x:v>
      </x:c>
      <x:c r="I165" s="29" t="str">
        <x:v>NOT_RUN</x:v>
      </x:c>
      <x:c r="J165" s="29" t="str">
        <x:v>NOT_RUN</x:v>
      </x:c>
      <x:c r="K165" s="29" t="str">
        <x:v>NOT_RUN</x:v>
      </x:c>
      <x:c r="L165" s="29" t="str"/>
      <x:c r="M165" s="29" t="str"/>
      <x:c r="N165" s="29" t="str"/>
      <x:c r="O165" s="29" t="str">
        <x:f>IF(COUNTIF(F165:K165,"NOT_RUN")=6,"NOT_RUN",IF(AND(COUNTIF(F165:K165,"PASS")=6,L165&lt;&gt;"",M165&lt;&gt;"",N165&lt;&gt;""),"PASS","HOLD"))</x:f>
        <x:v>NOT_RUN</x:v>
      </x:c>
    </x:row>
    <x:row r="166">
      <x:c r="A166" s="29" t="str">
        <x:v>DIO-EVT-027</x:v>
      </x:c>
      <x:c r="B166" s="29" t="str">
        <x:v>LOT-2</x:v>
      </x:c>
      <x:c r="C166" s="29" t="str">
        <x:v>H-BAT-PWR</x:v>
      </x:c>
      <x:c r="D166" s="29" t="n">
        <x:v>330</x:v>
      </x:c>
      <x:c r="E166" s="29" t="n">
        <x:v>5</x:v>
      </x:c>
      <x:c r="F166" s="29" t="str">
        <x:v>NOT_RUN</x:v>
      </x:c>
      <x:c r="G166" s="29" t="str">
        <x:v>NOT_RUN</x:v>
      </x:c>
      <x:c r="H166" s="29" t="str">
        <x:v>NOT_RUN</x:v>
      </x:c>
      <x:c r="I166" s="29" t="str">
        <x:v>NOT_RUN</x:v>
      </x:c>
      <x:c r="J166" s="29" t="str">
        <x:v>NOT_RUN</x:v>
      </x:c>
      <x:c r="K166" s="29" t="str">
        <x:v>NOT_RUN</x:v>
      </x:c>
      <x:c r="L166" s="29" t="str"/>
      <x:c r="M166" s="29" t="str"/>
      <x:c r="N166" s="29" t="str"/>
      <x:c r="O166" s="29" t="str">
        <x:f>IF(COUNTIF(F166:K166,"NOT_RUN")=6,"NOT_RUN",IF(AND(COUNTIF(F166:K166,"PASS")=6,L166&lt;&gt;"",M166&lt;&gt;"",N166&lt;&gt;""),"PASS","HOLD"))</x:f>
        <x:v>NOT_RUN</x:v>
      </x:c>
    </x:row>
    <x:row r="167">
      <x:c r="A167" s="29" t="str">
        <x:v>DIO-EVT-028</x:v>
      </x:c>
      <x:c r="B167" s="29" t="str">
        <x:v>LOT-2</x:v>
      </x:c>
      <x:c r="C167" s="29" t="str">
        <x:v>H-MIC1</x:v>
      </x:c>
      <x:c r="D167" s="29" t="n">
        <x:v>275</x:v>
      </x:c>
      <x:c r="E167" s="29" t="n">
        <x:v>5</x:v>
      </x:c>
      <x:c r="F167" s="29" t="str">
        <x:v>NOT_RUN</x:v>
      </x:c>
      <x:c r="G167" s="29" t="str">
        <x:v>NOT_RUN</x:v>
      </x:c>
      <x:c r="H167" s="29" t="str">
        <x:v>NOT_RUN</x:v>
      </x:c>
      <x:c r="I167" s="29" t="str">
        <x:v>NOT_RUN</x:v>
      </x:c>
      <x:c r="J167" s="29" t="str">
        <x:v>NOT_RUN</x:v>
      </x:c>
      <x:c r="K167" s="29" t="str">
        <x:v>NOT_RUN</x:v>
      </x:c>
      <x:c r="L167" s="29" t="str"/>
      <x:c r="M167" s="29" t="str"/>
      <x:c r="N167" s="29" t="str"/>
      <x:c r="O167" s="29" t="str">
        <x:f>IF(COUNTIF(F167:K167,"NOT_RUN")=6,"NOT_RUN",IF(AND(COUNTIF(F167:K167,"PASS")=6,L167&lt;&gt;"",M167&lt;&gt;"",N167&lt;&gt;""),"PASS","HOLD"))</x:f>
        <x:v>NOT_RUN</x:v>
      </x:c>
    </x:row>
    <x:row r="168">
      <x:c r="A168" s="29" t="str">
        <x:v>DIO-EVT-028</x:v>
      </x:c>
      <x:c r="B168" s="29" t="str">
        <x:v>LOT-2</x:v>
      </x:c>
      <x:c r="C168" s="29" t="str">
        <x:v>H-MIC2</x:v>
      </x:c>
      <x:c r="D168" s="29" t="n">
        <x:v>275</x:v>
      </x:c>
      <x:c r="E168" s="29" t="n">
        <x:v>5</x:v>
      </x:c>
      <x:c r="F168" s="29" t="str">
        <x:v>NOT_RUN</x:v>
      </x:c>
      <x:c r="G168" s="29" t="str">
        <x:v>NOT_RUN</x:v>
      </x:c>
      <x:c r="H168" s="29" t="str">
        <x:v>NOT_RUN</x:v>
      </x:c>
      <x:c r="I168" s="29" t="str">
        <x:v>NOT_RUN</x:v>
      </x:c>
      <x:c r="J168" s="29" t="str">
        <x:v>NOT_RUN</x:v>
      </x:c>
      <x:c r="K168" s="29" t="str">
        <x:v>NOT_RUN</x:v>
      </x:c>
      <x:c r="L168" s="29" t="str"/>
      <x:c r="M168" s="29" t="str"/>
      <x:c r="N168" s="29" t="str"/>
      <x:c r="O168" s="29" t="str">
        <x:f>IF(COUNTIF(F168:K168,"NOT_RUN")=6,"NOT_RUN",IF(AND(COUNTIF(F168:K168,"PASS")=6,L168&lt;&gt;"",M168&lt;&gt;"",N168&lt;&gt;""),"PASS","HOLD"))</x:f>
        <x:v>NOT_RUN</x:v>
      </x:c>
    </x:row>
    <x:row r="169">
      <x:c r="A169" s="29" t="str">
        <x:v>DIO-EVT-028</x:v>
      </x:c>
      <x:c r="B169" s="29" t="str">
        <x:v>LOT-2</x:v>
      </x:c>
      <x:c r="C169" s="29" t="str">
        <x:v>H-MIC3</x:v>
      </x:c>
      <x:c r="D169" s="29" t="n">
        <x:v>275</x:v>
      </x:c>
      <x:c r="E169" s="29" t="n">
        <x:v>5</x:v>
      </x:c>
      <x:c r="F169" s="29" t="str">
        <x:v>NOT_RUN</x:v>
      </x:c>
      <x:c r="G169" s="29" t="str">
        <x:v>NOT_RUN</x:v>
      </x:c>
      <x:c r="H169" s="29" t="str">
        <x:v>NOT_RUN</x:v>
      </x:c>
      <x:c r="I169" s="29" t="str">
        <x:v>NOT_RUN</x:v>
      </x:c>
      <x:c r="J169" s="29" t="str">
        <x:v>NOT_RUN</x:v>
      </x:c>
      <x:c r="K169" s="29" t="str">
        <x:v>NOT_RUN</x:v>
      </x:c>
      <x:c r="L169" s="29" t="str"/>
      <x:c r="M169" s="29" t="str"/>
      <x:c r="N169" s="29" t="str"/>
      <x:c r="O169" s="29" t="str">
        <x:f>IF(COUNTIF(F169:K169,"NOT_RUN")=6,"NOT_RUN",IF(AND(COUNTIF(F169:K169,"PASS")=6,L169&lt;&gt;"",M169&lt;&gt;"",N169&lt;&gt;""),"PASS","HOLD"))</x:f>
        <x:v>NOT_RUN</x:v>
      </x:c>
    </x:row>
    <x:row r="170">
      <x:c r="A170" s="29" t="str">
        <x:v>DIO-EVT-028</x:v>
      </x:c>
      <x:c r="B170" s="29" t="str">
        <x:v>LOT-2</x:v>
      </x:c>
      <x:c r="C170" s="29" t="str">
        <x:v>H-MIC4</x:v>
      </x:c>
      <x:c r="D170" s="29" t="n">
        <x:v>275</x:v>
      </x:c>
      <x:c r="E170" s="29" t="n">
        <x:v>5</x:v>
      </x:c>
      <x:c r="F170" s="29" t="str">
        <x:v>NOT_RUN</x:v>
      </x:c>
      <x:c r="G170" s="29" t="str">
        <x:v>NOT_RUN</x:v>
      </x:c>
      <x:c r="H170" s="29" t="str">
        <x:v>NOT_RUN</x:v>
      </x:c>
      <x:c r="I170" s="29" t="str">
        <x:v>NOT_RUN</x:v>
      </x:c>
      <x:c r="J170" s="29" t="str">
        <x:v>NOT_RUN</x:v>
      </x:c>
      <x:c r="K170" s="29" t="str">
        <x:v>NOT_RUN</x:v>
      </x:c>
      <x:c r="L170" s="29" t="str"/>
      <x:c r="M170" s="29" t="str"/>
      <x:c r="N170" s="29" t="str"/>
      <x:c r="O170" s="29" t="str">
        <x:f>IF(COUNTIF(F170:K170,"NOT_RUN")=6,"NOT_RUN",IF(AND(COUNTIF(F170:K170,"PASS")=6,L170&lt;&gt;"",M170&lt;&gt;"",N170&lt;&gt;""),"PASS","HOLD"))</x:f>
        <x:v>NOT_RUN</x:v>
      </x:c>
    </x:row>
    <x:row r="171">
      <x:c r="A171" s="29" t="str">
        <x:v>DIO-EVT-028</x:v>
      </x:c>
      <x:c r="B171" s="29" t="str">
        <x:v>LOT-2</x:v>
      </x:c>
      <x:c r="C171" s="29" t="str">
        <x:v>H-MAIN-PWR</x:v>
      </x:c>
      <x:c r="D171" s="29" t="n">
        <x:v>440</x:v>
      </x:c>
      <x:c r="E171" s="29" t="n">
        <x:v>5</x:v>
      </x:c>
      <x:c r="F171" s="29" t="str">
        <x:v>NOT_RUN</x:v>
      </x:c>
      <x:c r="G171" s="29" t="str">
        <x:v>NOT_RUN</x:v>
      </x:c>
      <x:c r="H171" s="29" t="str">
        <x:v>NOT_RUN</x:v>
      </x:c>
      <x:c r="I171" s="29" t="str">
        <x:v>NOT_RUN</x:v>
      </x:c>
      <x:c r="J171" s="29" t="str">
        <x:v>NOT_RUN</x:v>
      </x:c>
      <x:c r="K171" s="29" t="str">
        <x:v>NOT_RUN</x:v>
      </x:c>
      <x:c r="L171" s="29" t="str"/>
      <x:c r="M171" s="29" t="str"/>
      <x:c r="N171" s="29" t="str"/>
      <x:c r="O171" s="29" t="str">
        <x:f>IF(COUNTIF(F171:K171,"NOT_RUN")=6,"NOT_RUN",IF(AND(COUNTIF(F171:K171,"PASS")=6,L171&lt;&gt;"",M171&lt;&gt;"",N171&lt;&gt;""),"PASS","HOLD"))</x:f>
        <x:v>NOT_RUN</x:v>
      </x:c>
    </x:row>
    <x:row r="172">
      <x:c r="A172" s="29" t="str">
        <x:v>DIO-EVT-028</x:v>
      </x:c>
      <x:c r="B172" s="29" t="str">
        <x:v>LOT-2</x:v>
      </x:c>
      <x:c r="C172" s="29" t="str">
        <x:v>H-BAT-PWR</x:v>
      </x:c>
      <x:c r="D172" s="29" t="n">
        <x:v>330</x:v>
      </x:c>
      <x:c r="E172" s="29" t="n">
        <x:v>5</x:v>
      </x:c>
      <x:c r="F172" s="29" t="str">
        <x:v>NOT_RUN</x:v>
      </x:c>
      <x:c r="G172" s="29" t="str">
        <x:v>NOT_RUN</x:v>
      </x:c>
      <x:c r="H172" s="29" t="str">
        <x:v>NOT_RUN</x:v>
      </x:c>
      <x:c r="I172" s="29" t="str">
        <x:v>NOT_RUN</x:v>
      </x:c>
      <x:c r="J172" s="29" t="str">
        <x:v>NOT_RUN</x:v>
      </x:c>
      <x:c r="K172" s="29" t="str">
        <x:v>NOT_RUN</x:v>
      </x:c>
      <x:c r="L172" s="29" t="str"/>
      <x:c r="M172" s="29" t="str"/>
      <x:c r="N172" s="29" t="str"/>
      <x:c r="O172" s="29" t="str">
        <x:f>IF(COUNTIF(F172:K172,"NOT_RUN")=6,"NOT_RUN",IF(AND(COUNTIF(F172:K172,"PASS")=6,L172&lt;&gt;"",M172&lt;&gt;"",N172&lt;&gt;""),"PASS","HOLD"))</x:f>
        <x:v>NOT_RUN</x:v>
      </x:c>
    </x:row>
    <x:row r="173">
      <x:c r="A173" s="29" t="str">
        <x:v>DIO-EVT-029</x:v>
      </x:c>
      <x:c r="B173" s="29" t="str">
        <x:v>LOT-2</x:v>
      </x:c>
      <x:c r="C173" s="29" t="str">
        <x:v>H-MIC1</x:v>
      </x:c>
      <x:c r="D173" s="29" t="n">
        <x:v>275</x:v>
      </x:c>
      <x:c r="E173" s="29" t="n">
        <x:v>5</x:v>
      </x:c>
      <x:c r="F173" s="29" t="str">
        <x:v>NOT_RUN</x:v>
      </x:c>
      <x:c r="G173" s="29" t="str">
        <x:v>NOT_RUN</x:v>
      </x:c>
      <x:c r="H173" s="29" t="str">
        <x:v>NOT_RUN</x:v>
      </x:c>
      <x:c r="I173" s="29" t="str">
        <x:v>NOT_RUN</x:v>
      </x:c>
      <x:c r="J173" s="29" t="str">
        <x:v>NOT_RUN</x:v>
      </x:c>
      <x:c r="K173" s="29" t="str">
        <x:v>NOT_RUN</x:v>
      </x:c>
      <x:c r="L173" s="29" t="str"/>
      <x:c r="M173" s="29" t="str"/>
      <x:c r="N173" s="29" t="str"/>
      <x:c r="O173" s="29" t="str">
        <x:f>IF(COUNTIF(F173:K173,"NOT_RUN")=6,"NOT_RUN",IF(AND(COUNTIF(F173:K173,"PASS")=6,L173&lt;&gt;"",M173&lt;&gt;"",N173&lt;&gt;""),"PASS","HOLD"))</x:f>
        <x:v>NOT_RUN</x:v>
      </x:c>
    </x:row>
    <x:row r="174">
      <x:c r="A174" s="29" t="str">
        <x:v>DIO-EVT-029</x:v>
      </x:c>
      <x:c r="B174" s="29" t="str">
        <x:v>LOT-2</x:v>
      </x:c>
      <x:c r="C174" s="29" t="str">
        <x:v>H-MIC2</x:v>
      </x:c>
      <x:c r="D174" s="29" t="n">
        <x:v>275</x:v>
      </x:c>
      <x:c r="E174" s="29" t="n">
        <x:v>5</x:v>
      </x:c>
      <x:c r="F174" s="29" t="str">
        <x:v>NOT_RUN</x:v>
      </x:c>
      <x:c r="G174" s="29" t="str">
        <x:v>NOT_RUN</x:v>
      </x:c>
      <x:c r="H174" s="29" t="str">
        <x:v>NOT_RUN</x:v>
      </x:c>
      <x:c r="I174" s="29" t="str">
        <x:v>NOT_RUN</x:v>
      </x:c>
      <x:c r="J174" s="29" t="str">
        <x:v>NOT_RUN</x:v>
      </x:c>
      <x:c r="K174" s="29" t="str">
        <x:v>NOT_RUN</x:v>
      </x:c>
      <x:c r="L174" s="29" t="str"/>
      <x:c r="M174" s="29" t="str"/>
      <x:c r="N174" s="29" t="str"/>
      <x:c r="O174" s="29" t="str">
        <x:f>IF(COUNTIF(F174:K174,"NOT_RUN")=6,"NOT_RUN",IF(AND(COUNTIF(F174:K174,"PASS")=6,L174&lt;&gt;"",M174&lt;&gt;"",N174&lt;&gt;""),"PASS","HOLD"))</x:f>
        <x:v>NOT_RUN</x:v>
      </x:c>
    </x:row>
    <x:row r="175">
      <x:c r="A175" s="29" t="str">
        <x:v>DIO-EVT-029</x:v>
      </x:c>
      <x:c r="B175" s="29" t="str">
        <x:v>LOT-2</x:v>
      </x:c>
      <x:c r="C175" s="29" t="str">
        <x:v>H-MIC3</x:v>
      </x:c>
      <x:c r="D175" s="29" t="n">
        <x:v>275</x:v>
      </x:c>
      <x:c r="E175" s="29" t="n">
        <x:v>5</x:v>
      </x:c>
      <x:c r="F175" s="29" t="str">
        <x:v>NOT_RUN</x:v>
      </x:c>
      <x:c r="G175" s="29" t="str">
        <x:v>NOT_RUN</x:v>
      </x:c>
      <x:c r="H175" s="29" t="str">
        <x:v>NOT_RUN</x:v>
      </x:c>
      <x:c r="I175" s="29" t="str">
        <x:v>NOT_RUN</x:v>
      </x:c>
      <x:c r="J175" s="29" t="str">
        <x:v>NOT_RUN</x:v>
      </x:c>
      <x:c r="K175" s="29" t="str">
        <x:v>NOT_RUN</x:v>
      </x:c>
      <x:c r="L175" s="29" t="str"/>
      <x:c r="M175" s="29" t="str"/>
      <x:c r="N175" s="29" t="str"/>
      <x:c r="O175" s="29" t="str">
        <x:f>IF(COUNTIF(F175:K175,"NOT_RUN")=6,"NOT_RUN",IF(AND(COUNTIF(F175:K175,"PASS")=6,L175&lt;&gt;"",M175&lt;&gt;"",N175&lt;&gt;""),"PASS","HOLD"))</x:f>
        <x:v>NOT_RUN</x:v>
      </x:c>
    </x:row>
    <x:row r="176">
      <x:c r="A176" s="29" t="str">
        <x:v>DIO-EVT-029</x:v>
      </x:c>
      <x:c r="B176" s="29" t="str">
        <x:v>LOT-2</x:v>
      </x:c>
      <x:c r="C176" s="29" t="str">
        <x:v>H-MIC4</x:v>
      </x:c>
      <x:c r="D176" s="29" t="n">
        <x:v>275</x:v>
      </x:c>
      <x:c r="E176" s="29" t="n">
        <x:v>5</x:v>
      </x:c>
      <x:c r="F176" s="29" t="str">
        <x:v>NOT_RUN</x:v>
      </x:c>
      <x:c r="G176" s="29" t="str">
        <x:v>NOT_RUN</x:v>
      </x:c>
      <x:c r="H176" s="29" t="str">
        <x:v>NOT_RUN</x:v>
      </x:c>
      <x:c r="I176" s="29" t="str">
        <x:v>NOT_RUN</x:v>
      </x:c>
      <x:c r="J176" s="29" t="str">
        <x:v>NOT_RUN</x:v>
      </x:c>
      <x:c r="K176" s="29" t="str">
        <x:v>NOT_RUN</x:v>
      </x:c>
      <x:c r="L176" s="29" t="str"/>
      <x:c r="M176" s="29" t="str"/>
      <x:c r="N176" s="29" t="str"/>
      <x:c r="O176" s="29" t="str">
        <x:f>IF(COUNTIF(F176:K176,"NOT_RUN")=6,"NOT_RUN",IF(AND(COUNTIF(F176:K176,"PASS")=6,L176&lt;&gt;"",M176&lt;&gt;"",N176&lt;&gt;""),"PASS","HOLD"))</x:f>
        <x:v>NOT_RUN</x:v>
      </x:c>
    </x:row>
    <x:row r="177">
      <x:c r="A177" s="29" t="str">
        <x:v>DIO-EVT-029</x:v>
      </x:c>
      <x:c r="B177" s="29" t="str">
        <x:v>LOT-2</x:v>
      </x:c>
      <x:c r="C177" s="29" t="str">
        <x:v>H-MAIN-PWR</x:v>
      </x:c>
      <x:c r="D177" s="29" t="n">
        <x:v>440</x:v>
      </x:c>
      <x:c r="E177" s="29" t="n">
        <x:v>5</x:v>
      </x:c>
      <x:c r="F177" s="29" t="str">
        <x:v>NOT_RUN</x:v>
      </x:c>
      <x:c r="G177" s="29" t="str">
        <x:v>NOT_RUN</x:v>
      </x:c>
      <x:c r="H177" s="29" t="str">
        <x:v>NOT_RUN</x:v>
      </x:c>
      <x:c r="I177" s="29" t="str">
        <x:v>NOT_RUN</x:v>
      </x:c>
      <x:c r="J177" s="29" t="str">
        <x:v>NOT_RUN</x:v>
      </x:c>
      <x:c r="K177" s="29" t="str">
        <x:v>NOT_RUN</x:v>
      </x:c>
      <x:c r="L177" s="29" t="str"/>
      <x:c r="M177" s="29" t="str"/>
      <x:c r="N177" s="29" t="str"/>
      <x:c r="O177" s="29" t="str">
        <x:f>IF(COUNTIF(F177:K177,"NOT_RUN")=6,"NOT_RUN",IF(AND(COUNTIF(F177:K177,"PASS")=6,L177&lt;&gt;"",M177&lt;&gt;"",N177&lt;&gt;""),"PASS","HOLD"))</x:f>
        <x:v>NOT_RUN</x:v>
      </x:c>
    </x:row>
    <x:row r="178">
      <x:c r="A178" s="29" t="str">
        <x:v>DIO-EVT-029</x:v>
      </x:c>
      <x:c r="B178" s="29" t="str">
        <x:v>LOT-2</x:v>
      </x:c>
      <x:c r="C178" s="29" t="str">
        <x:v>H-BAT-PWR</x:v>
      </x:c>
      <x:c r="D178" s="29" t="n">
        <x:v>330</x:v>
      </x:c>
      <x:c r="E178" s="29" t="n">
        <x:v>5</x:v>
      </x:c>
      <x:c r="F178" s="29" t="str">
        <x:v>NOT_RUN</x:v>
      </x:c>
      <x:c r="G178" s="29" t="str">
        <x:v>NOT_RUN</x:v>
      </x:c>
      <x:c r="H178" s="29" t="str">
        <x:v>NOT_RUN</x:v>
      </x:c>
      <x:c r="I178" s="29" t="str">
        <x:v>NOT_RUN</x:v>
      </x:c>
      <x:c r="J178" s="29" t="str">
        <x:v>NOT_RUN</x:v>
      </x:c>
      <x:c r="K178" s="29" t="str">
        <x:v>NOT_RUN</x:v>
      </x:c>
      <x:c r="L178" s="29" t="str"/>
      <x:c r="M178" s="29" t="str"/>
      <x:c r="N178" s="29" t="str"/>
      <x:c r="O178" s="29" t="str">
        <x:f>IF(COUNTIF(F178:K178,"NOT_RUN")=6,"NOT_RUN",IF(AND(COUNTIF(F178:K178,"PASS")=6,L178&lt;&gt;"",M178&lt;&gt;"",N178&lt;&gt;""),"PASS","HOLD"))</x:f>
        <x:v>NOT_RUN</x:v>
      </x:c>
    </x:row>
    <x:row r="179">
      <x:c r="A179" s="29" t="str">
        <x:v>DIO-EVT-030</x:v>
      </x:c>
      <x:c r="B179" s="29" t="str">
        <x:v>LOT-2</x:v>
      </x:c>
      <x:c r="C179" s="29" t="str">
        <x:v>H-MIC1</x:v>
      </x:c>
      <x:c r="D179" s="29" t="n">
        <x:v>275</x:v>
      </x:c>
      <x:c r="E179" s="29" t="n">
        <x:v>5</x:v>
      </x:c>
      <x:c r="F179" s="29" t="str">
        <x:v>NOT_RUN</x:v>
      </x:c>
      <x:c r="G179" s="29" t="str">
        <x:v>NOT_RUN</x:v>
      </x:c>
      <x:c r="H179" s="29" t="str">
        <x:v>NOT_RUN</x:v>
      </x:c>
      <x:c r="I179" s="29" t="str">
        <x:v>NOT_RUN</x:v>
      </x:c>
      <x:c r="J179" s="29" t="str">
        <x:v>NOT_RUN</x:v>
      </x:c>
      <x:c r="K179" s="29" t="str">
        <x:v>NOT_RUN</x:v>
      </x:c>
      <x:c r="L179" s="29" t="str"/>
      <x:c r="M179" s="29" t="str"/>
      <x:c r="N179" s="29" t="str"/>
      <x:c r="O179" s="29" t="str">
        <x:f>IF(COUNTIF(F179:K179,"NOT_RUN")=6,"NOT_RUN",IF(AND(COUNTIF(F179:K179,"PASS")=6,L179&lt;&gt;"",M179&lt;&gt;"",N179&lt;&gt;""),"PASS","HOLD"))</x:f>
        <x:v>NOT_RUN</x:v>
      </x:c>
    </x:row>
    <x:row r="180">
      <x:c r="A180" s="29" t="str">
        <x:v>DIO-EVT-030</x:v>
      </x:c>
      <x:c r="B180" s="29" t="str">
        <x:v>LOT-2</x:v>
      </x:c>
      <x:c r="C180" s="29" t="str">
        <x:v>H-MIC2</x:v>
      </x:c>
      <x:c r="D180" s="29" t="n">
        <x:v>275</x:v>
      </x:c>
      <x:c r="E180" s="29" t="n">
        <x:v>5</x:v>
      </x:c>
      <x:c r="F180" s="29" t="str">
        <x:v>NOT_RUN</x:v>
      </x:c>
      <x:c r="G180" s="29" t="str">
        <x:v>NOT_RUN</x:v>
      </x:c>
      <x:c r="H180" s="29" t="str">
        <x:v>NOT_RUN</x:v>
      </x:c>
      <x:c r="I180" s="29" t="str">
        <x:v>NOT_RUN</x:v>
      </x:c>
      <x:c r="J180" s="29" t="str">
        <x:v>NOT_RUN</x:v>
      </x:c>
      <x:c r="K180" s="29" t="str">
        <x:v>NOT_RUN</x:v>
      </x:c>
      <x:c r="L180" s="29" t="str"/>
      <x:c r="M180" s="29" t="str"/>
      <x:c r="N180" s="29" t="str"/>
      <x:c r="O180" s="29" t="str">
        <x:f>IF(COUNTIF(F180:K180,"NOT_RUN")=6,"NOT_RUN",IF(AND(COUNTIF(F180:K180,"PASS")=6,L180&lt;&gt;"",M180&lt;&gt;"",N180&lt;&gt;""),"PASS","HOLD"))</x:f>
        <x:v>NOT_RUN</x:v>
      </x:c>
    </x:row>
    <x:row r="181">
      <x:c r="A181" s="29" t="str">
        <x:v>DIO-EVT-030</x:v>
      </x:c>
      <x:c r="B181" s="29" t="str">
        <x:v>LOT-2</x:v>
      </x:c>
      <x:c r="C181" s="29" t="str">
        <x:v>H-MIC3</x:v>
      </x:c>
      <x:c r="D181" s="29" t="n">
        <x:v>275</x:v>
      </x:c>
      <x:c r="E181" s="29" t="n">
        <x:v>5</x:v>
      </x:c>
      <x:c r="F181" s="29" t="str">
        <x:v>NOT_RUN</x:v>
      </x:c>
      <x:c r="G181" s="29" t="str">
        <x:v>NOT_RUN</x:v>
      </x:c>
      <x:c r="H181" s="29" t="str">
        <x:v>NOT_RUN</x:v>
      </x:c>
      <x:c r="I181" s="29" t="str">
        <x:v>NOT_RUN</x:v>
      </x:c>
      <x:c r="J181" s="29" t="str">
        <x:v>NOT_RUN</x:v>
      </x:c>
      <x:c r="K181" s="29" t="str">
        <x:v>NOT_RUN</x:v>
      </x:c>
      <x:c r="L181" s="29" t="str"/>
      <x:c r="M181" s="29" t="str"/>
      <x:c r="N181" s="29" t="str"/>
      <x:c r="O181" s="29" t="str">
        <x:f>IF(COUNTIF(F181:K181,"NOT_RUN")=6,"NOT_RUN",IF(AND(COUNTIF(F181:K181,"PASS")=6,L181&lt;&gt;"",M181&lt;&gt;"",N181&lt;&gt;""),"PASS","HOLD"))</x:f>
        <x:v>NOT_RUN</x:v>
      </x:c>
    </x:row>
    <x:row r="182">
      <x:c r="A182" s="29" t="str">
        <x:v>DIO-EVT-030</x:v>
      </x:c>
      <x:c r="B182" s="29" t="str">
        <x:v>LOT-2</x:v>
      </x:c>
      <x:c r="C182" s="29" t="str">
        <x:v>H-MIC4</x:v>
      </x:c>
      <x:c r="D182" s="29" t="n">
        <x:v>275</x:v>
      </x:c>
      <x:c r="E182" s="29" t="n">
        <x:v>5</x:v>
      </x:c>
      <x:c r="F182" s="29" t="str">
        <x:v>NOT_RUN</x:v>
      </x:c>
      <x:c r="G182" s="29" t="str">
        <x:v>NOT_RUN</x:v>
      </x:c>
      <x:c r="H182" s="29" t="str">
        <x:v>NOT_RUN</x:v>
      </x:c>
      <x:c r="I182" s="29" t="str">
        <x:v>NOT_RUN</x:v>
      </x:c>
      <x:c r="J182" s="29" t="str">
        <x:v>NOT_RUN</x:v>
      </x:c>
      <x:c r="K182" s="29" t="str">
        <x:v>NOT_RUN</x:v>
      </x:c>
      <x:c r="L182" s="29" t="str"/>
      <x:c r="M182" s="29" t="str"/>
      <x:c r="N182" s="29" t="str"/>
      <x:c r="O182" s="29" t="str">
        <x:f>IF(COUNTIF(F182:K182,"NOT_RUN")=6,"NOT_RUN",IF(AND(COUNTIF(F182:K182,"PASS")=6,L182&lt;&gt;"",M182&lt;&gt;"",N182&lt;&gt;""),"PASS","HOLD"))</x:f>
        <x:v>NOT_RUN</x:v>
      </x:c>
    </x:row>
    <x:row r="183">
      <x:c r="A183" s="29" t="str">
        <x:v>DIO-EVT-030</x:v>
      </x:c>
      <x:c r="B183" s="29" t="str">
        <x:v>LOT-2</x:v>
      </x:c>
      <x:c r="C183" s="29" t="str">
        <x:v>H-MAIN-PWR</x:v>
      </x:c>
      <x:c r="D183" s="29" t="n">
        <x:v>440</x:v>
      </x:c>
      <x:c r="E183" s="29" t="n">
        <x:v>5</x:v>
      </x:c>
      <x:c r="F183" s="29" t="str">
        <x:v>NOT_RUN</x:v>
      </x:c>
      <x:c r="G183" s="29" t="str">
        <x:v>NOT_RUN</x:v>
      </x:c>
      <x:c r="H183" s="29" t="str">
        <x:v>NOT_RUN</x:v>
      </x:c>
      <x:c r="I183" s="29" t="str">
        <x:v>NOT_RUN</x:v>
      </x:c>
      <x:c r="J183" s="29" t="str">
        <x:v>NOT_RUN</x:v>
      </x:c>
      <x:c r="K183" s="29" t="str">
        <x:v>NOT_RUN</x:v>
      </x:c>
      <x:c r="L183" s="29" t="str"/>
      <x:c r="M183" s="29" t="str"/>
      <x:c r="N183" s="29" t="str"/>
      <x:c r="O183" s="29" t="str">
        <x:f>IF(COUNTIF(F183:K183,"NOT_RUN")=6,"NOT_RUN",IF(AND(COUNTIF(F183:K183,"PASS")=6,L183&lt;&gt;"",M183&lt;&gt;"",N183&lt;&gt;""),"PASS","HOLD"))</x:f>
        <x:v>NOT_RUN</x:v>
      </x:c>
    </x:row>
    <x:row r="184">
      <x:c r="A184" s="29" t="str">
        <x:v>DIO-EVT-030</x:v>
      </x:c>
      <x:c r="B184" s="29" t="str">
        <x:v>LOT-2</x:v>
      </x:c>
      <x:c r="C184" s="29" t="str">
        <x:v>H-BAT-PWR</x:v>
      </x:c>
      <x:c r="D184" s="29" t="n">
        <x:v>330</x:v>
      </x:c>
      <x:c r="E184" s="29" t="n">
        <x:v>5</x:v>
      </x:c>
      <x:c r="F184" s="29" t="str">
        <x:v>NOT_RUN</x:v>
      </x:c>
      <x:c r="G184" s="29" t="str">
        <x:v>NOT_RUN</x:v>
      </x:c>
      <x:c r="H184" s="29" t="str">
        <x:v>NOT_RUN</x:v>
      </x:c>
      <x:c r="I184" s="29" t="str">
        <x:v>NOT_RUN</x:v>
      </x:c>
      <x:c r="J184" s="29" t="str">
        <x:v>NOT_RUN</x:v>
      </x:c>
      <x:c r="K184" s="29" t="str">
        <x:v>NOT_RUN</x:v>
      </x:c>
      <x:c r="L184" s="29" t="str"/>
      <x:c r="M184" s="29" t="str"/>
      <x:c r="N184" s="29" t="str"/>
      <x:c r="O184" s="29" t="str">
        <x:f>IF(COUNTIF(F184:K184,"NOT_RUN")=6,"NOT_RUN",IF(AND(COUNTIF(F184:K184,"PASS")=6,L184&lt;&gt;"",M184&lt;&gt;"",N184&lt;&gt;""),"PASS","HOLD"))</x:f>
        <x:v>NOT_RUN</x:v>
      </x:c>
    </x:row>
    <x:row r="185">
      <x:c r="A185" s="29" t="str">
        <x:v>DIO-EVT-031</x:v>
      </x:c>
      <x:c r="B185" s="29" t="str">
        <x:v>LOT-2</x:v>
      </x:c>
      <x:c r="C185" s="29" t="str">
        <x:v>H-MIC1</x:v>
      </x:c>
      <x:c r="D185" s="29" t="n">
        <x:v>275</x:v>
      </x:c>
      <x:c r="E185" s="29" t="n">
        <x:v>5</x:v>
      </x:c>
      <x:c r="F185" s="29" t="str">
        <x:v>NOT_RUN</x:v>
      </x:c>
      <x:c r="G185" s="29" t="str">
        <x:v>NOT_RUN</x:v>
      </x:c>
      <x:c r="H185" s="29" t="str">
        <x:v>NOT_RUN</x:v>
      </x:c>
      <x:c r="I185" s="29" t="str">
        <x:v>NOT_RUN</x:v>
      </x:c>
      <x:c r="J185" s="29" t="str">
        <x:v>NOT_RUN</x:v>
      </x:c>
      <x:c r="K185" s="29" t="str">
        <x:v>NOT_RUN</x:v>
      </x:c>
      <x:c r="L185" s="29" t="str"/>
      <x:c r="M185" s="29" t="str"/>
      <x:c r="N185" s="29" t="str"/>
      <x:c r="O185" s="29" t="str">
        <x:f>IF(COUNTIF(F185:K185,"NOT_RUN")=6,"NOT_RUN",IF(AND(COUNTIF(F185:K185,"PASS")=6,L185&lt;&gt;"",M185&lt;&gt;"",N185&lt;&gt;""),"PASS","HOLD"))</x:f>
        <x:v>NOT_RUN</x:v>
      </x:c>
    </x:row>
    <x:row r="186">
      <x:c r="A186" s="29" t="str">
        <x:v>DIO-EVT-031</x:v>
      </x:c>
      <x:c r="B186" s="29" t="str">
        <x:v>LOT-2</x:v>
      </x:c>
      <x:c r="C186" s="29" t="str">
        <x:v>H-MIC2</x:v>
      </x:c>
      <x:c r="D186" s="29" t="n">
        <x:v>275</x:v>
      </x:c>
      <x:c r="E186" s="29" t="n">
        <x:v>5</x:v>
      </x:c>
      <x:c r="F186" s="29" t="str">
        <x:v>NOT_RUN</x:v>
      </x:c>
      <x:c r="G186" s="29" t="str">
        <x:v>NOT_RUN</x:v>
      </x:c>
      <x:c r="H186" s="29" t="str">
        <x:v>NOT_RUN</x:v>
      </x:c>
      <x:c r="I186" s="29" t="str">
        <x:v>NOT_RUN</x:v>
      </x:c>
      <x:c r="J186" s="29" t="str">
        <x:v>NOT_RUN</x:v>
      </x:c>
      <x:c r="K186" s="29" t="str">
        <x:v>NOT_RUN</x:v>
      </x:c>
      <x:c r="L186" s="29" t="str"/>
      <x:c r="M186" s="29" t="str"/>
      <x:c r="N186" s="29" t="str"/>
      <x:c r="O186" s="29" t="str">
        <x:f>IF(COUNTIF(F186:K186,"NOT_RUN")=6,"NOT_RUN",IF(AND(COUNTIF(F186:K186,"PASS")=6,L186&lt;&gt;"",M186&lt;&gt;"",N186&lt;&gt;""),"PASS","HOLD"))</x:f>
        <x:v>NOT_RUN</x:v>
      </x:c>
    </x:row>
    <x:row r="187">
      <x:c r="A187" s="29" t="str">
        <x:v>DIO-EVT-031</x:v>
      </x:c>
      <x:c r="B187" s="29" t="str">
        <x:v>LOT-2</x:v>
      </x:c>
      <x:c r="C187" s="29" t="str">
        <x:v>H-MIC3</x:v>
      </x:c>
      <x:c r="D187" s="29" t="n">
        <x:v>275</x:v>
      </x:c>
      <x:c r="E187" s="29" t="n">
        <x:v>5</x:v>
      </x:c>
      <x:c r="F187" s="29" t="str">
        <x:v>NOT_RUN</x:v>
      </x:c>
      <x:c r="G187" s="29" t="str">
        <x:v>NOT_RUN</x:v>
      </x:c>
      <x:c r="H187" s="29" t="str">
        <x:v>NOT_RUN</x:v>
      </x:c>
      <x:c r="I187" s="29" t="str">
        <x:v>NOT_RUN</x:v>
      </x:c>
      <x:c r="J187" s="29" t="str">
        <x:v>NOT_RUN</x:v>
      </x:c>
      <x:c r="K187" s="29" t="str">
        <x:v>NOT_RUN</x:v>
      </x:c>
      <x:c r="L187" s="29" t="str"/>
      <x:c r="M187" s="29" t="str"/>
      <x:c r="N187" s="29" t="str"/>
      <x:c r="O187" s="29" t="str">
        <x:f>IF(COUNTIF(F187:K187,"NOT_RUN")=6,"NOT_RUN",IF(AND(COUNTIF(F187:K187,"PASS")=6,L187&lt;&gt;"",M187&lt;&gt;"",N187&lt;&gt;""),"PASS","HOLD"))</x:f>
        <x:v>NOT_RUN</x:v>
      </x:c>
    </x:row>
    <x:row r="188">
      <x:c r="A188" s="29" t="str">
        <x:v>DIO-EVT-031</x:v>
      </x:c>
      <x:c r="B188" s="29" t="str">
        <x:v>LOT-2</x:v>
      </x:c>
      <x:c r="C188" s="29" t="str">
        <x:v>H-MIC4</x:v>
      </x:c>
      <x:c r="D188" s="29" t="n">
        <x:v>275</x:v>
      </x:c>
      <x:c r="E188" s="29" t="n">
        <x:v>5</x:v>
      </x:c>
      <x:c r="F188" s="29" t="str">
        <x:v>NOT_RUN</x:v>
      </x:c>
      <x:c r="G188" s="29" t="str">
        <x:v>NOT_RUN</x:v>
      </x:c>
      <x:c r="H188" s="29" t="str">
        <x:v>NOT_RUN</x:v>
      </x:c>
      <x:c r="I188" s="29" t="str">
        <x:v>NOT_RUN</x:v>
      </x:c>
      <x:c r="J188" s="29" t="str">
        <x:v>NOT_RUN</x:v>
      </x:c>
      <x:c r="K188" s="29" t="str">
        <x:v>NOT_RUN</x:v>
      </x:c>
      <x:c r="L188" s="29" t="str"/>
      <x:c r="M188" s="29" t="str"/>
      <x:c r="N188" s="29" t="str"/>
      <x:c r="O188" s="29" t="str">
        <x:f>IF(COUNTIF(F188:K188,"NOT_RUN")=6,"NOT_RUN",IF(AND(COUNTIF(F188:K188,"PASS")=6,L188&lt;&gt;"",M188&lt;&gt;"",N188&lt;&gt;""),"PASS","HOLD"))</x:f>
        <x:v>NOT_RUN</x:v>
      </x:c>
    </x:row>
    <x:row r="189">
      <x:c r="A189" s="29" t="str">
        <x:v>DIO-EVT-031</x:v>
      </x:c>
      <x:c r="B189" s="29" t="str">
        <x:v>LOT-2</x:v>
      </x:c>
      <x:c r="C189" s="29" t="str">
        <x:v>H-MAIN-PWR</x:v>
      </x:c>
      <x:c r="D189" s="29" t="n">
        <x:v>440</x:v>
      </x:c>
      <x:c r="E189" s="29" t="n">
        <x:v>5</x:v>
      </x:c>
      <x:c r="F189" s="29" t="str">
        <x:v>NOT_RUN</x:v>
      </x:c>
      <x:c r="G189" s="29" t="str">
        <x:v>NOT_RUN</x:v>
      </x:c>
      <x:c r="H189" s="29" t="str">
        <x:v>NOT_RUN</x:v>
      </x:c>
      <x:c r="I189" s="29" t="str">
        <x:v>NOT_RUN</x:v>
      </x:c>
      <x:c r="J189" s="29" t="str">
        <x:v>NOT_RUN</x:v>
      </x:c>
      <x:c r="K189" s="29" t="str">
        <x:v>NOT_RUN</x:v>
      </x:c>
      <x:c r="L189" s="29" t="str"/>
      <x:c r="M189" s="29" t="str"/>
      <x:c r="N189" s="29" t="str"/>
      <x:c r="O189" s="29" t="str">
        <x:f>IF(COUNTIF(F189:K189,"NOT_RUN")=6,"NOT_RUN",IF(AND(COUNTIF(F189:K189,"PASS")=6,L189&lt;&gt;"",M189&lt;&gt;"",N189&lt;&gt;""),"PASS","HOLD"))</x:f>
        <x:v>NOT_RUN</x:v>
      </x:c>
    </x:row>
    <x:row r="190">
      <x:c r="A190" s="29" t="str">
        <x:v>DIO-EVT-031</x:v>
      </x:c>
      <x:c r="B190" s="29" t="str">
        <x:v>LOT-2</x:v>
      </x:c>
      <x:c r="C190" s="29" t="str">
        <x:v>H-BAT-PWR</x:v>
      </x:c>
      <x:c r="D190" s="29" t="n">
        <x:v>330</x:v>
      </x:c>
      <x:c r="E190" s="29" t="n">
        <x:v>5</x:v>
      </x:c>
      <x:c r="F190" s="29" t="str">
        <x:v>NOT_RUN</x:v>
      </x:c>
      <x:c r="G190" s="29" t="str">
        <x:v>NOT_RUN</x:v>
      </x:c>
      <x:c r="H190" s="29" t="str">
        <x:v>NOT_RUN</x:v>
      </x:c>
      <x:c r="I190" s="29" t="str">
        <x:v>NOT_RUN</x:v>
      </x:c>
      <x:c r="J190" s="29" t="str">
        <x:v>NOT_RUN</x:v>
      </x:c>
      <x:c r="K190" s="29" t="str">
        <x:v>NOT_RUN</x:v>
      </x:c>
      <x:c r="L190" s="29" t="str"/>
      <x:c r="M190" s="29" t="str"/>
      <x:c r="N190" s="29" t="str"/>
      <x:c r="O190" s="29" t="str">
        <x:f>IF(COUNTIF(F190:K190,"NOT_RUN")=6,"NOT_RUN",IF(AND(COUNTIF(F190:K190,"PASS")=6,L190&lt;&gt;"",M190&lt;&gt;"",N190&lt;&gt;""),"PASS","HOLD"))</x:f>
        <x:v>NOT_RUN</x:v>
      </x:c>
    </x:row>
    <x:row r="191">
      <x:c r="A191" s="29" t="str">
        <x:v>DIO-EVT-032</x:v>
      </x:c>
      <x:c r="B191" s="29" t="str">
        <x:v>LOT-2</x:v>
      </x:c>
      <x:c r="C191" s="29" t="str">
        <x:v>H-MIC1</x:v>
      </x:c>
      <x:c r="D191" s="29" t="n">
        <x:v>275</x:v>
      </x:c>
      <x:c r="E191" s="29" t="n">
        <x:v>5</x:v>
      </x:c>
      <x:c r="F191" s="29" t="str">
        <x:v>NOT_RUN</x:v>
      </x:c>
      <x:c r="G191" s="29" t="str">
        <x:v>NOT_RUN</x:v>
      </x:c>
      <x:c r="H191" s="29" t="str">
        <x:v>NOT_RUN</x:v>
      </x:c>
      <x:c r="I191" s="29" t="str">
        <x:v>NOT_RUN</x:v>
      </x:c>
      <x:c r="J191" s="29" t="str">
        <x:v>NOT_RUN</x:v>
      </x:c>
      <x:c r="K191" s="29" t="str">
        <x:v>NOT_RUN</x:v>
      </x:c>
      <x:c r="L191" s="29" t="str"/>
      <x:c r="M191" s="29" t="str"/>
      <x:c r="N191" s="29" t="str"/>
      <x:c r="O191" s="29" t="str">
        <x:f>IF(COUNTIF(F191:K191,"NOT_RUN")=6,"NOT_RUN",IF(AND(COUNTIF(F191:K191,"PASS")=6,L191&lt;&gt;"",M191&lt;&gt;"",N191&lt;&gt;""),"PASS","HOLD"))</x:f>
        <x:v>NOT_RUN</x:v>
      </x:c>
    </x:row>
    <x:row r="192">
      <x:c r="A192" s="29" t="str">
        <x:v>DIO-EVT-032</x:v>
      </x:c>
      <x:c r="B192" s="29" t="str">
        <x:v>LOT-2</x:v>
      </x:c>
      <x:c r="C192" s="29" t="str">
        <x:v>H-MIC2</x:v>
      </x:c>
      <x:c r="D192" s="29" t="n">
        <x:v>275</x:v>
      </x:c>
      <x:c r="E192" s="29" t="n">
        <x:v>5</x:v>
      </x:c>
      <x:c r="F192" s="29" t="str">
        <x:v>NOT_RUN</x:v>
      </x:c>
      <x:c r="G192" s="29" t="str">
        <x:v>NOT_RUN</x:v>
      </x:c>
      <x:c r="H192" s="29" t="str">
        <x:v>NOT_RUN</x:v>
      </x:c>
      <x:c r="I192" s="29" t="str">
        <x:v>NOT_RUN</x:v>
      </x:c>
      <x:c r="J192" s="29" t="str">
        <x:v>NOT_RUN</x:v>
      </x:c>
      <x:c r="K192" s="29" t="str">
        <x:v>NOT_RUN</x:v>
      </x:c>
      <x:c r="L192" s="29" t="str"/>
      <x:c r="M192" s="29" t="str"/>
      <x:c r="N192" s="29" t="str"/>
      <x:c r="O192" s="29" t="str">
        <x:f>IF(COUNTIF(F192:K192,"NOT_RUN")=6,"NOT_RUN",IF(AND(COUNTIF(F192:K192,"PASS")=6,L192&lt;&gt;"",M192&lt;&gt;"",N192&lt;&gt;""),"PASS","HOLD"))</x:f>
        <x:v>NOT_RUN</x:v>
      </x:c>
    </x:row>
    <x:row r="193">
      <x:c r="A193" s="29" t="str">
        <x:v>DIO-EVT-032</x:v>
      </x:c>
      <x:c r="B193" s="29" t="str">
        <x:v>LOT-2</x:v>
      </x:c>
      <x:c r="C193" s="29" t="str">
        <x:v>H-MIC3</x:v>
      </x:c>
      <x:c r="D193" s="29" t="n">
        <x:v>275</x:v>
      </x:c>
      <x:c r="E193" s="29" t="n">
        <x:v>5</x:v>
      </x:c>
      <x:c r="F193" s="29" t="str">
        <x:v>NOT_RUN</x:v>
      </x:c>
      <x:c r="G193" s="29" t="str">
        <x:v>NOT_RUN</x:v>
      </x:c>
      <x:c r="H193" s="29" t="str">
        <x:v>NOT_RUN</x:v>
      </x:c>
      <x:c r="I193" s="29" t="str">
        <x:v>NOT_RUN</x:v>
      </x:c>
      <x:c r="J193" s="29" t="str">
        <x:v>NOT_RUN</x:v>
      </x:c>
      <x:c r="K193" s="29" t="str">
        <x:v>NOT_RUN</x:v>
      </x:c>
      <x:c r="L193" s="29" t="str"/>
      <x:c r="M193" s="29" t="str"/>
      <x:c r="N193" s="29" t="str"/>
      <x:c r="O193" s="29" t="str">
        <x:f>IF(COUNTIF(F193:K193,"NOT_RUN")=6,"NOT_RUN",IF(AND(COUNTIF(F193:K193,"PASS")=6,L193&lt;&gt;"",M193&lt;&gt;"",N193&lt;&gt;""),"PASS","HOLD"))</x:f>
        <x:v>NOT_RUN</x:v>
      </x:c>
    </x:row>
    <x:row r="194">
      <x:c r="A194" s="29" t="str">
        <x:v>DIO-EVT-032</x:v>
      </x:c>
      <x:c r="B194" s="29" t="str">
        <x:v>LOT-2</x:v>
      </x:c>
      <x:c r="C194" s="29" t="str">
        <x:v>H-MIC4</x:v>
      </x:c>
      <x:c r="D194" s="29" t="n">
        <x:v>275</x:v>
      </x:c>
      <x:c r="E194" s="29" t="n">
        <x:v>5</x:v>
      </x:c>
      <x:c r="F194" s="29" t="str">
        <x:v>NOT_RUN</x:v>
      </x:c>
      <x:c r="G194" s="29" t="str">
        <x:v>NOT_RUN</x:v>
      </x:c>
      <x:c r="H194" s="29" t="str">
        <x:v>NOT_RUN</x:v>
      </x:c>
      <x:c r="I194" s="29" t="str">
        <x:v>NOT_RUN</x:v>
      </x:c>
      <x:c r="J194" s="29" t="str">
        <x:v>NOT_RUN</x:v>
      </x:c>
      <x:c r="K194" s="29" t="str">
        <x:v>NOT_RUN</x:v>
      </x:c>
      <x:c r="L194" s="29" t="str"/>
      <x:c r="M194" s="29" t="str"/>
      <x:c r="N194" s="29" t="str"/>
      <x:c r="O194" s="29" t="str">
        <x:f>IF(COUNTIF(F194:K194,"NOT_RUN")=6,"NOT_RUN",IF(AND(COUNTIF(F194:K194,"PASS")=6,L194&lt;&gt;"",M194&lt;&gt;"",N194&lt;&gt;""),"PASS","HOLD"))</x:f>
        <x:v>NOT_RUN</x:v>
      </x:c>
    </x:row>
    <x:row r="195">
      <x:c r="A195" s="29" t="str">
        <x:v>DIO-EVT-032</x:v>
      </x:c>
      <x:c r="B195" s="29" t="str">
        <x:v>LOT-2</x:v>
      </x:c>
      <x:c r="C195" s="29" t="str">
        <x:v>H-MAIN-PWR</x:v>
      </x:c>
      <x:c r="D195" s="29" t="n">
        <x:v>440</x:v>
      </x:c>
      <x:c r="E195" s="29" t="n">
        <x:v>5</x:v>
      </x:c>
      <x:c r="F195" s="29" t="str">
        <x:v>NOT_RUN</x:v>
      </x:c>
      <x:c r="G195" s="29" t="str">
        <x:v>NOT_RUN</x:v>
      </x:c>
      <x:c r="H195" s="29" t="str">
        <x:v>NOT_RUN</x:v>
      </x:c>
      <x:c r="I195" s="29" t="str">
        <x:v>NOT_RUN</x:v>
      </x:c>
      <x:c r="J195" s="29" t="str">
        <x:v>NOT_RUN</x:v>
      </x:c>
      <x:c r="K195" s="29" t="str">
        <x:v>NOT_RUN</x:v>
      </x:c>
      <x:c r="L195" s="29" t="str"/>
      <x:c r="M195" s="29" t="str"/>
      <x:c r="N195" s="29" t="str"/>
      <x:c r="O195" s="29" t="str">
        <x:f>IF(COUNTIF(F195:K195,"NOT_RUN")=6,"NOT_RUN",IF(AND(COUNTIF(F195:K195,"PASS")=6,L195&lt;&gt;"",M195&lt;&gt;"",N195&lt;&gt;""),"PASS","HOLD"))</x:f>
        <x:v>NOT_RUN</x:v>
      </x:c>
    </x:row>
    <x:row r="196">
      <x:c r="A196" s="29" t="str">
        <x:v>DIO-EVT-032</x:v>
      </x:c>
      <x:c r="B196" s="29" t="str">
        <x:v>LOT-2</x:v>
      </x:c>
      <x:c r="C196" s="29" t="str">
        <x:v>H-BAT-PWR</x:v>
      </x:c>
      <x:c r="D196" s="29" t="n">
        <x:v>330</x:v>
      </x:c>
      <x:c r="E196" s="29" t="n">
        <x:v>5</x:v>
      </x:c>
      <x:c r="F196" s="29" t="str">
        <x:v>NOT_RUN</x:v>
      </x:c>
      <x:c r="G196" s="29" t="str">
        <x:v>NOT_RUN</x:v>
      </x:c>
      <x:c r="H196" s="29" t="str">
        <x:v>NOT_RUN</x:v>
      </x:c>
      <x:c r="I196" s="29" t="str">
        <x:v>NOT_RUN</x:v>
      </x:c>
      <x:c r="J196" s="29" t="str">
        <x:v>NOT_RUN</x:v>
      </x:c>
      <x:c r="K196" s="29" t="str">
        <x:v>NOT_RUN</x:v>
      </x:c>
      <x:c r="L196" s="29" t="str"/>
      <x:c r="M196" s="29" t="str"/>
      <x:c r="N196" s="29" t="str"/>
      <x:c r="O196" s="29" t="str">
        <x:f>IF(COUNTIF(F196:K196,"NOT_RUN")=6,"NOT_RUN",IF(AND(COUNTIF(F196:K196,"PASS")=6,L196&lt;&gt;"",M196&lt;&gt;"",N196&lt;&gt;""),"PASS","HOLD"))</x:f>
        <x:v>NOT_RUN</x:v>
      </x:c>
    </x:row>
    <x:row r="197">
      <x:c r="A197" s="29" t="str">
        <x:v>DIO-EVT-033</x:v>
      </x:c>
      <x:c r="B197" s="29" t="str">
        <x:v>LOT-2</x:v>
      </x:c>
      <x:c r="C197" s="29" t="str">
        <x:v>H-MIC1</x:v>
      </x:c>
      <x:c r="D197" s="29" t="n">
        <x:v>275</x:v>
      </x:c>
      <x:c r="E197" s="29" t="n">
        <x:v>5</x:v>
      </x:c>
      <x:c r="F197" s="29" t="str">
        <x:v>NOT_RUN</x:v>
      </x:c>
      <x:c r="G197" s="29" t="str">
        <x:v>NOT_RUN</x:v>
      </x:c>
      <x:c r="H197" s="29" t="str">
        <x:v>NOT_RUN</x:v>
      </x:c>
      <x:c r="I197" s="29" t="str">
        <x:v>NOT_RUN</x:v>
      </x:c>
      <x:c r="J197" s="29" t="str">
        <x:v>NOT_RUN</x:v>
      </x:c>
      <x:c r="K197" s="29" t="str">
        <x:v>NOT_RUN</x:v>
      </x:c>
      <x:c r="L197" s="29" t="str"/>
      <x:c r="M197" s="29" t="str"/>
      <x:c r="N197" s="29" t="str"/>
      <x:c r="O197" s="29" t="str">
        <x:f>IF(COUNTIF(F197:K197,"NOT_RUN")=6,"NOT_RUN",IF(AND(COUNTIF(F197:K197,"PASS")=6,L197&lt;&gt;"",M197&lt;&gt;"",N197&lt;&gt;""),"PASS","HOLD"))</x:f>
        <x:v>NOT_RUN</x:v>
      </x:c>
    </x:row>
    <x:row r="198">
      <x:c r="A198" s="29" t="str">
        <x:v>DIO-EVT-033</x:v>
      </x:c>
      <x:c r="B198" s="29" t="str">
        <x:v>LOT-2</x:v>
      </x:c>
      <x:c r="C198" s="29" t="str">
        <x:v>H-MIC2</x:v>
      </x:c>
      <x:c r="D198" s="29" t="n">
        <x:v>275</x:v>
      </x:c>
      <x:c r="E198" s="29" t="n">
        <x:v>5</x:v>
      </x:c>
      <x:c r="F198" s="29" t="str">
        <x:v>NOT_RUN</x:v>
      </x:c>
      <x:c r="G198" s="29" t="str">
        <x:v>NOT_RUN</x:v>
      </x:c>
      <x:c r="H198" s="29" t="str">
        <x:v>NOT_RUN</x:v>
      </x:c>
      <x:c r="I198" s="29" t="str">
        <x:v>NOT_RUN</x:v>
      </x:c>
      <x:c r="J198" s="29" t="str">
        <x:v>NOT_RUN</x:v>
      </x:c>
      <x:c r="K198" s="29" t="str">
        <x:v>NOT_RUN</x:v>
      </x:c>
      <x:c r="L198" s="29" t="str"/>
      <x:c r="M198" s="29" t="str"/>
      <x:c r="N198" s="29" t="str"/>
      <x:c r="O198" s="29" t="str">
        <x:f>IF(COUNTIF(F198:K198,"NOT_RUN")=6,"NOT_RUN",IF(AND(COUNTIF(F198:K198,"PASS")=6,L198&lt;&gt;"",M198&lt;&gt;"",N198&lt;&gt;""),"PASS","HOLD"))</x:f>
        <x:v>NOT_RUN</x:v>
      </x:c>
    </x:row>
    <x:row r="199">
      <x:c r="A199" s="29" t="str">
        <x:v>DIO-EVT-033</x:v>
      </x:c>
      <x:c r="B199" s="29" t="str">
        <x:v>LOT-2</x:v>
      </x:c>
      <x:c r="C199" s="29" t="str">
        <x:v>H-MIC3</x:v>
      </x:c>
      <x:c r="D199" s="29" t="n">
        <x:v>275</x:v>
      </x:c>
      <x:c r="E199" s="29" t="n">
        <x:v>5</x:v>
      </x:c>
      <x:c r="F199" s="29" t="str">
        <x:v>NOT_RUN</x:v>
      </x:c>
      <x:c r="G199" s="29" t="str">
        <x:v>NOT_RUN</x:v>
      </x:c>
      <x:c r="H199" s="29" t="str">
        <x:v>NOT_RUN</x:v>
      </x:c>
      <x:c r="I199" s="29" t="str">
        <x:v>NOT_RUN</x:v>
      </x:c>
      <x:c r="J199" s="29" t="str">
        <x:v>NOT_RUN</x:v>
      </x:c>
      <x:c r="K199" s="29" t="str">
        <x:v>NOT_RUN</x:v>
      </x:c>
      <x:c r="L199" s="29" t="str"/>
      <x:c r="M199" s="29" t="str"/>
      <x:c r="N199" s="29" t="str"/>
      <x:c r="O199" s="29" t="str">
        <x:f>IF(COUNTIF(F199:K199,"NOT_RUN")=6,"NOT_RUN",IF(AND(COUNTIF(F199:K199,"PASS")=6,L199&lt;&gt;"",M199&lt;&gt;"",N199&lt;&gt;""),"PASS","HOLD"))</x:f>
        <x:v>NOT_RUN</x:v>
      </x:c>
    </x:row>
    <x:row r="200">
      <x:c r="A200" s="29" t="str">
        <x:v>DIO-EVT-033</x:v>
      </x:c>
      <x:c r="B200" s="29" t="str">
        <x:v>LOT-2</x:v>
      </x:c>
      <x:c r="C200" s="29" t="str">
        <x:v>H-MIC4</x:v>
      </x:c>
      <x:c r="D200" s="29" t="n">
        <x:v>275</x:v>
      </x:c>
      <x:c r="E200" s="29" t="n">
        <x:v>5</x:v>
      </x:c>
      <x:c r="F200" s="29" t="str">
        <x:v>NOT_RUN</x:v>
      </x:c>
      <x:c r="G200" s="29" t="str">
        <x:v>NOT_RUN</x:v>
      </x:c>
      <x:c r="H200" s="29" t="str">
        <x:v>NOT_RUN</x:v>
      </x:c>
      <x:c r="I200" s="29" t="str">
        <x:v>NOT_RUN</x:v>
      </x:c>
      <x:c r="J200" s="29" t="str">
        <x:v>NOT_RUN</x:v>
      </x:c>
      <x:c r="K200" s="29" t="str">
        <x:v>NOT_RUN</x:v>
      </x:c>
      <x:c r="L200" s="29" t="str"/>
      <x:c r="M200" s="29" t="str"/>
      <x:c r="N200" s="29" t="str"/>
      <x:c r="O200" s="29" t="str">
        <x:f>IF(COUNTIF(F200:K200,"NOT_RUN")=6,"NOT_RUN",IF(AND(COUNTIF(F200:K200,"PASS")=6,L200&lt;&gt;"",M200&lt;&gt;"",N200&lt;&gt;""),"PASS","HOLD"))</x:f>
        <x:v>NOT_RUN</x:v>
      </x:c>
    </x:row>
    <x:row r="201">
      <x:c r="A201" s="29" t="str">
        <x:v>DIO-EVT-033</x:v>
      </x:c>
      <x:c r="B201" s="29" t="str">
        <x:v>LOT-2</x:v>
      </x:c>
      <x:c r="C201" s="29" t="str">
        <x:v>H-MAIN-PWR</x:v>
      </x:c>
      <x:c r="D201" s="29" t="n">
        <x:v>440</x:v>
      </x:c>
      <x:c r="E201" s="29" t="n">
        <x:v>5</x:v>
      </x:c>
      <x:c r="F201" s="29" t="str">
        <x:v>NOT_RUN</x:v>
      </x:c>
      <x:c r="G201" s="29" t="str">
        <x:v>NOT_RUN</x:v>
      </x:c>
      <x:c r="H201" s="29" t="str">
        <x:v>NOT_RUN</x:v>
      </x:c>
      <x:c r="I201" s="29" t="str">
        <x:v>NOT_RUN</x:v>
      </x:c>
      <x:c r="J201" s="29" t="str">
        <x:v>NOT_RUN</x:v>
      </x:c>
      <x:c r="K201" s="29" t="str">
        <x:v>NOT_RUN</x:v>
      </x:c>
      <x:c r="L201" s="29" t="str"/>
      <x:c r="M201" s="29" t="str"/>
      <x:c r="N201" s="29" t="str"/>
      <x:c r="O201" s="29" t="str">
        <x:f>IF(COUNTIF(F201:K201,"NOT_RUN")=6,"NOT_RUN",IF(AND(COUNTIF(F201:K201,"PASS")=6,L201&lt;&gt;"",M201&lt;&gt;"",N201&lt;&gt;""),"PASS","HOLD"))</x:f>
        <x:v>NOT_RUN</x:v>
      </x:c>
    </x:row>
    <x:row r="202">
      <x:c r="A202" s="29" t="str">
        <x:v>DIO-EVT-033</x:v>
      </x:c>
      <x:c r="B202" s="29" t="str">
        <x:v>LOT-2</x:v>
      </x:c>
      <x:c r="C202" s="29" t="str">
        <x:v>H-BAT-PWR</x:v>
      </x:c>
      <x:c r="D202" s="29" t="n">
        <x:v>330</x:v>
      </x:c>
      <x:c r="E202" s="29" t="n">
        <x:v>5</x:v>
      </x:c>
      <x:c r="F202" s="29" t="str">
        <x:v>NOT_RUN</x:v>
      </x:c>
      <x:c r="G202" s="29" t="str">
        <x:v>NOT_RUN</x:v>
      </x:c>
      <x:c r="H202" s="29" t="str">
        <x:v>NOT_RUN</x:v>
      </x:c>
      <x:c r="I202" s="29" t="str">
        <x:v>NOT_RUN</x:v>
      </x:c>
      <x:c r="J202" s="29" t="str">
        <x:v>NOT_RUN</x:v>
      </x:c>
      <x:c r="K202" s="29" t="str">
        <x:v>NOT_RUN</x:v>
      </x:c>
      <x:c r="L202" s="29" t="str"/>
      <x:c r="M202" s="29" t="str"/>
      <x:c r="N202" s="29" t="str"/>
      <x:c r="O202" s="29" t="str">
        <x:f>IF(COUNTIF(F202:K202,"NOT_RUN")=6,"NOT_RUN",IF(AND(COUNTIF(F202:K202,"PASS")=6,L202&lt;&gt;"",M202&lt;&gt;"",N202&lt;&gt;""),"PASS","HOLD"))</x:f>
        <x:v>NOT_RUN</x:v>
      </x:c>
    </x:row>
    <x:row r="203">
      <x:c r="A203" s="29" t="str">
        <x:v>DIO-EVT-034</x:v>
      </x:c>
      <x:c r="B203" s="29" t="str">
        <x:v>LOT-2</x:v>
      </x:c>
      <x:c r="C203" s="29" t="str">
        <x:v>H-MIC1</x:v>
      </x:c>
      <x:c r="D203" s="29" t="n">
        <x:v>275</x:v>
      </x:c>
      <x:c r="E203" s="29" t="n">
        <x:v>5</x:v>
      </x:c>
      <x:c r="F203" s="29" t="str">
        <x:v>NOT_RUN</x:v>
      </x:c>
      <x:c r="G203" s="29" t="str">
        <x:v>NOT_RUN</x:v>
      </x:c>
      <x:c r="H203" s="29" t="str">
        <x:v>NOT_RUN</x:v>
      </x:c>
      <x:c r="I203" s="29" t="str">
        <x:v>NOT_RUN</x:v>
      </x:c>
      <x:c r="J203" s="29" t="str">
        <x:v>NOT_RUN</x:v>
      </x:c>
      <x:c r="K203" s="29" t="str">
        <x:v>NOT_RUN</x:v>
      </x:c>
      <x:c r="L203" s="29" t="str"/>
      <x:c r="M203" s="29" t="str"/>
      <x:c r="N203" s="29" t="str"/>
      <x:c r="O203" s="29" t="str">
        <x:f>IF(COUNTIF(F203:K203,"NOT_RUN")=6,"NOT_RUN",IF(AND(COUNTIF(F203:K203,"PASS")=6,L203&lt;&gt;"",M203&lt;&gt;"",N203&lt;&gt;""),"PASS","HOLD"))</x:f>
        <x:v>NOT_RUN</x:v>
      </x:c>
    </x:row>
    <x:row r="204">
      <x:c r="A204" s="29" t="str">
        <x:v>DIO-EVT-034</x:v>
      </x:c>
      <x:c r="B204" s="29" t="str">
        <x:v>LOT-2</x:v>
      </x:c>
      <x:c r="C204" s="29" t="str">
        <x:v>H-MIC2</x:v>
      </x:c>
      <x:c r="D204" s="29" t="n">
        <x:v>275</x:v>
      </x:c>
      <x:c r="E204" s="29" t="n">
        <x:v>5</x:v>
      </x:c>
      <x:c r="F204" s="29" t="str">
        <x:v>NOT_RUN</x:v>
      </x:c>
      <x:c r="G204" s="29" t="str">
        <x:v>NOT_RUN</x:v>
      </x:c>
      <x:c r="H204" s="29" t="str">
        <x:v>NOT_RUN</x:v>
      </x:c>
      <x:c r="I204" s="29" t="str">
        <x:v>NOT_RUN</x:v>
      </x:c>
      <x:c r="J204" s="29" t="str">
        <x:v>NOT_RUN</x:v>
      </x:c>
      <x:c r="K204" s="29" t="str">
        <x:v>NOT_RUN</x:v>
      </x:c>
      <x:c r="L204" s="29" t="str"/>
      <x:c r="M204" s="29" t="str"/>
      <x:c r="N204" s="29" t="str"/>
      <x:c r="O204" s="29" t="str">
        <x:f>IF(COUNTIF(F204:K204,"NOT_RUN")=6,"NOT_RUN",IF(AND(COUNTIF(F204:K204,"PASS")=6,L204&lt;&gt;"",M204&lt;&gt;"",N204&lt;&gt;""),"PASS","HOLD"))</x:f>
        <x:v>NOT_RUN</x:v>
      </x:c>
    </x:row>
    <x:row r="205">
      <x:c r="A205" s="29" t="str">
        <x:v>DIO-EVT-034</x:v>
      </x:c>
      <x:c r="B205" s="29" t="str">
        <x:v>LOT-2</x:v>
      </x:c>
      <x:c r="C205" s="29" t="str">
        <x:v>H-MIC3</x:v>
      </x:c>
      <x:c r="D205" s="29" t="n">
        <x:v>275</x:v>
      </x:c>
      <x:c r="E205" s="29" t="n">
        <x:v>5</x:v>
      </x:c>
      <x:c r="F205" s="29" t="str">
        <x:v>NOT_RUN</x:v>
      </x:c>
      <x:c r="G205" s="29" t="str">
        <x:v>NOT_RUN</x:v>
      </x:c>
      <x:c r="H205" s="29" t="str">
        <x:v>NOT_RUN</x:v>
      </x:c>
      <x:c r="I205" s="29" t="str">
        <x:v>NOT_RUN</x:v>
      </x:c>
      <x:c r="J205" s="29" t="str">
        <x:v>NOT_RUN</x:v>
      </x:c>
      <x:c r="K205" s="29" t="str">
        <x:v>NOT_RUN</x:v>
      </x:c>
      <x:c r="L205" s="29" t="str"/>
      <x:c r="M205" s="29" t="str"/>
      <x:c r="N205" s="29" t="str"/>
      <x:c r="O205" s="29" t="str">
        <x:f>IF(COUNTIF(F205:K205,"NOT_RUN")=6,"NOT_RUN",IF(AND(COUNTIF(F205:K205,"PASS")=6,L205&lt;&gt;"",M205&lt;&gt;"",N205&lt;&gt;""),"PASS","HOLD"))</x:f>
        <x:v>NOT_RUN</x:v>
      </x:c>
    </x:row>
    <x:row r="206">
      <x:c r="A206" s="29" t="str">
        <x:v>DIO-EVT-034</x:v>
      </x:c>
      <x:c r="B206" s="29" t="str">
        <x:v>LOT-2</x:v>
      </x:c>
      <x:c r="C206" s="29" t="str">
        <x:v>H-MIC4</x:v>
      </x:c>
      <x:c r="D206" s="29" t="n">
        <x:v>275</x:v>
      </x:c>
      <x:c r="E206" s="29" t="n">
        <x:v>5</x:v>
      </x:c>
      <x:c r="F206" s="29" t="str">
        <x:v>NOT_RUN</x:v>
      </x:c>
      <x:c r="G206" s="29" t="str">
        <x:v>NOT_RUN</x:v>
      </x:c>
      <x:c r="H206" s="29" t="str">
        <x:v>NOT_RUN</x:v>
      </x:c>
      <x:c r="I206" s="29" t="str">
        <x:v>NOT_RUN</x:v>
      </x:c>
      <x:c r="J206" s="29" t="str">
        <x:v>NOT_RUN</x:v>
      </x:c>
      <x:c r="K206" s="29" t="str">
        <x:v>NOT_RUN</x:v>
      </x:c>
      <x:c r="L206" s="29" t="str"/>
      <x:c r="M206" s="29" t="str"/>
      <x:c r="N206" s="29" t="str"/>
      <x:c r="O206" s="29" t="str">
        <x:f>IF(COUNTIF(F206:K206,"NOT_RUN")=6,"NOT_RUN",IF(AND(COUNTIF(F206:K206,"PASS")=6,L206&lt;&gt;"",M206&lt;&gt;"",N206&lt;&gt;""),"PASS","HOLD"))</x:f>
        <x:v>NOT_RUN</x:v>
      </x:c>
    </x:row>
    <x:row r="207">
      <x:c r="A207" s="29" t="str">
        <x:v>DIO-EVT-034</x:v>
      </x:c>
      <x:c r="B207" s="29" t="str">
        <x:v>LOT-2</x:v>
      </x:c>
      <x:c r="C207" s="29" t="str">
        <x:v>H-MAIN-PWR</x:v>
      </x:c>
      <x:c r="D207" s="29" t="n">
        <x:v>440</x:v>
      </x:c>
      <x:c r="E207" s="29" t="n">
        <x:v>5</x:v>
      </x:c>
      <x:c r="F207" s="29" t="str">
        <x:v>NOT_RUN</x:v>
      </x:c>
      <x:c r="G207" s="29" t="str">
        <x:v>NOT_RUN</x:v>
      </x:c>
      <x:c r="H207" s="29" t="str">
        <x:v>NOT_RUN</x:v>
      </x:c>
      <x:c r="I207" s="29" t="str">
        <x:v>NOT_RUN</x:v>
      </x:c>
      <x:c r="J207" s="29" t="str">
        <x:v>NOT_RUN</x:v>
      </x:c>
      <x:c r="K207" s="29" t="str">
        <x:v>NOT_RUN</x:v>
      </x:c>
      <x:c r="L207" s="29" t="str"/>
      <x:c r="M207" s="29" t="str"/>
      <x:c r="N207" s="29" t="str"/>
      <x:c r="O207" s="29" t="str">
        <x:f>IF(COUNTIF(F207:K207,"NOT_RUN")=6,"NOT_RUN",IF(AND(COUNTIF(F207:K207,"PASS")=6,L207&lt;&gt;"",M207&lt;&gt;"",N207&lt;&gt;""),"PASS","HOLD"))</x:f>
        <x:v>NOT_RUN</x:v>
      </x:c>
    </x:row>
    <x:row r="208">
      <x:c r="A208" s="29" t="str">
        <x:v>DIO-EVT-034</x:v>
      </x:c>
      <x:c r="B208" s="29" t="str">
        <x:v>LOT-2</x:v>
      </x:c>
      <x:c r="C208" s="29" t="str">
        <x:v>H-BAT-PWR</x:v>
      </x:c>
      <x:c r="D208" s="29" t="n">
        <x:v>330</x:v>
      </x:c>
      <x:c r="E208" s="29" t="n">
        <x:v>5</x:v>
      </x:c>
      <x:c r="F208" s="29" t="str">
        <x:v>NOT_RUN</x:v>
      </x:c>
      <x:c r="G208" s="29" t="str">
        <x:v>NOT_RUN</x:v>
      </x:c>
      <x:c r="H208" s="29" t="str">
        <x:v>NOT_RUN</x:v>
      </x:c>
      <x:c r="I208" s="29" t="str">
        <x:v>NOT_RUN</x:v>
      </x:c>
      <x:c r="J208" s="29" t="str">
        <x:v>NOT_RUN</x:v>
      </x:c>
      <x:c r="K208" s="29" t="str">
        <x:v>NOT_RUN</x:v>
      </x:c>
      <x:c r="L208" s="29" t="str"/>
      <x:c r="M208" s="29" t="str"/>
      <x:c r="N208" s="29" t="str"/>
      <x:c r="O208" s="29" t="str">
        <x:f>IF(COUNTIF(F208:K208,"NOT_RUN")=6,"NOT_RUN",IF(AND(COUNTIF(F208:K208,"PASS")=6,L208&lt;&gt;"",M208&lt;&gt;"",N208&lt;&gt;""),"PASS","HOLD"))</x:f>
        <x:v>NOT_RUN</x:v>
      </x:c>
    </x:row>
    <x:row r="209">
      <x:c r="A209" s="29" t="str">
        <x:v>DIO-EVT-035</x:v>
      </x:c>
      <x:c r="B209" s="29" t="str">
        <x:v>LOT-2</x:v>
      </x:c>
      <x:c r="C209" s="29" t="str">
        <x:v>H-MIC1</x:v>
      </x:c>
      <x:c r="D209" s="29" t="n">
        <x:v>275</x:v>
      </x:c>
      <x:c r="E209" s="29" t="n">
        <x:v>5</x:v>
      </x:c>
      <x:c r="F209" s="29" t="str">
        <x:v>NOT_RUN</x:v>
      </x:c>
      <x:c r="G209" s="29" t="str">
        <x:v>NOT_RUN</x:v>
      </x:c>
      <x:c r="H209" s="29" t="str">
        <x:v>NOT_RUN</x:v>
      </x:c>
      <x:c r="I209" s="29" t="str">
        <x:v>NOT_RUN</x:v>
      </x:c>
      <x:c r="J209" s="29" t="str">
        <x:v>NOT_RUN</x:v>
      </x:c>
      <x:c r="K209" s="29" t="str">
        <x:v>NOT_RUN</x:v>
      </x:c>
      <x:c r="L209" s="29" t="str"/>
      <x:c r="M209" s="29" t="str"/>
      <x:c r="N209" s="29" t="str"/>
      <x:c r="O209" s="29" t="str">
        <x:f>IF(COUNTIF(F209:K209,"NOT_RUN")=6,"NOT_RUN",IF(AND(COUNTIF(F209:K209,"PASS")=6,L209&lt;&gt;"",M209&lt;&gt;"",N209&lt;&gt;""),"PASS","HOLD"))</x:f>
        <x:v>NOT_RUN</x:v>
      </x:c>
    </x:row>
    <x:row r="210">
      <x:c r="A210" s="29" t="str">
        <x:v>DIO-EVT-035</x:v>
      </x:c>
      <x:c r="B210" s="29" t="str">
        <x:v>LOT-2</x:v>
      </x:c>
      <x:c r="C210" s="29" t="str">
        <x:v>H-MIC2</x:v>
      </x:c>
      <x:c r="D210" s="29" t="n">
        <x:v>275</x:v>
      </x:c>
      <x:c r="E210" s="29" t="n">
        <x:v>5</x:v>
      </x:c>
      <x:c r="F210" s="29" t="str">
        <x:v>NOT_RUN</x:v>
      </x:c>
      <x:c r="G210" s="29" t="str">
        <x:v>NOT_RUN</x:v>
      </x:c>
      <x:c r="H210" s="29" t="str">
        <x:v>NOT_RUN</x:v>
      </x:c>
      <x:c r="I210" s="29" t="str">
        <x:v>NOT_RUN</x:v>
      </x:c>
      <x:c r="J210" s="29" t="str">
        <x:v>NOT_RUN</x:v>
      </x:c>
      <x:c r="K210" s="29" t="str">
        <x:v>NOT_RUN</x:v>
      </x:c>
      <x:c r="L210" s="29" t="str"/>
      <x:c r="M210" s="29" t="str"/>
      <x:c r="N210" s="29" t="str"/>
      <x:c r="O210" s="29" t="str">
        <x:f>IF(COUNTIF(F210:K210,"NOT_RUN")=6,"NOT_RUN",IF(AND(COUNTIF(F210:K210,"PASS")=6,L210&lt;&gt;"",M210&lt;&gt;"",N210&lt;&gt;""),"PASS","HOLD"))</x:f>
        <x:v>NOT_RUN</x:v>
      </x:c>
    </x:row>
    <x:row r="211">
      <x:c r="A211" s="29" t="str">
        <x:v>DIO-EVT-035</x:v>
      </x:c>
      <x:c r="B211" s="29" t="str">
        <x:v>LOT-2</x:v>
      </x:c>
      <x:c r="C211" s="29" t="str">
        <x:v>H-MIC3</x:v>
      </x:c>
      <x:c r="D211" s="29" t="n">
        <x:v>275</x:v>
      </x:c>
      <x:c r="E211" s="29" t="n">
        <x:v>5</x:v>
      </x:c>
      <x:c r="F211" s="29" t="str">
        <x:v>NOT_RUN</x:v>
      </x:c>
      <x:c r="G211" s="29" t="str">
        <x:v>NOT_RUN</x:v>
      </x:c>
      <x:c r="H211" s="29" t="str">
        <x:v>NOT_RUN</x:v>
      </x:c>
      <x:c r="I211" s="29" t="str">
        <x:v>NOT_RUN</x:v>
      </x:c>
      <x:c r="J211" s="29" t="str">
        <x:v>NOT_RUN</x:v>
      </x:c>
      <x:c r="K211" s="29" t="str">
        <x:v>NOT_RUN</x:v>
      </x:c>
      <x:c r="L211" s="29" t="str"/>
      <x:c r="M211" s="29" t="str"/>
      <x:c r="N211" s="29" t="str"/>
      <x:c r="O211" s="29" t="str">
        <x:f>IF(COUNTIF(F211:K211,"NOT_RUN")=6,"NOT_RUN",IF(AND(COUNTIF(F211:K211,"PASS")=6,L211&lt;&gt;"",M211&lt;&gt;"",N211&lt;&gt;""),"PASS","HOLD"))</x:f>
        <x:v>NOT_RUN</x:v>
      </x:c>
    </x:row>
    <x:row r="212">
      <x:c r="A212" s="29" t="str">
        <x:v>DIO-EVT-035</x:v>
      </x:c>
      <x:c r="B212" s="29" t="str">
        <x:v>LOT-2</x:v>
      </x:c>
      <x:c r="C212" s="29" t="str">
        <x:v>H-MIC4</x:v>
      </x:c>
      <x:c r="D212" s="29" t="n">
        <x:v>275</x:v>
      </x:c>
      <x:c r="E212" s="29" t="n">
        <x:v>5</x:v>
      </x:c>
      <x:c r="F212" s="29" t="str">
        <x:v>NOT_RUN</x:v>
      </x:c>
      <x:c r="G212" s="29" t="str">
        <x:v>NOT_RUN</x:v>
      </x:c>
      <x:c r="H212" s="29" t="str">
        <x:v>NOT_RUN</x:v>
      </x:c>
      <x:c r="I212" s="29" t="str">
        <x:v>NOT_RUN</x:v>
      </x:c>
      <x:c r="J212" s="29" t="str">
        <x:v>NOT_RUN</x:v>
      </x:c>
      <x:c r="K212" s="29" t="str">
        <x:v>NOT_RUN</x:v>
      </x:c>
      <x:c r="L212" s="29" t="str"/>
      <x:c r="M212" s="29" t="str"/>
      <x:c r="N212" s="29" t="str"/>
      <x:c r="O212" s="29" t="str">
        <x:f>IF(COUNTIF(F212:K212,"NOT_RUN")=6,"NOT_RUN",IF(AND(COUNTIF(F212:K212,"PASS")=6,L212&lt;&gt;"",M212&lt;&gt;"",N212&lt;&gt;""),"PASS","HOLD"))</x:f>
        <x:v>NOT_RUN</x:v>
      </x:c>
    </x:row>
    <x:row r="213">
      <x:c r="A213" s="29" t="str">
        <x:v>DIO-EVT-035</x:v>
      </x:c>
      <x:c r="B213" s="29" t="str">
        <x:v>LOT-2</x:v>
      </x:c>
      <x:c r="C213" s="29" t="str">
        <x:v>H-MAIN-PWR</x:v>
      </x:c>
      <x:c r="D213" s="29" t="n">
        <x:v>440</x:v>
      </x:c>
      <x:c r="E213" s="29" t="n">
        <x:v>5</x:v>
      </x:c>
      <x:c r="F213" s="29" t="str">
        <x:v>NOT_RUN</x:v>
      </x:c>
      <x:c r="G213" s="29" t="str">
        <x:v>NOT_RUN</x:v>
      </x:c>
      <x:c r="H213" s="29" t="str">
        <x:v>NOT_RUN</x:v>
      </x:c>
      <x:c r="I213" s="29" t="str">
        <x:v>NOT_RUN</x:v>
      </x:c>
      <x:c r="J213" s="29" t="str">
        <x:v>NOT_RUN</x:v>
      </x:c>
      <x:c r="K213" s="29" t="str">
        <x:v>NOT_RUN</x:v>
      </x:c>
      <x:c r="L213" s="29" t="str"/>
      <x:c r="M213" s="29" t="str"/>
      <x:c r="N213" s="29" t="str"/>
      <x:c r="O213" s="29" t="str">
        <x:f>IF(COUNTIF(F213:K213,"NOT_RUN")=6,"NOT_RUN",IF(AND(COUNTIF(F213:K213,"PASS")=6,L213&lt;&gt;"",M213&lt;&gt;"",N213&lt;&gt;""),"PASS","HOLD"))</x:f>
        <x:v>NOT_RUN</x:v>
      </x:c>
    </x:row>
    <x:row r="214">
      <x:c r="A214" s="29" t="str">
        <x:v>DIO-EVT-035</x:v>
      </x:c>
      <x:c r="B214" s="29" t="str">
        <x:v>LOT-2</x:v>
      </x:c>
      <x:c r="C214" s="29" t="str">
        <x:v>H-BAT-PWR</x:v>
      </x:c>
      <x:c r="D214" s="29" t="n">
        <x:v>330</x:v>
      </x:c>
      <x:c r="E214" s="29" t="n">
        <x:v>5</x:v>
      </x:c>
      <x:c r="F214" s="29" t="str">
        <x:v>NOT_RUN</x:v>
      </x:c>
      <x:c r="G214" s="29" t="str">
        <x:v>NOT_RUN</x:v>
      </x:c>
      <x:c r="H214" s="29" t="str">
        <x:v>NOT_RUN</x:v>
      </x:c>
      <x:c r="I214" s="29" t="str">
        <x:v>NOT_RUN</x:v>
      </x:c>
      <x:c r="J214" s="29" t="str">
        <x:v>NOT_RUN</x:v>
      </x:c>
      <x:c r="K214" s="29" t="str">
        <x:v>NOT_RUN</x:v>
      </x:c>
      <x:c r="L214" s="29" t="str"/>
      <x:c r="M214" s="29" t="str"/>
      <x:c r="N214" s="29" t="str"/>
      <x:c r="O214" s="29" t="str">
        <x:f>IF(COUNTIF(F214:K214,"NOT_RUN")=6,"NOT_RUN",IF(AND(COUNTIF(F214:K214,"PASS")=6,L214&lt;&gt;"",M214&lt;&gt;"",N214&lt;&gt;""),"PASS","HOLD"))</x:f>
        <x:v>NOT_RUN</x:v>
      </x:c>
    </x:row>
    <x:row r="215">
      <x:c r="A215" s="29" t="str">
        <x:v>DIO-EVT-036</x:v>
      </x:c>
      <x:c r="B215" s="29" t="str">
        <x:v>LOT-2</x:v>
      </x:c>
      <x:c r="C215" s="29" t="str">
        <x:v>H-MIC1</x:v>
      </x:c>
      <x:c r="D215" s="29" t="n">
        <x:v>275</x:v>
      </x:c>
      <x:c r="E215" s="29" t="n">
        <x:v>5</x:v>
      </x:c>
      <x:c r="F215" s="29" t="str">
        <x:v>NOT_RUN</x:v>
      </x:c>
      <x:c r="G215" s="29" t="str">
        <x:v>NOT_RUN</x:v>
      </x:c>
      <x:c r="H215" s="29" t="str">
        <x:v>NOT_RUN</x:v>
      </x:c>
      <x:c r="I215" s="29" t="str">
        <x:v>NOT_RUN</x:v>
      </x:c>
      <x:c r="J215" s="29" t="str">
        <x:v>NOT_RUN</x:v>
      </x:c>
      <x:c r="K215" s="29" t="str">
        <x:v>NOT_RUN</x:v>
      </x:c>
      <x:c r="L215" s="29" t="str"/>
      <x:c r="M215" s="29" t="str"/>
      <x:c r="N215" s="29" t="str"/>
      <x:c r="O215" s="29" t="str">
        <x:f>IF(COUNTIF(F215:K215,"NOT_RUN")=6,"NOT_RUN",IF(AND(COUNTIF(F215:K215,"PASS")=6,L215&lt;&gt;"",M215&lt;&gt;"",N215&lt;&gt;""),"PASS","HOLD"))</x:f>
        <x:v>NOT_RUN</x:v>
      </x:c>
    </x:row>
    <x:row r="216">
      <x:c r="A216" s="29" t="str">
        <x:v>DIO-EVT-036</x:v>
      </x:c>
      <x:c r="B216" s="29" t="str">
        <x:v>LOT-2</x:v>
      </x:c>
      <x:c r="C216" s="29" t="str">
        <x:v>H-MIC2</x:v>
      </x:c>
      <x:c r="D216" s="29" t="n">
        <x:v>275</x:v>
      </x:c>
      <x:c r="E216" s="29" t="n">
        <x:v>5</x:v>
      </x:c>
      <x:c r="F216" s="29" t="str">
        <x:v>NOT_RUN</x:v>
      </x:c>
      <x:c r="G216" s="29" t="str">
        <x:v>NOT_RUN</x:v>
      </x:c>
      <x:c r="H216" s="29" t="str">
        <x:v>NOT_RUN</x:v>
      </x:c>
      <x:c r="I216" s="29" t="str">
        <x:v>NOT_RUN</x:v>
      </x:c>
      <x:c r="J216" s="29" t="str">
        <x:v>NOT_RUN</x:v>
      </x:c>
      <x:c r="K216" s="29" t="str">
        <x:v>NOT_RUN</x:v>
      </x:c>
      <x:c r="L216" s="29" t="str"/>
      <x:c r="M216" s="29" t="str"/>
      <x:c r="N216" s="29" t="str"/>
      <x:c r="O216" s="29" t="str">
        <x:f>IF(COUNTIF(F216:K216,"NOT_RUN")=6,"NOT_RUN",IF(AND(COUNTIF(F216:K216,"PASS")=6,L216&lt;&gt;"",M216&lt;&gt;"",N216&lt;&gt;""),"PASS","HOLD"))</x:f>
        <x:v>NOT_RUN</x:v>
      </x:c>
    </x:row>
    <x:row r="217">
      <x:c r="A217" s="29" t="str">
        <x:v>DIO-EVT-036</x:v>
      </x:c>
      <x:c r="B217" s="29" t="str">
        <x:v>LOT-2</x:v>
      </x:c>
      <x:c r="C217" s="29" t="str">
        <x:v>H-MIC3</x:v>
      </x:c>
      <x:c r="D217" s="29" t="n">
        <x:v>275</x:v>
      </x:c>
      <x:c r="E217" s="29" t="n">
        <x:v>5</x:v>
      </x:c>
      <x:c r="F217" s="29" t="str">
        <x:v>NOT_RUN</x:v>
      </x:c>
      <x:c r="G217" s="29" t="str">
        <x:v>NOT_RUN</x:v>
      </x:c>
      <x:c r="H217" s="29" t="str">
        <x:v>NOT_RUN</x:v>
      </x:c>
      <x:c r="I217" s="29" t="str">
        <x:v>NOT_RUN</x:v>
      </x:c>
      <x:c r="J217" s="29" t="str">
        <x:v>NOT_RUN</x:v>
      </x:c>
      <x:c r="K217" s="29" t="str">
        <x:v>NOT_RUN</x:v>
      </x:c>
      <x:c r="L217" s="29" t="str"/>
      <x:c r="M217" s="29" t="str"/>
      <x:c r="N217" s="29" t="str"/>
      <x:c r="O217" s="29" t="str">
        <x:f>IF(COUNTIF(F217:K217,"NOT_RUN")=6,"NOT_RUN",IF(AND(COUNTIF(F217:K217,"PASS")=6,L217&lt;&gt;"",M217&lt;&gt;"",N217&lt;&gt;""),"PASS","HOLD"))</x:f>
        <x:v>NOT_RUN</x:v>
      </x:c>
    </x:row>
    <x:row r="218">
      <x:c r="A218" s="29" t="str">
        <x:v>DIO-EVT-036</x:v>
      </x:c>
      <x:c r="B218" s="29" t="str">
        <x:v>LOT-2</x:v>
      </x:c>
      <x:c r="C218" s="29" t="str">
        <x:v>H-MIC4</x:v>
      </x:c>
      <x:c r="D218" s="29" t="n">
        <x:v>275</x:v>
      </x:c>
      <x:c r="E218" s="29" t="n">
        <x:v>5</x:v>
      </x:c>
      <x:c r="F218" s="29" t="str">
        <x:v>NOT_RUN</x:v>
      </x:c>
      <x:c r="G218" s="29" t="str">
        <x:v>NOT_RUN</x:v>
      </x:c>
      <x:c r="H218" s="29" t="str">
        <x:v>NOT_RUN</x:v>
      </x:c>
      <x:c r="I218" s="29" t="str">
        <x:v>NOT_RUN</x:v>
      </x:c>
      <x:c r="J218" s="29" t="str">
        <x:v>NOT_RUN</x:v>
      </x:c>
      <x:c r="K218" s="29" t="str">
        <x:v>NOT_RUN</x:v>
      </x:c>
      <x:c r="L218" s="29" t="str"/>
      <x:c r="M218" s="29" t="str"/>
      <x:c r="N218" s="29" t="str"/>
      <x:c r="O218" s="29" t="str">
        <x:f>IF(COUNTIF(F218:K218,"NOT_RUN")=6,"NOT_RUN",IF(AND(COUNTIF(F218:K218,"PASS")=6,L218&lt;&gt;"",M218&lt;&gt;"",N218&lt;&gt;""),"PASS","HOLD"))</x:f>
        <x:v>NOT_RUN</x:v>
      </x:c>
    </x:row>
    <x:row r="219">
      <x:c r="A219" s="29" t="str">
        <x:v>DIO-EVT-036</x:v>
      </x:c>
      <x:c r="B219" s="29" t="str">
        <x:v>LOT-2</x:v>
      </x:c>
      <x:c r="C219" s="29" t="str">
        <x:v>H-MAIN-PWR</x:v>
      </x:c>
      <x:c r="D219" s="29" t="n">
        <x:v>440</x:v>
      </x:c>
      <x:c r="E219" s="29" t="n">
        <x:v>5</x:v>
      </x:c>
      <x:c r="F219" s="29" t="str">
        <x:v>NOT_RUN</x:v>
      </x:c>
      <x:c r="G219" s="29" t="str">
        <x:v>NOT_RUN</x:v>
      </x:c>
      <x:c r="H219" s="29" t="str">
        <x:v>NOT_RUN</x:v>
      </x:c>
      <x:c r="I219" s="29" t="str">
        <x:v>NOT_RUN</x:v>
      </x:c>
      <x:c r="J219" s="29" t="str">
        <x:v>NOT_RUN</x:v>
      </x:c>
      <x:c r="K219" s="29" t="str">
        <x:v>NOT_RUN</x:v>
      </x:c>
      <x:c r="L219" s="29" t="str"/>
      <x:c r="M219" s="29" t="str"/>
      <x:c r="N219" s="29" t="str"/>
      <x:c r="O219" s="29" t="str">
        <x:f>IF(COUNTIF(F219:K219,"NOT_RUN")=6,"NOT_RUN",IF(AND(COUNTIF(F219:K219,"PASS")=6,L219&lt;&gt;"",M219&lt;&gt;"",N219&lt;&gt;""),"PASS","HOLD"))</x:f>
        <x:v>NOT_RUN</x:v>
      </x:c>
    </x:row>
    <x:row r="220">
      <x:c r="A220" s="29" t="str">
        <x:v>DIO-EVT-036</x:v>
      </x:c>
      <x:c r="B220" s="29" t="str">
        <x:v>LOT-2</x:v>
      </x:c>
      <x:c r="C220" s="29" t="str">
        <x:v>H-BAT-PWR</x:v>
      </x:c>
      <x:c r="D220" s="29" t="n">
        <x:v>330</x:v>
      </x:c>
      <x:c r="E220" s="29" t="n">
        <x:v>5</x:v>
      </x:c>
      <x:c r="F220" s="29" t="str">
        <x:v>NOT_RUN</x:v>
      </x:c>
      <x:c r="G220" s="29" t="str">
        <x:v>NOT_RUN</x:v>
      </x:c>
      <x:c r="H220" s="29" t="str">
        <x:v>NOT_RUN</x:v>
      </x:c>
      <x:c r="I220" s="29" t="str">
        <x:v>NOT_RUN</x:v>
      </x:c>
      <x:c r="J220" s="29" t="str">
        <x:v>NOT_RUN</x:v>
      </x:c>
      <x:c r="K220" s="29" t="str">
        <x:v>NOT_RUN</x:v>
      </x:c>
      <x:c r="L220" s="29" t="str"/>
      <x:c r="M220" s="29" t="str"/>
      <x:c r="N220" s="29" t="str"/>
      <x:c r="O220" s="29" t="str">
        <x:f>IF(COUNTIF(F220:K220,"NOT_RUN")=6,"NOT_RUN",IF(AND(COUNTIF(F220:K220,"PASS")=6,L220&lt;&gt;"",M220&lt;&gt;"",N220&lt;&gt;""),"PASS","HOLD"))</x:f>
        <x:v>NOT_RUN</x:v>
      </x:c>
    </x:row>
    <x:row r="221">
      <x:c r="A221" s="29" t="str">
        <x:v>DIO-EVT-037</x:v>
      </x:c>
      <x:c r="B221" s="29" t="str">
        <x:v>LOT-2</x:v>
      </x:c>
      <x:c r="C221" s="29" t="str">
        <x:v>H-MIC1</x:v>
      </x:c>
      <x:c r="D221" s="29" t="n">
        <x:v>275</x:v>
      </x:c>
      <x:c r="E221" s="29" t="n">
        <x:v>5</x:v>
      </x:c>
      <x:c r="F221" s="29" t="str">
        <x:v>NOT_RUN</x:v>
      </x:c>
      <x:c r="G221" s="29" t="str">
        <x:v>NOT_RUN</x:v>
      </x:c>
      <x:c r="H221" s="29" t="str">
        <x:v>NOT_RUN</x:v>
      </x:c>
      <x:c r="I221" s="29" t="str">
        <x:v>NOT_RUN</x:v>
      </x:c>
      <x:c r="J221" s="29" t="str">
        <x:v>NOT_RUN</x:v>
      </x:c>
      <x:c r="K221" s="29" t="str">
        <x:v>NOT_RUN</x:v>
      </x:c>
      <x:c r="L221" s="29" t="str"/>
      <x:c r="M221" s="29" t="str"/>
      <x:c r="N221" s="29" t="str"/>
      <x:c r="O221" s="29" t="str">
        <x:f>IF(COUNTIF(F221:K221,"NOT_RUN")=6,"NOT_RUN",IF(AND(COUNTIF(F221:K221,"PASS")=6,L221&lt;&gt;"",M221&lt;&gt;"",N221&lt;&gt;""),"PASS","HOLD"))</x:f>
        <x:v>NOT_RUN</x:v>
      </x:c>
    </x:row>
    <x:row r="222">
      <x:c r="A222" s="29" t="str">
        <x:v>DIO-EVT-037</x:v>
      </x:c>
      <x:c r="B222" s="29" t="str">
        <x:v>LOT-2</x:v>
      </x:c>
      <x:c r="C222" s="29" t="str">
        <x:v>H-MIC2</x:v>
      </x:c>
      <x:c r="D222" s="29" t="n">
        <x:v>275</x:v>
      </x:c>
      <x:c r="E222" s="29" t="n">
        <x:v>5</x:v>
      </x:c>
      <x:c r="F222" s="29" t="str">
        <x:v>NOT_RUN</x:v>
      </x:c>
      <x:c r="G222" s="29" t="str">
        <x:v>NOT_RUN</x:v>
      </x:c>
      <x:c r="H222" s="29" t="str">
        <x:v>NOT_RUN</x:v>
      </x:c>
      <x:c r="I222" s="29" t="str">
        <x:v>NOT_RUN</x:v>
      </x:c>
      <x:c r="J222" s="29" t="str">
        <x:v>NOT_RUN</x:v>
      </x:c>
      <x:c r="K222" s="29" t="str">
        <x:v>NOT_RUN</x:v>
      </x:c>
      <x:c r="L222" s="29" t="str"/>
      <x:c r="M222" s="29" t="str"/>
      <x:c r="N222" s="29" t="str"/>
      <x:c r="O222" s="29" t="str">
        <x:f>IF(COUNTIF(F222:K222,"NOT_RUN")=6,"NOT_RUN",IF(AND(COUNTIF(F222:K222,"PASS")=6,L222&lt;&gt;"",M222&lt;&gt;"",N222&lt;&gt;""),"PASS","HOLD"))</x:f>
        <x:v>NOT_RUN</x:v>
      </x:c>
    </x:row>
    <x:row r="223">
      <x:c r="A223" s="29" t="str">
        <x:v>DIO-EVT-037</x:v>
      </x:c>
      <x:c r="B223" s="29" t="str">
        <x:v>LOT-2</x:v>
      </x:c>
      <x:c r="C223" s="29" t="str">
        <x:v>H-MIC3</x:v>
      </x:c>
      <x:c r="D223" s="29" t="n">
        <x:v>275</x:v>
      </x:c>
      <x:c r="E223" s="29" t="n">
        <x:v>5</x:v>
      </x:c>
      <x:c r="F223" s="29" t="str">
        <x:v>NOT_RUN</x:v>
      </x:c>
      <x:c r="G223" s="29" t="str">
        <x:v>NOT_RUN</x:v>
      </x:c>
      <x:c r="H223" s="29" t="str">
        <x:v>NOT_RUN</x:v>
      </x:c>
      <x:c r="I223" s="29" t="str">
        <x:v>NOT_RUN</x:v>
      </x:c>
      <x:c r="J223" s="29" t="str">
        <x:v>NOT_RUN</x:v>
      </x:c>
      <x:c r="K223" s="29" t="str">
        <x:v>NOT_RUN</x:v>
      </x:c>
      <x:c r="L223" s="29" t="str"/>
      <x:c r="M223" s="29" t="str"/>
      <x:c r="N223" s="29" t="str"/>
      <x:c r="O223" s="29" t="str">
        <x:f>IF(COUNTIF(F223:K223,"NOT_RUN")=6,"NOT_RUN",IF(AND(COUNTIF(F223:K223,"PASS")=6,L223&lt;&gt;"",M223&lt;&gt;"",N223&lt;&gt;""),"PASS","HOLD"))</x:f>
        <x:v>NOT_RUN</x:v>
      </x:c>
    </x:row>
    <x:row r="224">
      <x:c r="A224" s="29" t="str">
        <x:v>DIO-EVT-037</x:v>
      </x:c>
      <x:c r="B224" s="29" t="str">
        <x:v>LOT-2</x:v>
      </x:c>
      <x:c r="C224" s="29" t="str">
        <x:v>H-MIC4</x:v>
      </x:c>
      <x:c r="D224" s="29" t="n">
        <x:v>275</x:v>
      </x:c>
      <x:c r="E224" s="29" t="n">
        <x:v>5</x:v>
      </x:c>
      <x:c r="F224" s="29" t="str">
        <x:v>NOT_RUN</x:v>
      </x:c>
      <x:c r="G224" s="29" t="str">
        <x:v>NOT_RUN</x:v>
      </x:c>
      <x:c r="H224" s="29" t="str">
        <x:v>NOT_RUN</x:v>
      </x:c>
      <x:c r="I224" s="29" t="str">
        <x:v>NOT_RUN</x:v>
      </x:c>
      <x:c r="J224" s="29" t="str">
        <x:v>NOT_RUN</x:v>
      </x:c>
      <x:c r="K224" s="29" t="str">
        <x:v>NOT_RUN</x:v>
      </x:c>
      <x:c r="L224" s="29" t="str"/>
      <x:c r="M224" s="29" t="str"/>
      <x:c r="N224" s="29" t="str"/>
      <x:c r="O224" s="29" t="str">
        <x:f>IF(COUNTIF(F224:K224,"NOT_RUN")=6,"NOT_RUN",IF(AND(COUNTIF(F224:K224,"PASS")=6,L224&lt;&gt;"",M224&lt;&gt;"",N224&lt;&gt;""),"PASS","HOLD"))</x:f>
        <x:v>NOT_RUN</x:v>
      </x:c>
    </x:row>
    <x:row r="225">
      <x:c r="A225" s="29" t="str">
        <x:v>DIO-EVT-037</x:v>
      </x:c>
      <x:c r="B225" s="29" t="str">
        <x:v>LOT-2</x:v>
      </x:c>
      <x:c r="C225" s="29" t="str">
        <x:v>H-MAIN-PWR</x:v>
      </x:c>
      <x:c r="D225" s="29" t="n">
        <x:v>440</x:v>
      </x:c>
      <x:c r="E225" s="29" t="n">
        <x:v>5</x:v>
      </x:c>
      <x:c r="F225" s="29" t="str">
        <x:v>NOT_RUN</x:v>
      </x:c>
      <x:c r="G225" s="29" t="str">
        <x:v>NOT_RUN</x:v>
      </x:c>
      <x:c r="H225" s="29" t="str">
        <x:v>NOT_RUN</x:v>
      </x:c>
      <x:c r="I225" s="29" t="str">
        <x:v>NOT_RUN</x:v>
      </x:c>
      <x:c r="J225" s="29" t="str">
        <x:v>NOT_RUN</x:v>
      </x:c>
      <x:c r="K225" s="29" t="str">
        <x:v>NOT_RUN</x:v>
      </x:c>
      <x:c r="L225" s="29" t="str"/>
      <x:c r="M225" s="29" t="str"/>
      <x:c r="N225" s="29" t="str"/>
      <x:c r="O225" s="29" t="str">
        <x:f>IF(COUNTIF(F225:K225,"NOT_RUN")=6,"NOT_RUN",IF(AND(COUNTIF(F225:K225,"PASS")=6,L225&lt;&gt;"",M225&lt;&gt;"",N225&lt;&gt;""),"PASS","HOLD"))</x:f>
        <x:v>NOT_RUN</x:v>
      </x:c>
    </x:row>
    <x:row r="226">
      <x:c r="A226" s="29" t="str">
        <x:v>DIO-EVT-037</x:v>
      </x:c>
      <x:c r="B226" s="29" t="str">
        <x:v>LOT-2</x:v>
      </x:c>
      <x:c r="C226" s="29" t="str">
        <x:v>H-BAT-PWR</x:v>
      </x:c>
      <x:c r="D226" s="29" t="n">
        <x:v>330</x:v>
      </x:c>
      <x:c r="E226" s="29" t="n">
        <x:v>5</x:v>
      </x:c>
      <x:c r="F226" s="29" t="str">
        <x:v>NOT_RUN</x:v>
      </x:c>
      <x:c r="G226" s="29" t="str">
        <x:v>NOT_RUN</x:v>
      </x:c>
      <x:c r="H226" s="29" t="str">
        <x:v>NOT_RUN</x:v>
      </x:c>
      <x:c r="I226" s="29" t="str">
        <x:v>NOT_RUN</x:v>
      </x:c>
      <x:c r="J226" s="29" t="str">
        <x:v>NOT_RUN</x:v>
      </x:c>
      <x:c r="K226" s="29" t="str">
        <x:v>NOT_RUN</x:v>
      </x:c>
      <x:c r="L226" s="29" t="str"/>
      <x:c r="M226" s="29" t="str"/>
      <x:c r="N226" s="29" t="str"/>
      <x:c r="O226" s="29" t="str">
        <x:f>IF(COUNTIF(F226:K226,"NOT_RUN")=6,"NOT_RUN",IF(AND(COUNTIF(F226:K226,"PASS")=6,L226&lt;&gt;"",M226&lt;&gt;"",N226&lt;&gt;""),"PASS","HOLD"))</x:f>
        <x:v>NOT_RUN</x:v>
      </x:c>
    </x:row>
    <x:row r="227">
      <x:c r="A227" s="29" t="str">
        <x:v>DIO-EVT-038</x:v>
      </x:c>
      <x:c r="B227" s="29" t="str">
        <x:v>LOT-2</x:v>
      </x:c>
      <x:c r="C227" s="29" t="str">
        <x:v>H-MIC1</x:v>
      </x:c>
      <x:c r="D227" s="29" t="n">
        <x:v>275</x:v>
      </x:c>
      <x:c r="E227" s="29" t="n">
        <x:v>5</x:v>
      </x:c>
      <x:c r="F227" s="29" t="str">
        <x:v>NOT_RUN</x:v>
      </x:c>
      <x:c r="G227" s="29" t="str">
        <x:v>NOT_RUN</x:v>
      </x:c>
      <x:c r="H227" s="29" t="str">
        <x:v>NOT_RUN</x:v>
      </x:c>
      <x:c r="I227" s="29" t="str">
        <x:v>NOT_RUN</x:v>
      </x:c>
      <x:c r="J227" s="29" t="str">
        <x:v>NOT_RUN</x:v>
      </x:c>
      <x:c r="K227" s="29" t="str">
        <x:v>NOT_RUN</x:v>
      </x:c>
      <x:c r="L227" s="29" t="str"/>
      <x:c r="M227" s="29" t="str"/>
      <x:c r="N227" s="29" t="str"/>
      <x:c r="O227" s="29" t="str">
        <x:f>IF(COUNTIF(F227:K227,"NOT_RUN")=6,"NOT_RUN",IF(AND(COUNTIF(F227:K227,"PASS")=6,L227&lt;&gt;"",M227&lt;&gt;"",N227&lt;&gt;""),"PASS","HOLD"))</x:f>
        <x:v>NOT_RUN</x:v>
      </x:c>
    </x:row>
    <x:row r="228">
      <x:c r="A228" s="29" t="str">
        <x:v>DIO-EVT-038</x:v>
      </x:c>
      <x:c r="B228" s="29" t="str">
        <x:v>LOT-2</x:v>
      </x:c>
      <x:c r="C228" s="29" t="str">
        <x:v>H-MIC2</x:v>
      </x:c>
      <x:c r="D228" s="29" t="n">
        <x:v>275</x:v>
      </x:c>
      <x:c r="E228" s="29" t="n">
        <x:v>5</x:v>
      </x:c>
      <x:c r="F228" s="29" t="str">
        <x:v>NOT_RUN</x:v>
      </x:c>
      <x:c r="G228" s="29" t="str">
        <x:v>NOT_RUN</x:v>
      </x:c>
      <x:c r="H228" s="29" t="str">
        <x:v>NOT_RUN</x:v>
      </x:c>
      <x:c r="I228" s="29" t="str">
        <x:v>NOT_RUN</x:v>
      </x:c>
      <x:c r="J228" s="29" t="str">
        <x:v>NOT_RUN</x:v>
      </x:c>
      <x:c r="K228" s="29" t="str">
        <x:v>NOT_RUN</x:v>
      </x:c>
      <x:c r="L228" s="29" t="str"/>
      <x:c r="M228" s="29" t="str"/>
      <x:c r="N228" s="29" t="str"/>
      <x:c r="O228" s="29" t="str">
        <x:f>IF(COUNTIF(F228:K228,"NOT_RUN")=6,"NOT_RUN",IF(AND(COUNTIF(F228:K228,"PASS")=6,L228&lt;&gt;"",M228&lt;&gt;"",N228&lt;&gt;""),"PASS","HOLD"))</x:f>
        <x:v>NOT_RUN</x:v>
      </x:c>
    </x:row>
    <x:row r="229">
      <x:c r="A229" s="29" t="str">
        <x:v>DIO-EVT-038</x:v>
      </x:c>
      <x:c r="B229" s="29" t="str">
        <x:v>LOT-2</x:v>
      </x:c>
      <x:c r="C229" s="29" t="str">
        <x:v>H-MIC3</x:v>
      </x:c>
      <x:c r="D229" s="29" t="n">
        <x:v>275</x:v>
      </x:c>
      <x:c r="E229" s="29" t="n">
        <x:v>5</x:v>
      </x:c>
      <x:c r="F229" s="29" t="str">
        <x:v>NOT_RUN</x:v>
      </x:c>
      <x:c r="G229" s="29" t="str">
        <x:v>NOT_RUN</x:v>
      </x:c>
      <x:c r="H229" s="29" t="str">
        <x:v>NOT_RUN</x:v>
      </x:c>
      <x:c r="I229" s="29" t="str">
        <x:v>NOT_RUN</x:v>
      </x:c>
      <x:c r="J229" s="29" t="str">
        <x:v>NOT_RUN</x:v>
      </x:c>
      <x:c r="K229" s="29" t="str">
        <x:v>NOT_RUN</x:v>
      </x:c>
      <x:c r="L229" s="29" t="str"/>
      <x:c r="M229" s="29" t="str"/>
      <x:c r="N229" s="29" t="str"/>
      <x:c r="O229" s="29" t="str">
        <x:f>IF(COUNTIF(F229:K229,"NOT_RUN")=6,"NOT_RUN",IF(AND(COUNTIF(F229:K229,"PASS")=6,L229&lt;&gt;"",M229&lt;&gt;"",N229&lt;&gt;""),"PASS","HOLD"))</x:f>
        <x:v>NOT_RUN</x:v>
      </x:c>
    </x:row>
    <x:row r="230">
      <x:c r="A230" s="29" t="str">
        <x:v>DIO-EVT-038</x:v>
      </x:c>
      <x:c r="B230" s="29" t="str">
        <x:v>LOT-2</x:v>
      </x:c>
      <x:c r="C230" s="29" t="str">
        <x:v>H-MIC4</x:v>
      </x:c>
      <x:c r="D230" s="29" t="n">
        <x:v>275</x:v>
      </x:c>
      <x:c r="E230" s="29" t="n">
        <x:v>5</x:v>
      </x:c>
      <x:c r="F230" s="29" t="str">
        <x:v>NOT_RUN</x:v>
      </x:c>
      <x:c r="G230" s="29" t="str">
        <x:v>NOT_RUN</x:v>
      </x:c>
      <x:c r="H230" s="29" t="str">
        <x:v>NOT_RUN</x:v>
      </x:c>
      <x:c r="I230" s="29" t="str">
        <x:v>NOT_RUN</x:v>
      </x:c>
      <x:c r="J230" s="29" t="str">
        <x:v>NOT_RUN</x:v>
      </x:c>
      <x:c r="K230" s="29" t="str">
        <x:v>NOT_RUN</x:v>
      </x:c>
      <x:c r="L230" s="29" t="str"/>
      <x:c r="M230" s="29" t="str"/>
      <x:c r="N230" s="29" t="str"/>
      <x:c r="O230" s="29" t="str">
        <x:f>IF(COUNTIF(F230:K230,"NOT_RUN")=6,"NOT_RUN",IF(AND(COUNTIF(F230:K230,"PASS")=6,L230&lt;&gt;"",M230&lt;&gt;"",N230&lt;&gt;""),"PASS","HOLD"))</x:f>
        <x:v>NOT_RUN</x:v>
      </x:c>
    </x:row>
    <x:row r="231">
      <x:c r="A231" s="29" t="str">
        <x:v>DIO-EVT-038</x:v>
      </x:c>
      <x:c r="B231" s="29" t="str">
        <x:v>LOT-2</x:v>
      </x:c>
      <x:c r="C231" s="29" t="str">
        <x:v>H-MAIN-PWR</x:v>
      </x:c>
      <x:c r="D231" s="29" t="n">
        <x:v>440</x:v>
      </x:c>
      <x:c r="E231" s="29" t="n">
        <x:v>5</x:v>
      </x:c>
      <x:c r="F231" s="29" t="str">
        <x:v>NOT_RUN</x:v>
      </x:c>
      <x:c r="G231" s="29" t="str">
        <x:v>NOT_RUN</x:v>
      </x:c>
      <x:c r="H231" s="29" t="str">
        <x:v>NOT_RUN</x:v>
      </x:c>
      <x:c r="I231" s="29" t="str">
        <x:v>NOT_RUN</x:v>
      </x:c>
      <x:c r="J231" s="29" t="str">
        <x:v>NOT_RUN</x:v>
      </x:c>
      <x:c r="K231" s="29" t="str">
        <x:v>NOT_RUN</x:v>
      </x:c>
      <x:c r="L231" s="29" t="str"/>
      <x:c r="M231" s="29" t="str"/>
      <x:c r="N231" s="29" t="str"/>
      <x:c r="O231" s="29" t="str">
        <x:f>IF(COUNTIF(F231:K231,"NOT_RUN")=6,"NOT_RUN",IF(AND(COUNTIF(F231:K231,"PASS")=6,L231&lt;&gt;"",M231&lt;&gt;"",N231&lt;&gt;""),"PASS","HOLD"))</x:f>
        <x:v>NOT_RUN</x:v>
      </x:c>
    </x:row>
    <x:row r="232">
      <x:c r="A232" s="29" t="str">
        <x:v>DIO-EVT-038</x:v>
      </x:c>
      <x:c r="B232" s="29" t="str">
        <x:v>LOT-2</x:v>
      </x:c>
      <x:c r="C232" s="29" t="str">
        <x:v>H-BAT-PWR</x:v>
      </x:c>
      <x:c r="D232" s="29" t="n">
        <x:v>330</x:v>
      </x:c>
      <x:c r="E232" s="29" t="n">
        <x:v>5</x:v>
      </x:c>
      <x:c r="F232" s="29" t="str">
        <x:v>NOT_RUN</x:v>
      </x:c>
      <x:c r="G232" s="29" t="str">
        <x:v>NOT_RUN</x:v>
      </x:c>
      <x:c r="H232" s="29" t="str">
        <x:v>NOT_RUN</x:v>
      </x:c>
      <x:c r="I232" s="29" t="str">
        <x:v>NOT_RUN</x:v>
      </x:c>
      <x:c r="J232" s="29" t="str">
        <x:v>NOT_RUN</x:v>
      </x:c>
      <x:c r="K232" s="29" t="str">
        <x:v>NOT_RUN</x:v>
      </x:c>
      <x:c r="L232" s="29" t="str"/>
      <x:c r="M232" s="29" t="str"/>
      <x:c r="N232" s="29" t="str"/>
      <x:c r="O232" s="29" t="str">
        <x:f>IF(COUNTIF(F232:K232,"NOT_RUN")=6,"NOT_RUN",IF(AND(COUNTIF(F232:K232,"PASS")=6,L232&lt;&gt;"",M232&lt;&gt;"",N232&lt;&gt;""),"PASS","HOLD"))</x:f>
        <x:v>NOT_RUN</x:v>
      </x:c>
    </x:row>
    <x:row r="233">
      <x:c r="A233" s="29" t="str">
        <x:v>DIO-EVT-039</x:v>
      </x:c>
      <x:c r="B233" s="29" t="str">
        <x:v>LOT-2</x:v>
      </x:c>
      <x:c r="C233" s="29" t="str">
        <x:v>H-MIC1</x:v>
      </x:c>
      <x:c r="D233" s="29" t="n">
        <x:v>275</x:v>
      </x:c>
      <x:c r="E233" s="29" t="n">
        <x:v>5</x:v>
      </x:c>
      <x:c r="F233" s="29" t="str">
        <x:v>NOT_RUN</x:v>
      </x:c>
      <x:c r="G233" s="29" t="str">
        <x:v>NOT_RUN</x:v>
      </x:c>
      <x:c r="H233" s="29" t="str">
        <x:v>NOT_RUN</x:v>
      </x:c>
      <x:c r="I233" s="29" t="str">
        <x:v>NOT_RUN</x:v>
      </x:c>
      <x:c r="J233" s="29" t="str">
        <x:v>NOT_RUN</x:v>
      </x:c>
      <x:c r="K233" s="29" t="str">
        <x:v>NOT_RUN</x:v>
      </x:c>
      <x:c r="L233" s="29" t="str"/>
      <x:c r="M233" s="29" t="str"/>
      <x:c r="N233" s="29" t="str"/>
      <x:c r="O233" s="29" t="str">
        <x:f>IF(COUNTIF(F233:K233,"NOT_RUN")=6,"NOT_RUN",IF(AND(COUNTIF(F233:K233,"PASS")=6,L233&lt;&gt;"",M233&lt;&gt;"",N233&lt;&gt;""),"PASS","HOLD"))</x:f>
        <x:v>NOT_RUN</x:v>
      </x:c>
    </x:row>
    <x:row r="234">
      <x:c r="A234" s="29" t="str">
        <x:v>DIO-EVT-039</x:v>
      </x:c>
      <x:c r="B234" s="29" t="str">
        <x:v>LOT-2</x:v>
      </x:c>
      <x:c r="C234" s="29" t="str">
        <x:v>H-MIC2</x:v>
      </x:c>
      <x:c r="D234" s="29" t="n">
        <x:v>275</x:v>
      </x:c>
      <x:c r="E234" s="29" t="n">
        <x:v>5</x:v>
      </x:c>
      <x:c r="F234" s="29" t="str">
        <x:v>NOT_RUN</x:v>
      </x:c>
      <x:c r="G234" s="29" t="str">
        <x:v>NOT_RUN</x:v>
      </x:c>
      <x:c r="H234" s="29" t="str">
        <x:v>NOT_RUN</x:v>
      </x:c>
      <x:c r="I234" s="29" t="str">
        <x:v>NOT_RUN</x:v>
      </x:c>
      <x:c r="J234" s="29" t="str">
        <x:v>NOT_RUN</x:v>
      </x:c>
      <x:c r="K234" s="29" t="str">
        <x:v>NOT_RUN</x:v>
      </x:c>
      <x:c r="L234" s="29" t="str"/>
      <x:c r="M234" s="29" t="str"/>
      <x:c r="N234" s="29" t="str"/>
      <x:c r="O234" s="29" t="str">
        <x:f>IF(COUNTIF(F234:K234,"NOT_RUN")=6,"NOT_RUN",IF(AND(COUNTIF(F234:K234,"PASS")=6,L234&lt;&gt;"",M234&lt;&gt;"",N234&lt;&gt;""),"PASS","HOLD"))</x:f>
        <x:v>NOT_RUN</x:v>
      </x:c>
    </x:row>
    <x:row r="235">
      <x:c r="A235" s="29" t="str">
        <x:v>DIO-EVT-039</x:v>
      </x:c>
      <x:c r="B235" s="29" t="str">
        <x:v>LOT-2</x:v>
      </x:c>
      <x:c r="C235" s="29" t="str">
        <x:v>H-MIC3</x:v>
      </x:c>
      <x:c r="D235" s="29" t="n">
        <x:v>275</x:v>
      </x:c>
      <x:c r="E235" s="29" t="n">
        <x:v>5</x:v>
      </x:c>
      <x:c r="F235" s="29" t="str">
        <x:v>NOT_RUN</x:v>
      </x:c>
      <x:c r="G235" s="29" t="str">
        <x:v>NOT_RUN</x:v>
      </x:c>
      <x:c r="H235" s="29" t="str">
        <x:v>NOT_RUN</x:v>
      </x:c>
      <x:c r="I235" s="29" t="str">
        <x:v>NOT_RUN</x:v>
      </x:c>
      <x:c r="J235" s="29" t="str">
        <x:v>NOT_RUN</x:v>
      </x:c>
      <x:c r="K235" s="29" t="str">
        <x:v>NOT_RUN</x:v>
      </x:c>
      <x:c r="L235" s="29" t="str"/>
      <x:c r="M235" s="29" t="str"/>
      <x:c r="N235" s="29" t="str"/>
      <x:c r="O235" s="29" t="str">
        <x:f>IF(COUNTIF(F235:K235,"NOT_RUN")=6,"NOT_RUN",IF(AND(COUNTIF(F235:K235,"PASS")=6,L235&lt;&gt;"",M235&lt;&gt;"",N235&lt;&gt;""),"PASS","HOLD"))</x:f>
        <x:v>NOT_RUN</x:v>
      </x:c>
    </x:row>
    <x:row r="236">
      <x:c r="A236" s="29" t="str">
        <x:v>DIO-EVT-039</x:v>
      </x:c>
      <x:c r="B236" s="29" t="str">
        <x:v>LOT-2</x:v>
      </x:c>
      <x:c r="C236" s="29" t="str">
        <x:v>H-MIC4</x:v>
      </x:c>
      <x:c r="D236" s="29" t="n">
        <x:v>275</x:v>
      </x:c>
      <x:c r="E236" s="29" t="n">
        <x:v>5</x:v>
      </x:c>
      <x:c r="F236" s="29" t="str">
        <x:v>NOT_RUN</x:v>
      </x:c>
      <x:c r="G236" s="29" t="str">
        <x:v>NOT_RUN</x:v>
      </x:c>
      <x:c r="H236" s="29" t="str">
        <x:v>NOT_RUN</x:v>
      </x:c>
      <x:c r="I236" s="29" t="str">
        <x:v>NOT_RUN</x:v>
      </x:c>
      <x:c r="J236" s="29" t="str">
        <x:v>NOT_RUN</x:v>
      </x:c>
      <x:c r="K236" s="29" t="str">
        <x:v>NOT_RUN</x:v>
      </x:c>
      <x:c r="L236" s="29" t="str"/>
      <x:c r="M236" s="29" t="str"/>
      <x:c r="N236" s="29" t="str"/>
      <x:c r="O236" s="29" t="str">
        <x:f>IF(COUNTIF(F236:K236,"NOT_RUN")=6,"NOT_RUN",IF(AND(COUNTIF(F236:K236,"PASS")=6,L236&lt;&gt;"",M236&lt;&gt;"",N236&lt;&gt;""),"PASS","HOLD"))</x:f>
        <x:v>NOT_RUN</x:v>
      </x:c>
    </x:row>
    <x:row r="237">
      <x:c r="A237" s="29" t="str">
        <x:v>DIO-EVT-039</x:v>
      </x:c>
      <x:c r="B237" s="29" t="str">
        <x:v>LOT-2</x:v>
      </x:c>
      <x:c r="C237" s="29" t="str">
        <x:v>H-MAIN-PWR</x:v>
      </x:c>
      <x:c r="D237" s="29" t="n">
        <x:v>440</x:v>
      </x:c>
      <x:c r="E237" s="29" t="n">
        <x:v>5</x:v>
      </x:c>
      <x:c r="F237" s="29" t="str">
        <x:v>NOT_RUN</x:v>
      </x:c>
      <x:c r="G237" s="29" t="str">
        <x:v>NOT_RUN</x:v>
      </x:c>
      <x:c r="H237" s="29" t="str">
        <x:v>NOT_RUN</x:v>
      </x:c>
      <x:c r="I237" s="29" t="str">
        <x:v>NOT_RUN</x:v>
      </x:c>
      <x:c r="J237" s="29" t="str">
        <x:v>NOT_RUN</x:v>
      </x:c>
      <x:c r="K237" s="29" t="str">
        <x:v>NOT_RUN</x:v>
      </x:c>
      <x:c r="L237" s="29" t="str"/>
      <x:c r="M237" s="29" t="str"/>
      <x:c r="N237" s="29" t="str"/>
      <x:c r="O237" s="29" t="str">
        <x:f>IF(COUNTIF(F237:K237,"NOT_RUN")=6,"NOT_RUN",IF(AND(COUNTIF(F237:K237,"PASS")=6,L237&lt;&gt;"",M237&lt;&gt;"",N237&lt;&gt;""),"PASS","HOLD"))</x:f>
        <x:v>NOT_RUN</x:v>
      </x:c>
    </x:row>
    <x:row r="238">
      <x:c r="A238" s="29" t="str">
        <x:v>DIO-EVT-039</x:v>
      </x:c>
      <x:c r="B238" s="29" t="str">
        <x:v>LOT-2</x:v>
      </x:c>
      <x:c r="C238" s="29" t="str">
        <x:v>H-BAT-PWR</x:v>
      </x:c>
      <x:c r="D238" s="29" t="n">
        <x:v>330</x:v>
      </x:c>
      <x:c r="E238" s="29" t="n">
        <x:v>5</x:v>
      </x:c>
      <x:c r="F238" s="29" t="str">
        <x:v>NOT_RUN</x:v>
      </x:c>
      <x:c r="G238" s="29" t="str">
        <x:v>NOT_RUN</x:v>
      </x:c>
      <x:c r="H238" s="29" t="str">
        <x:v>NOT_RUN</x:v>
      </x:c>
      <x:c r="I238" s="29" t="str">
        <x:v>NOT_RUN</x:v>
      </x:c>
      <x:c r="J238" s="29" t="str">
        <x:v>NOT_RUN</x:v>
      </x:c>
      <x:c r="K238" s="29" t="str">
        <x:v>NOT_RUN</x:v>
      </x:c>
      <x:c r="L238" s="29" t="str"/>
      <x:c r="M238" s="29" t="str"/>
      <x:c r="N238" s="29" t="str"/>
      <x:c r="O238" s="29" t="str">
        <x:f>IF(COUNTIF(F238:K238,"NOT_RUN")=6,"NOT_RUN",IF(AND(COUNTIF(F238:K238,"PASS")=6,L238&lt;&gt;"",M238&lt;&gt;"",N238&lt;&gt;""),"PASS","HOLD"))</x:f>
        <x:v>NOT_RUN</x:v>
      </x:c>
    </x:row>
    <x:row r="239">
      <x:c r="A239" s="29" t="str">
        <x:v>DIO-EVT-040</x:v>
      </x:c>
      <x:c r="B239" s="29" t="str">
        <x:v>LOT-2</x:v>
      </x:c>
      <x:c r="C239" s="29" t="str">
        <x:v>H-MIC1</x:v>
      </x:c>
      <x:c r="D239" s="29" t="n">
        <x:v>275</x:v>
      </x:c>
      <x:c r="E239" s="29" t="n">
        <x:v>5</x:v>
      </x:c>
      <x:c r="F239" s="29" t="str">
        <x:v>NOT_RUN</x:v>
      </x:c>
      <x:c r="G239" s="29" t="str">
        <x:v>NOT_RUN</x:v>
      </x:c>
      <x:c r="H239" s="29" t="str">
        <x:v>NOT_RUN</x:v>
      </x:c>
      <x:c r="I239" s="29" t="str">
        <x:v>NOT_RUN</x:v>
      </x:c>
      <x:c r="J239" s="29" t="str">
        <x:v>NOT_RUN</x:v>
      </x:c>
      <x:c r="K239" s="29" t="str">
        <x:v>NOT_RUN</x:v>
      </x:c>
      <x:c r="L239" s="29" t="str"/>
      <x:c r="M239" s="29" t="str"/>
      <x:c r="N239" s="29" t="str"/>
      <x:c r="O239" s="29" t="str">
        <x:f>IF(COUNTIF(F239:K239,"NOT_RUN")=6,"NOT_RUN",IF(AND(COUNTIF(F239:K239,"PASS")=6,L239&lt;&gt;"",M239&lt;&gt;"",N239&lt;&gt;""),"PASS","HOLD"))</x:f>
        <x:v>NOT_RUN</x:v>
      </x:c>
    </x:row>
    <x:row r="240">
      <x:c r="A240" s="29" t="str">
        <x:v>DIO-EVT-040</x:v>
      </x:c>
      <x:c r="B240" s="29" t="str">
        <x:v>LOT-2</x:v>
      </x:c>
      <x:c r="C240" s="29" t="str">
        <x:v>H-MIC2</x:v>
      </x:c>
      <x:c r="D240" s="29" t="n">
        <x:v>275</x:v>
      </x:c>
      <x:c r="E240" s="29" t="n">
        <x:v>5</x:v>
      </x:c>
      <x:c r="F240" s="29" t="str">
        <x:v>NOT_RUN</x:v>
      </x:c>
      <x:c r="G240" s="29" t="str">
        <x:v>NOT_RUN</x:v>
      </x:c>
      <x:c r="H240" s="29" t="str">
        <x:v>NOT_RUN</x:v>
      </x:c>
      <x:c r="I240" s="29" t="str">
        <x:v>NOT_RUN</x:v>
      </x:c>
      <x:c r="J240" s="29" t="str">
        <x:v>NOT_RUN</x:v>
      </x:c>
      <x:c r="K240" s="29" t="str">
        <x:v>NOT_RUN</x:v>
      </x:c>
      <x:c r="L240" s="29" t="str"/>
      <x:c r="M240" s="29" t="str"/>
      <x:c r="N240" s="29" t="str"/>
      <x:c r="O240" s="29" t="str">
        <x:f>IF(COUNTIF(F240:K240,"NOT_RUN")=6,"NOT_RUN",IF(AND(COUNTIF(F240:K240,"PASS")=6,L240&lt;&gt;"",M240&lt;&gt;"",N240&lt;&gt;""),"PASS","HOLD"))</x:f>
        <x:v>NOT_RUN</x:v>
      </x:c>
    </x:row>
    <x:row r="241">
      <x:c r="A241" s="29" t="str">
        <x:v>DIO-EVT-040</x:v>
      </x:c>
      <x:c r="B241" s="29" t="str">
        <x:v>LOT-2</x:v>
      </x:c>
      <x:c r="C241" s="29" t="str">
        <x:v>H-MIC3</x:v>
      </x:c>
      <x:c r="D241" s="29" t="n">
        <x:v>275</x:v>
      </x:c>
      <x:c r="E241" s="29" t="n">
        <x:v>5</x:v>
      </x:c>
      <x:c r="F241" s="29" t="str">
        <x:v>NOT_RUN</x:v>
      </x:c>
      <x:c r="G241" s="29" t="str">
        <x:v>NOT_RUN</x:v>
      </x:c>
      <x:c r="H241" s="29" t="str">
        <x:v>NOT_RUN</x:v>
      </x:c>
      <x:c r="I241" s="29" t="str">
        <x:v>NOT_RUN</x:v>
      </x:c>
      <x:c r="J241" s="29" t="str">
        <x:v>NOT_RUN</x:v>
      </x:c>
      <x:c r="K241" s="29" t="str">
        <x:v>NOT_RUN</x:v>
      </x:c>
      <x:c r="L241" s="29" t="str"/>
      <x:c r="M241" s="29" t="str"/>
      <x:c r="N241" s="29" t="str"/>
      <x:c r="O241" s="29" t="str">
        <x:f>IF(COUNTIF(F241:K241,"NOT_RUN")=6,"NOT_RUN",IF(AND(COUNTIF(F241:K241,"PASS")=6,L241&lt;&gt;"",M241&lt;&gt;"",N241&lt;&gt;""),"PASS","HOLD"))</x:f>
        <x:v>NOT_RUN</x:v>
      </x:c>
    </x:row>
    <x:row r="242">
      <x:c r="A242" s="29" t="str">
        <x:v>DIO-EVT-040</x:v>
      </x:c>
      <x:c r="B242" s="29" t="str">
        <x:v>LOT-2</x:v>
      </x:c>
      <x:c r="C242" s="29" t="str">
        <x:v>H-MIC4</x:v>
      </x:c>
      <x:c r="D242" s="29" t="n">
        <x:v>275</x:v>
      </x:c>
      <x:c r="E242" s="29" t="n">
        <x:v>5</x:v>
      </x:c>
      <x:c r="F242" s="29" t="str">
        <x:v>NOT_RUN</x:v>
      </x:c>
      <x:c r="G242" s="29" t="str">
        <x:v>NOT_RUN</x:v>
      </x:c>
      <x:c r="H242" s="29" t="str">
        <x:v>NOT_RUN</x:v>
      </x:c>
      <x:c r="I242" s="29" t="str">
        <x:v>NOT_RUN</x:v>
      </x:c>
      <x:c r="J242" s="29" t="str">
        <x:v>NOT_RUN</x:v>
      </x:c>
      <x:c r="K242" s="29" t="str">
        <x:v>NOT_RUN</x:v>
      </x:c>
      <x:c r="L242" s="29" t="str"/>
      <x:c r="M242" s="29" t="str"/>
      <x:c r="N242" s="29" t="str"/>
      <x:c r="O242" s="29" t="str">
        <x:f>IF(COUNTIF(F242:K242,"NOT_RUN")=6,"NOT_RUN",IF(AND(COUNTIF(F242:K242,"PASS")=6,L242&lt;&gt;"",M242&lt;&gt;"",N242&lt;&gt;""),"PASS","HOLD"))</x:f>
        <x:v>NOT_RUN</x:v>
      </x:c>
    </x:row>
    <x:row r="243">
      <x:c r="A243" s="29" t="str">
        <x:v>DIO-EVT-040</x:v>
      </x:c>
      <x:c r="B243" s="29" t="str">
        <x:v>LOT-2</x:v>
      </x:c>
      <x:c r="C243" s="29" t="str">
        <x:v>H-MAIN-PWR</x:v>
      </x:c>
      <x:c r="D243" s="29" t="n">
        <x:v>440</x:v>
      </x:c>
      <x:c r="E243" s="29" t="n">
        <x:v>5</x:v>
      </x:c>
      <x:c r="F243" s="29" t="str">
        <x:v>NOT_RUN</x:v>
      </x:c>
      <x:c r="G243" s="29" t="str">
        <x:v>NOT_RUN</x:v>
      </x:c>
      <x:c r="H243" s="29" t="str">
        <x:v>NOT_RUN</x:v>
      </x:c>
      <x:c r="I243" s="29" t="str">
        <x:v>NOT_RUN</x:v>
      </x:c>
      <x:c r="J243" s="29" t="str">
        <x:v>NOT_RUN</x:v>
      </x:c>
      <x:c r="K243" s="29" t="str">
        <x:v>NOT_RUN</x:v>
      </x:c>
      <x:c r="L243" s="29" t="str"/>
      <x:c r="M243" s="29" t="str"/>
      <x:c r="N243" s="29" t="str"/>
      <x:c r="O243" s="29" t="str">
        <x:f>IF(COUNTIF(F243:K243,"NOT_RUN")=6,"NOT_RUN",IF(AND(COUNTIF(F243:K243,"PASS")=6,L243&lt;&gt;"",M243&lt;&gt;"",N243&lt;&gt;""),"PASS","HOLD"))</x:f>
        <x:v>NOT_RUN</x:v>
      </x:c>
    </x:row>
    <x:row r="244">
      <x:c r="A244" s="29" t="str">
        <x:v>DIO-EVT-040</x:v>
      </x:c>
      <x:c r="B244" s="29" t="str">
        <x:v>LOT-2</x:v>
      </x:c>
      <x:c r="C244" s="29" t="str">
        <x:v>H-BAT-PWR</x:v>
      </x:c>
      <x:c r="D244" s="29" t="n">
        <x:v>330</x:v>
      </x:c>
      <x:c r="E244" s="29" t="n">
        <x:v>5</x:v>
      </x:c>
      <x:c r="F244" s="29" t="str">
        <x:v>NOT_RUN</x:v>
      </x:c>
      <x:c r="G244" s="29" t="str">
        <x:v>NOT_RUN</x:v>
      </x:c>
      <x:c r="H244" s="29" t="str">
        <x:v>NOT_RUN</x:v>
      </x:c>
      <x:c r="I244" s="29" t="str">
        <x:v>NOT_RUN</x:v>
      </x:c>
      <x:c r="J244" s="29" t="str">
        <x:v>NOT_RUN</x:v>
      </x:c>
      <x:c r="K244" s="29" t="str">
        <x:v>NOT_RUN</x:v>
      </x:c>
      <x:c r="L244" s="29" t="str"/>
      <x:c r="M244" s="29" t="str"/>
      <x:c r="N244" s="29" t="str"/>
      <x:c r="O244" s="29" t="str">
        <x:f>IF(COUNTIF(F244:K244,"NOT_RUN")=6,"NOT_RUN",IF(AND(COUNTIF(F244:K244,"PASS")=6,L244&lt;&gt;"",M244&lt;&gt;"",N244&lt;&gt;""),"PASS","HOLD"))</x:f>
        <x:v>NOT_RUN</x:v>
      </x:c>
    </x:row>
    <x:row r="245">
      <x:c r="A245" s="29" t="str">
        <x:v>DIO-EVT-B01</x:v>
      </x:c>
      <x:c r="B245" s="29" t="str">
        <x:v>BENCH</x:v>
      </x:c>
      <x:c r="C245" s="29" t="str">
        <x:v>H-MIC1</x:v>
      </x:c>
      <x:c r="D245" s="29" t="n">
        <x:v>275</x:v>
      </x:c>
      <x:c r="E245" s="29" t="n">
        <x:v>5</x:v>
      </x:c>
      <x:c r="F245" s="29" t="str">
        <x:v>NOT_RUN</x:v>
      </x:c>
      <x:c r="G245" s="29" t="str">
        <x:v>NOT_RUN</x:v>
      </x:c>
      <x:c r="H245" s="29" t="str">
        <x:v>NOT_RUN</x:v>
      </x:c>
      <x:c r="I245" s="29" t="str">
        <x:v>NOT_RUN</x:v>
      </x:c>
      <x:c r="J245" s="29" t="str">
        <x:v>NOT_RUN</x:v>
      </x:c>
      <x:c r="K245" s="29" t="str">
        <x:v>NOT_RUN</x:v>
      </x:c>
      <x:c r="L245" s="29" t="str"/>
      <x:c r="M245" s="29" t="str"/>
      <x:c r="N245" s="29" t="str"/>
      <x:c r="O245" s="29" t="str">
        <x:f>IF(COUNTIF(F245:K245,"NOT_RUN")=6,"NOT_RUN",IF(AND(COUNTIF(F245:K245,"PASS")=6,L245&lt;&gt;"",M245&lt;&gt;"",N245&lt;&gt;""),"PASS","HOLD"))</x:f>
        <x:v>NOT_RUN</x:v>
      </x:c>
    </x:row>
    <x:row r="246">
      <x:c r="A246" s="29" t="str">
        <x:v>DIO-EVT-B01</x:v>
      </x:c>
      <x:c r="B246" s="29" t="str">
        <x:v>BENCH</x:v>
      </x:c>
      <x:c r="C246" s="29" t="str">
        <x:v>H-MIC2</x:v>
      </x:c>
      <x:c r="D246" s="29" t="n">
        <x:v>275</x:v>
      </x:c>
      <x:c r="E246" s="29" t="n">
        <x:v>5</x:v>
      </x:c>
      <x:c r="F246" s="29" t="str">
        <x:v>NOT_RUN</x:v>
      </x:c>
      <x:c r="G246" s="29" t="str">
        <x:v>NOT_RUN</x:v>
      </x:c>
      <x:c r="H246" s="29" t="str">
        <x:v>NOT_RUN</x:v>
      </x:c>
      <x:c r="I246" s="29" t="str">
        <x:v>NOT_RUN</x:v>
      </x:c>
      <x:c r="J246" s="29" t="str">
        <x:v>NOT_RUN</x:v>
      </x:c>
      <x:c r="K246" s="29" t="str">
        <x:v>NOT_RUN</x:v>
      </x:c>
      <x:c r="L246" s="29" t="str"/>
      <x:c r="M246" s="29" t="str"/>
      <x:c r="N246" s="29" t="str"/>
      <x:c r="O246" s="29" t="str">
        <x:f>IF(COUNTIF(F246:K246,"NOT_RUN")=6,"NOT_RUN",IF(AND(COUNTIF(F246:K246,"PASS")=6,L246&lt;&gt;"",M246&lt;&gt;"",N246&lt;&gt;""),"PASS","HOLD"))</x:f>
        <x:v>NOT_RUN</x:v>
      </x:c>
    </x:row>
    <x:row r="247">
      <x:c r="A247" s="29" t="str">
        <x:v>DIO-EVT-B01</x:v>
      </x:c>
      <x:c r="B247" s="29" t="str">
        <x:v>BENCH</x:v>
      </x:c>
      <x:c r="C247" s="29" t="str">
        <x:v>H-MIC3</x:v>
      </x:c>
      <x:c r="D247" s="29" t="n">
        <x:v>275</x:v>
      </x:c>
      <x:c r="E247" s="29" t="n">
        <x:v>5</x:v>
      </x:c>
      <x:c r="F247" s="29" t="str">
        <x:v>NOT_RUN</x:v>
      </x:c>
      <x:c r="G247" s="29" t="str">
        <x:v>NOT_RUN</x:v>
      </x:c>
      <x:c r="H247" s="29" t="str">
        <x:v>NOT_RUN</x:v>
      </x:c>
      <x:c r="I247" s="29" t="str">
        <x:v>NOT_RUN</x:v>
      </x:c>
      <x:c r="J247" s="29" t="str">
        <x:v>NOT_RUN</x:v>
      </x:c>
      <x:c r="K247" s="29" t="str">
        <x:v>NOT_RUN</x:v>
      </x:c>
      <x:c r="L247" s="29" t="str"/>
      <x:c r="M247" s="29" t="str"/>
      <x:c r="N247" s="29" t="str"/>
      <x:c r="O247" s="29" t="str">
        <x:f>IF(COUNTIF(F247:K247,"NOT_RUN")=6,"NOT_RUN",IF(AND(COUNTIF(F247:K247,"PASS")=6,L247&lt;&gt;"",M247&lt;&gt;"",N247&lt;&gt;""),"PASS","HOLD"))</x:f>
        <x:v>NOT_RUN</x:v>
      </x:c>
    </x:row>
    <x:row r="248">
      <x:c r="A248" s="29" t="str">
        <x:v>DIO-EVT-B01</x:v>
      </x:c>
      <x:c r="B248" s="29" t="str">
        <x:v>BENCH</x:v>
      </x:c>
      <x:c r="C248" s="29" t="str">
        <x:v>H-MIC4</x:v>
      </x:c>
      <x:c r="D248" s="29" t="n">
        <x:v>275</x:v>
      </x:c>
      <x:c r="E248" s="29" t="n">
        <x:v>5</x:v>
      </x:c>
      <x:c r="F248" s="29" t="str">
        <x:v>NOT_RUN</x:v>
      </x:c>
      <x:c r="G248" s="29" t="str">
        <x:v>NOT_RUN</x:v>
      </x:c>
      <x:c r="H248" s="29" t="str">
        <x:v>NOT_RUN</x:v>
      </x:c>
      <x:c r="I248" s="29" t="str">
        <x:v>NOT_RUN</x:v>
      </x:c>
      <x:c r="J248" s="29" t="str">
        <x:v>NOT_RUN</x:v>
      </x:c>
      <x:c r="K248" s="29" t="str">
        <x:v>NOT_RUN</x:v>
      </x:c>
      <x:c r="L248" s="29" t="str"/>
      <x:c r="M248" s="29" t="str"/>
      <x:c r="N248" s="29" t="str"/>
      <x:c r="O248" s="29" t="str">
        <x:f>IF(COUNTIF(F248:K248,"NOT_RUN")=6,"NOT_RUN",IF(AND(COUNTIF(F248:K248,"PASS")=6,L248&lt;&gt;"",M248&lt;&gt;"",N248&lt;&gt;""),"PASS","HOLD"))</x:f>
        <x:v>NOT_RUN</x:v>
      </x:c>
    </x:row>
    <x:row r="249">
      <x:c r="A249" s="29" t="str">
        <x:v>DIO-EVT-B01</x:v>
      </x:c>
      <x:c r="B249" s="29" t="str">
        <x:v>BENCH</x:v>
      </x:c>
      <x:c r="C249" s="29" t="str">
        <x:v>H-MAIN-PWR</x:v>
      </x:c>
      <x:c r="D249" s="29" t="n">
        <x:v>440</x:v>
      </x:c>
      <x:c r="E249" s="29" t="n">
        <x:v>5</x:v>
      </x:c>
      <x:c r="F249" s="29" t="str">
        <x:v>NOT_RUN</x:v>
      </x:c>
      <x:c r="G249" s="29" t="str">
        <x:v>NOT_RUN</x:v>
      </x:c>
      <x:c r="H249" s="29" t="str">
        <x:v>NOT_RUN</x:v>
      </x:c>
      <x:c r="I249" s="29" t="str">
        <x:v>NOT_RUN</x:v>
      </x:c>
      <x:c r="J249" s="29" t="str">
        <x:v>NOT_RUN</x:v>
      </x:c>
      <x:c r="K249" s="29" t="str">
        <x:v>NOT_RUN</x:v>
      </x:c>
      <x:c r="L249" s="29" t="str"/>
      <x:c r="M249" s="29" t="str"/>
      <x:c r="N249" s="29" t="str"/>
      <x:c r="O249" s="29" t="str">
        <x:f>IF(COUNTIF(F249:K249,"NOT_RUN")=6,"NOT_RUN",IF(AND(COUNTIF(F249:K249,"PASS")=6,L249&lt;&gt;"",M249&lt;&gt;"",N249&lt;&gt;""),"PASS","HOLD"))</x:f>
        <x:v>NOT_RUN</x:v>
      </x:c>
    </x:row>
    <x:row r="250">
      <x:c r="A250" s="29" t="str">
        <x:v>DIO-EVT-B01</x:v>
      </x:c>
      <x:c r="B250" s="29" t="str">
        <x:v>BENCH</x:v>
      </x:c>
      <x:c r="C250" s="29" t="str">
        <x:v>H-BAT-PWR</x:v>
      </x:c>
      <x:c r="D250" s="29" t="n">
        <x:v>330</x:v>
      </x:c>
      <x:c r="E250" s="29" t="n">
        <x:v>5</x:v>
      </x:c>
      <x:c r="F250" s="29" t="str">
        <x:v>NOT_RUN</x:v>
      </x:c>
      <x:c r="G250" s="29" t="str">
        <x:v>NOT_RUN</x:v>
      </x:c>
      <x:c r="H250" s="29" t="str">
        <x:v>NOT_RUN</x:v>
      </x:c>
      <x:c r="I250" s="29" t="str">
        <x:v>NOT_RUN</x:v>
      </x:c>
      <x:c r="J250" s="29" t="str">
        <x:v>NOT_RUN</x:v>
      </x:c>
      <x:c r="K250" s="29" t="str">
        <x:v>NOT_RUN</x:v>
      </x:c>
      <x:c r="L250" s="29" t="str"/>
      <x:c r="M250" s="29" t="str"/>
      <x:c r="N250" s="29" t="str"/>
      <x:c r="O250" s="29" t="str">
        <x:f>IF(COUNTIF(F250:K250,"NOT_RUN")=6,"NOT_RUN",IF(AND(COUNTIF(F250:K250,"PASS")=6,L250&lt;&gt;"",M250&lt;&gt;"",N250&lt;&gt;""),"PASS","HOLD"))</x:f>
        <x:v>NOT_RUN</x:v>
      </x:c>
    </x:row>
  </x:sheetData>
  <x:mergeCells>
    <x:mergeCell ref="A1:O1"/>
    <x:mergeCell ref="A2:O2"/>
  </x:mergeCells>
  <x:conditionalFormatting sqref="O5:O250">
    <x:cfRule type="containsText" dxfId="30" priority="1" operator="containsText" text="PASS"/>
    <x:cfRule type="containsText" dxfId="31" priority="2" operator="containsText" text="READY"/>
    <x:cfRule type="containsText" dxfId="32" priority="3" operator="containsText" text="HOLD"/>
    <x:cfRule type="containsText" dxfId="33" priority="4" operator="containsText" text="OPEN"/>
    <x:cfRule type="containsText" dxfId="34" priority="5" operator="containsText" text="FAIL"/>
    <x:cfRule type="containsText" dxfId="35" priority="6" operator="containsText" text="NOT_RUN"/>
  </x:conditionalFormatting>
  <x:dataValidations count="1">
    <x:dataValidation type="list" sqref="F5:K250">
      <x:formula1>"NOT_RUN,PASS,FAIL,HOLD,N/A"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4ae55d6ef1471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38" hidden="0" customWidth="1"/>
    <x:col min="16" max="16" width="16" hidden="0" customWidth="1"/>
    <x:col min="17" max="17" width="18" hidden="0" customWidth="1"/>
    <x:col min="18" max="18" width="18" hidden="0" customWidth="1"/>
    <x:col min="19" max="19" width="14" hidden="0" customWidth="1"/>
  </x:cols>
  <x:sheetData>
    <x:row r="1" ht="28" customHeight="1">
      <x:c r="A1" s="2" t="str">
        <x:v>СБОРКА 41 СТАНЦИИ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4" customHeight="1">
      <x:c r="A2" s="5" t="str">
        <x:v>Каждая строка связана с traveller. PASS требует 11 принятых операций, evidence SHA-256 и две подписи. / Each row is tied to a traveller and requires 11 accepted operations, evidence and two signatures.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2" customHeight="1">
      <x:c r="A4" s="25" t="str">
        <x:v>Serial</x:v>
      </x:c>
      <x:c r="B4" s="25" t="str">
        <x:v>Lot</x:v>
      </x:c>
      <x:c r="C4" s="25" t="str">
        <x:v>Traveller_ID</x:v>
      </x:c>
      <x:c r="D4" s="25" t="str">
        <x:v>PCBA_Accepted</x:v>
      </x:c>
      <x:c r="E4" s="25" t="str">
        <x:v>Harness_Set_Accepted</x:v>
      </x:c>
      <x:c r="F4" s="25" t="str">
        <x:v>Enclosure_Accepted</x:v>
      </x:c>
      <x:c r="G4" s="25" t="str">
        <x:v>PCB_MAIN_Installed</x:v>
      </x:c>
      <x:c r="H4" s="25" t="str">
        <x:v>Four_PCB_MIC_Installed</x:v>
      </x:c>
      <x:c r="I4" s="25" t="str">
        <x:v>MIC_Geometry</x:v>
      </x:c>
      <x:c r="J4" s="25" t="str">
        <x:v>PCB_PWR_Installed</x:v>
      </x:c>
      <x:c r="K4" s="25" t="str">
        <x:v>Interconnect</x:v>
      </x:c>
      <x:c r="L4" s="25" t="str">
        <x:v>Seals_and_Vents</x:v>
      </x:c>
      <x:c r="M4" s="25" t="str">
        <x:v>Torque_Record</x:v>
      </x:c>
      <x:c r="N4" s="25" t="str">
        <x:v>Labels_and_QR</x:v>
      </x:c>
      <x:c r="O4" s="25" t="str">
        <x:v>Assembly_Evidence_SHA256</x:v>
      </x:c>
      <x:c r="P4" s="25" t="str">
        <x:v>NCR_ID</x:v>
      </x:c>
      <x:c r="Q4" s="25" t="str">
        <x:v>Operator</x:v>
      </x:c>
      <x:c r="R4" s="25" t="str">
        <x:v>Reviewer</x:v>
      </x:c>
      <x:c r="S4" s="25" t="str">
        <x:v>Overall</x:v>
      </x:c>
    </x:row>
    <x:row r="5">
      <x:c r="A5" s="29" t="str">
        <x:v>DIO-EVT-001</x:v>
      </x:c>
      <x:c r="B5" s="29" t="str">
        <x:v>LOT-1</x:v>
      </x:c>
      <x:c r="C5" s="29" t="str">
        <x:v>TRV-DIO-EVT-001</x:v>
      </x:c>
      <x:c r="D5" s="29" t="str">
        <x:v>NOT_RUN</x:v>
      </x:c>
      <x:c r="E5" s="29" t="str">
        <x:v>NOT_RUN</x:v>
      </x:c>
      <x:c r="F5" s="29" t="str">
        <x:v>NOT_RUN</x:v>
      </x:c>
      <x:c r="G5" s="29" t="str">
        <x:v>NOT_RUN</x:v>
      </x:c>
      <x:c r="H5" s="29" t="str">
        <x:v>NOT_RUN</x:v>
      </x:c>
      <x:c r="I5" s="29" t="str">
        <x:v>NOT_RUN</x:v>
      </x:c>
      <x:c r="J5" s="29" t="str">
        <x:v>NOT_RUN</x:v>
      </x:c>
      <x:c r="K5" s="29" t="str">
        <x:v>NOT_RUN</x:v>
      </x:c>
      <x:c r="L5" s="29" t="str">
        <x:v>NOT_RUN</x:v>
      </x:c>
      <x:c r="M5" s="29" t="str">
        <x:v>NOT_RUN</x:v>
      </x:c>
      <x:c r="N5" s="29" t="str">
        <x:v>NOT_RUN</x:v>
      </x:c>
      <x:c r="O5" s="29" t="str"/>
      <x:c r="P5" s="29" t="str"/>
      <x:c r="Q5" s="29" t="str"/>
      <x:c r="R5" s="29" t="str"/>
      <x:c r="S5" s="29" t="str">
        <x:f>IF(COUNTIF(D5:N5,"NOT_RUN")=11,"NOT_RUN",IF(AND(COUNTIF(D5:N5,"PASS")=11,O5&lt;&gt;"",Q5&lt;&gt;"",R5&lt;&gt;""),"PASS","HOLD"))</x:f>
        <x:v>NOT_RUN</x:v>
      </x:c>
    </x:row>
    <x:row r="6">
      <x:c r="A6" s="29" t="str">
        <x:v>DIO-EVT-002</x:v>
      </x:c>
      <x:c r="B6" s="29" t="str">
        <x:v>LOT-1</x:v>
      </x:c>
      <x:c r="C6" s="29" t="str">
        <x:v>TRV-DIO-EVT-002</x:v>
      </x:c>
      <x:c r="D6" s="29" t="str">
        <x:v>NOT_RUN</x:v>
      </x:c>
      <x:c r="E6" s="29" t="str">
        <x:v>NOT_RUN</x:v>
      </x:c>
      <x:c r="F6" s="29" t="str">
        <x:v>NOT_RUN</x:v>
      </x:c>
      <x:c r="G6" s="29" t="str">
        <x:v>NOT_RUN</x:v>
      </x:c>
      <x:c r="H6" s="29" t="str">
        <x:v>NOT_RUN</x:v>
      </x:c>
      <x:c r="I6" s="29" t="str">
        <x:v>NOT_RUN</x:v>
      </x:c>
      <x:c r="J6" s="29" t="str">
        <x:v>NOT_RUN</x:v>
      </x:c>
      <x:c r="K6" s="29" t="str">
        <x:v>NOT_RUN</x:v>
      </x:c>
      <x:c r="L6" s="29" t="str">
        <x:v>NOT_RUN</x:v>
      </x:c>
      <x:c r="M6" s="29" t="str">
        <x:v>NOT_RUN</x:v>
      </x:c>
      <x:c r="N6" s="29" t="str">
        <x:v>NOT_RUN</x:v>
      </x:c>
      <x:c r="O6" s="29" t="str"/>
      <x:c r="P6" s="29" t="str"/>
      <x:c r="Q6" s="29" t="str"/>
      <x:c r="R6" s="29" t="str"/>
      <x:c r="S6" s="29" t="str">
        <x:f>IF(COUNTIF(D6:N6,"NOT_RUN")=11,"NOT_RUN",IF(AND(COUNTIF(D6:N6,"PASS")=11,O6&lt;&gt;"",Q6&lt;&gt;"",R6&lt;&gt;""),"PASS","HOLD"))</x:f>
        <x:v>NOT_RUN</x:v>
      </x:c>
    </x:row>
    <x:row r="7">
      <x:c r="A7" s="29" t="str">
        <x:v>DIO-EVT-003</x:v>
      </x:c>
      <x:c r="B7" s="29" t="str">
        <x:v>LOT-1</x:v>
      </x:c>
      <x:c r="C7" s="29" t="str">
        <x:v>TRV-DIO-EVT-003</x:v>
      </x:c>
      <x:c r="D7" s="29" t="str">
        <x:v>NOT_RUN</x:v>
      </x:c>
      <x:c r="E7" s="29" t="str">
        <x:v>NOT_RUN</x:v>
      </x:c>
      <x:c r="F7" s="29" t="str">
        <x:v>NOT_RUN</x:v>
      </x:c>
      <x:c r="G7" s="29" t="str">
        <x:v>NOT_RUN</x:v>
      </x:c>
      <x:c r="H7" s="29" t="str">
        <x:v>NOT_RUN</x:v>
      </x:c>
      <x:c r="I7" s="29" t="str">
        <x:v>NOT_RUN</x:v>
      </x:c>
      <x:c r="J7" s="29" t="str">
        <x:v>NOT_RUN</x:v>
      </x:c>
      <x:c r="K7" s="29" t="str">
        <x:v>NOT_RUN</x:v>
      </x:c>
      <x:c r="L7" s="29" t="str">
        <x:v>NOT_RUN</x:v>
      </x:c>
      <x:c r="M7" s="29" t="str">
        <x:v>NOT_RUN</x:v>
      </x:c>
      <x:c r="N7" s="29" t="str">
        <x:v>NOT_RUN</x:v>
      </x:c>
      <x:c r="O7" s="29" t="str"/>
      <x:c r="P7" s="29" t="str"/>
      <x:c r="Q7" s="29" t="str"/>
      <x:c r="R7" s="29" t="str"/>
      <x:c r="S7" s="29" t="str">
        <x:f>IF(COUNTIF(D7:N7,"NOT_RUN")=11,"NOT_RUN",IF(AND(COUNTIF(D7:N7,"PASS")=11,O7&lt;&gt;"",Q7&lt;&gt;"",R7&lt;&gt;""),"PASS","HOLD"))</x:f>
        <x:v>NOT_RUN</x:v>
      </x:c>
    </x:row>
    <x:row r="8">
      <x:c r="A8" s="29" t="str">
        <x:v>DIO-EVT-004</x:v>
      </x:c>
      <x:c r="B8" s="29" t="str">
        <x:v>LOT-1</x:v>
      </x:c>
      <x:c r="C8" s="29" t="str">
        <x:v>TRV-DIO-EVT-004</x:v>
      </x:c>
      <x:c r="D8" s="29" t="str">
        <x:v>NOT_RUN</x:v>
      </x:c>
      <x:c r="E8" s="29" t="str">
        <x:v>NOT_RUN</x:v>
      </x:c>
      <x:c r="F8" s="29" t="str">
        <x:v>NOT_RUN</x:v>
      </x:c>
      <x:c r="G8" s="29" t="str">
        <x:v>NOT_RUN</x:v>
      </x:c>
      <x:c r="H8" s="29" t="str">
        <x:v>NOT_RUN</x:v>
      </x:c>
      <x:c r="I8" s="29" t="str">
        <x:v>NOT_RUN</x:v>
      </x:c>
      <x:c r="J8" s="29" t="str">
        <x:v>NOT_RUN</x:v>
      </x:c>
      <x:c r="K8" s="29" t="str">
        <x:v>NOT_RUN</x:v>
      </x:c>
      <x:c r="L8" s="29" t="str">
        <x:v>NOT_RUN</x:v>
      </x:c>
      <x:c r="M8" s="29" t="str">
        <x:v>NOT_RUN</x:v>
      </x:c>
      <x:c r="N8" s="29" t="str">
        <x:v>NOT_RUN</x:v>
      </x:c>
      <x:c r="O8" s="29" t="str"/>
      <x:c r="P8" s="29" t="str"/>
      <x:c r="Q8" s="29" t="str"/>
      <x:c r="R8" s="29" t="str"/>
      <x:c r="S8" s="29" t="str">
        <x:f>IF(COUNTIF(D8:N8,"NOT_RUN")=11,"NOT_RUN",IF(AND(COUNTIF(D8:N8,"PASS")=11,O8&lt;&gt;"",Q8&lt;&gt;"",R8&lt;&gt;""),"PASS","HOLD"))</x:f>
        <x:v>NOT_RUN</x:v>
      </x:c>
    </x:row>
    <x:row r="9">
      <x:c r="A9" s="29" t="str">
        <x:v>DIO-EVT-005</x:v>
      </x:c>
      <x:c r="B9" s="29" t="str">
        <x:v>LOT-1</x:v>
      </x:c>
      <x:c r="C9" s="29" t="str">
        <x:v>TRV-DIO-EVT-005</x:v>
      </x:c>
      <x:c r="D9" s="29" t="str">
        <x:v>NOT_RUN</x:v>
      </x:c>
      <x:c r="E9" s="29" t="str">
        <x:v>NOT_RUN</x:v>
      </x:c>
      <x:c r="F9" s="29" t="str">
        <x:v>NOT_RUN</x:v>
      </x:c>
      <x:c r="G9" s="29" t="str">
        <x:v>NOT_RUN</x:v>
      </x:c>
      <x:c r="H9" s="29" t="str">
        <x:v>NOT_RUN</x:v>
      </x:c>
      <x:c r="I9" s="29" t="str">
        <x:v>NOT_RUN</x:v>
      </x:c>
      <x:c r="J9" s="29" t="str">
        <x:v>NOT_RUN</x:v>
      </x:c>
      <x:c r="K9" s="29" t="str">
        <x:v>NOT_RUN</x:v>
      </x:c>
      <x:c r="L9" s="29" t="str">
        <x:v>NOT_RUN</x:v>
      </x:c>
      <x:c r="M9" s="29" t="str">
        <x:v>NOT_RUN</x:v>
      </x:c>
      <x:c r="N9" s="29" t="str">
        <x:v>NOT_RUN</x:v>
      </x:c>
      <x:c r="O9" s="29" t="str"/>
      <x:c r="P9" s="29" t="str"/>
      <x:c r="Q9" s="29" t="str"/>
      <x:c r="R9" s="29" t="str"/>
      <x:c r="S9" s="29" t="str">
        <x:f>IF(COUNTIF(D9:N9,"NOT_RUN")=11,"NOT_RUN",IF(AND(COUNTIF(D9:N9,"PASS")=11,O9&lt;&gt;"",Q9&lt;&gt;"",R9&lt;&gt;""),"PASS","HOLD"))</x:f>
        <x:v>NOT_RUN</x:v>
      </x:c>
    </x:row>
    <x:row r="10">
      <x:c r="A10" s="29" t="str">
        <x:v>DIO-EVT-006</x:v>
      </x:c>
      <x:c r="B10" s="29" t="str">
        <x:v>LOT-1</x:v>
      </x:c>
      <x:c r="C10" s="29" t="str">
        <x:v>TRV-DIO-EVT-006</x:v>
      </x:c>
      <x:c r="D10" s="29" t="str">
        <x:v>NOT_RUN</x:v>
      </x:c>
      <x:c r="E10" s="29" t="str">
        <x:v>NOT_RUN</x:v>
      </x:c>
      <x:c r="F10" s="29" t="str">
        <x:v>NOT_RUN</x:v>
      </x:c>
      <x:c r="G10" s="29" t="str">
        <x:v>NOT_RUN</x:v>
      </x:c>
      <x:c r="H10" s="29" t="str">
        <x:v>NOT_RUN</x:v>
      </x:c>
      <x:c r="I10" s="29" t="str">
        <x:v>NOT_RUN</x:v>
      </x:c>
      <x:c r="J10" s="29" t="str">
        <x:v>NOT_RUN</x:v>
      </x:c>
      <x:c r="K10" s="29" t="str">
        <x:v>NOT_RUN</x:v>
      </x:c>
      <x:c r="L10" s="29" t="str">
        <x:v>NOT_RUN</x:v>
      </x:c>
      <x:c r="M10" s="29" t="str">
        <x:v>NOT_RUN</x:v>
      </x:c>
      <x:c r="N10" s="29" t="str">
        <x:v>NOT_RUN</x:v>
      </x:c>
      <x:c r="O10" s="29" t="str"/>
      <x:c r="P10" s="29" t="str"/>
      <x:c r="Q10" s="29" t="str"/>
      <x:c r="R10" s="29" t="str"/>
      <x:c r="S10" s="29" t="str">
        <x:f>IF(COUNTIF(D10:N10,"NOT_RUN")=11,"NOT_RUN",IF(AND(COUNTIF(D10:N10,"PASS")=11,O10&lt;&gt;"",Q10&lt;&gt;"",R10&lt;&gt;""),"PASS","HOLD"))</x:f>
        <x:v>NOT_RUN</x:v>
      </x:c>
    </x:row>
    <x:row r="11">
      <x:c r="A11" s="29" t="str">
        <x:v>DIO-EVT-007</x:v>
      </x:c>
      <x:c r="B11" s="29" t="str">
        <x:v>LOT-1</x:v>
      </x:c>
      <x:c r="C11" s="29" t="str">
        <x:v>TRV-DIO-EVT-007</x:v>
      </x:c>
      <x:c r="D11" s="29" t="str">
        <x:v>NOT_RUN</x:v>
      </x:c>
      <x:c r="E11" s="29" t="str">
        <x:v>NOT_RUN</x:v>
      </x:c>
      <x:c r="F11" s="29" t="str">
        <x:v>NOT_RUN</x:v>
      </x:c>
      <x:c r="G11" s="29" t="str">
        <x:v>NOT_RUN</x:v>
      </x:c>
      <x:c r="H11" s="29" t="str">
        <x:v>NOT_RUN</x:v>
      </x:c>
      <x:c r="I11" s="29" t="str">
        <x:v>NOT_RUN</x:v>
      </x:c>
      <x:c r="J11" s="29" t="str">
        <x:v>NOT_RUN</x:v>
      </x:c>
      <x:c r="K11" s="29" t="str">
        <x:v>NOT_RUN</x:v>
      </x:c>
      <x:c r="L11" s="29" t="str">
        <x:v>NOT_RUN</x:v>
      </x:c>
      <x:c r="M11" s="29" t="str">
        <x:v>NOT_RUN</x:v>
      </x:c>
      <x:c r="N11" s="29" t="str">
        <x:v>NOT_RUN</x:v>
      </x:c>
      <x:c r="O11" s="29" t="str"/>
      <x:c r="P11" s="29" t="str"/>
      <x:c r="Q11" s="29" t="str"/>
      <x:c r="R11" s="29" t="str"/>
      <x:c r="S11" s="29" t="str">
        <x:f>IF(COUNTIF(D11:N11,"NOT_RUN")=11,"NOT_RUN",IF(AND(COUNTIF(D11:N11,"PASS")=11,O11&lt;&gt;"",Q11&lt;&gt;"",R11&lt;&gt;""),"PASS","HOLD"))</x:f>
        <x:v>NOT_RUN</x:v>
      </x:c>
    </x:row>
    <x:row r="12">
      <x:c r="A12" s="29" t="str">
        <x:v>DIO-EVT-008</x:v>
      </x:c>
      <x:c r="B12" s="29" t="str">
        <x:v>LOT-1</x:v>
      </x:c>
      <x:c r="C12" s="29" t="str">
        <x:v>TRV-DIO-EVT-008</x:v>
      </x:c>
      <x:c r="D12" s="29" t="str">
        <x:v>NOT_RUN</x:v>
      </x:c>
      <x:c r="E12" s="29" t="str">
        <x:v>NOT_RUN</x:v>
      </x:c>
      <x:c r="F12" s="29" t="str">
        <x:v>NOT_RUN</x:v>
      </x:c>
      <x:c r="G12" s="29" t="str">
        <x:v>NOT_RUN</x:v>
      </x:c>
      <x:c r="H12" s="29" t="str">
        <x:v>NOT_RUN</x:v>
      </x:c>
      <x:c r="I12" s="29" t="str">
        <x:v>NOT_RUN</x:v>
      </x:c>
      <x:c r="J12" s="29" t="str">
        <x:v>NOT_RUN</x:v>
      </x:c>
      <x:c r="K12" s="29" t="str">
        <x:v>NOT_RUN</x:v>
      </x:c>
      <x:c r="L12" s="29" t="str">
        <x:v>NOT_RUN</x:v>
      </x:c>
      <x:c r="M12" s="29" t="str">
        <x:v>NOT_RUN</x:v>
      </x:c>
      <x:c r="N12" s="29" t="str">
        <x:v>NOT_RUN</x:v>
      </x:c>
      <x:c r="O12" s="29" t="str"/>
      <x:c r="P12" s="29" t="str"/>
      <x:c r="Q12" s="29" t="str"/>
      <x:c r="R12" s="29" t="str"/>
      <x:c r="S12" s="29" t="str">
        <x:f>IF(COUNTIF(D12:N12,"NOT_RUN")=11,"NOT_RUN",IF(AND(COUNTIF(D12:N12,"PASS")=11,O12&lt;&gt;"",Q12&lt;&gt;"",R12&lt;&gt;""),"PASS","HOLD"))</x:f>
        <x:v>NOT_RUN</x:v>
      </x:c>
    </x:row>
    <x:row r="13">
      <x:c r="A13" s="29" t="str">
        <x:v>DIO-EVT-009</x:v>
      </x:c>
      <x:c r="B13" s="29" t="str">
        <x:v>LOT-1</x:v>
      </x:c>
      <x:c r="C13" s="29" t="str">
        <x:v>TRV-DIO-EVT-009</x:v>
      </x:c>
      <x:c r="D13" s="29" t="str">
        <x:v>NOT_RUN</x:v>
      </x:c>
      <x:c r="E13" s="29" t="str">
        <x:v>NOT_RUN</x:v>
      </x:c>
      <x:c r="F13" s="29" t="str">
        <x:v>NOT_RUN</x:v>
      </x:c>
      <x:c r="G13" s="29" t="str">
        <x:v>NOT_RUN</x:v>
      </x:c>
      <x:c r="H13" s="29" t="str">
        <x:v>NOT_RUN</x:v>
      </x:c>
      <x:c r="I13" s="29" t="str">
        <x:v>NOT_RUN</x:v>
      </x:c>
      <x:c r="J13" s="29" t="str">
        <x:v>NOT_RUN</x:v>
      </x:c>
      <x:c r="K13" s="29" t="str">
        <x:v>NOT_RUN</x:v>
      </x:c>
      <x:c r="L13" s="29" t="str">
        <x:v>NOT_RUN</x:v>
      </x:c>
      <x:c r="M13" s="29" t="str">
        <x:v>NOT_RUN</x:v>
      </x:c>
      <x:c r="N13" s="29" t="str">
        <x:v>NOT_RUN</x:v>
      </x:c>
      <x:c r="O13" s="29" t="str"/>
      <x:c r="P13" s="29" t="str"/>
      <x:c r="Q13" s="29" t="str"/>
      <x:c r="R13" s="29" t="str"/>
      <x:c r="S13" s="29" t="str">
        <x:f>IF(COUNTIF(D13:N13,"NOT_RUN")=11,"NOT_RUN",IF(AND(COUNTIF(D13:N13,"PASS")=11,O13&lt;&gt;"",Q13&lt;&gt;"",R13&lt;&gt;""),"PASS","HOLD"))</x:f>
        <x:v>NOT_RUN</x:v>
      </x:c>
    </x:row>
    <x:row r="14">
      <x:c r="A14" s="29" t="str">
        <x:v>DIO-EVT-010</x:v>
      </x:c>
      <x:c r="B14" s="29" t="str">
        <x:v>LOT-1</x:v>
      </x:c>
      <x:c r="C14" s="29" t="str">
        <x:v>TRV-DIO-EVT-010</x:v>
      </x:c>
      <x:c r="D14" s="29" t="str">
        <x:v>NOT_RUN</x:v>
      </x:c>
      <x:c r="E14" s="29" t="str">
        <x:v>NOT_RUN</x:v>
      </x:c>
      <x:c r="F14" s="29" t="str">
        <x:v>NOT_RUN</x:v>
      </x:c>
      <x:c r="G14" s="29" t="str">
        <x:v>NOT_RUN</x:v>
      </x:c>
      <x:c r="H14" s="29" t="str">
        <x:v>NOT_RUN</x:v>
      </x:c>
      <x:c r="I14" s="29" t="str">
        <x:v>NOT_RUN</x:v>
      </x:c>
      <x:c r="J14" s="29" t="str">
        <x:v>NOT_RUN</x:v>
      </x:c>
      <x:c r="K14" s="29" t="str">
        <x:v>NOT_RUN</x:v>
      </x:c>
      <x:c r="L14" s="29" t="str">
        <x:v>NOT_RUN</x:v>
      </x:c>
      <x:c r="M14" s="29" t="str">
        <x:v>NOT_RUN</x:v>
      </x:c>
      <x:c r="N14" s="29" t="str">
        <x:v>NOT_RUN</x:v>
      </x:c>
      <x:c r="O14" s="29" t="str"/>
      <x:c r="P14" s="29" t="str"/>
      <x:c r="Q14" s="29" t="str"/>
      <x:c r="R14" s="29" t="str"/>
      <x:c r="S14" s="29" t="str">
        <x:f>IF(COUNTIF(D14:N14,"NOT_RUN")=11,"NOT_RUN",IF(AND(COUNTIF(D14:N14,"PASS")=11,O14&lt;&gt;"",Q14&lt;&gt;"",R14&lt;&gt;""),"PASS","HOLD"))</x:f>
        <x:v>NOT_RUN</x:v>
      </x:c>
    </x:row>
    <x:row r="15">
      <x:c r="A15" s="29" t="str">
        <x:v>DIO-EVT-011</x:v>
      </x:c>
      <x:c r="B15" s="29" t="str">
        <x:v>LOT-1</x:v>
      </x:c>
      <x:c r="C15" s="29" t="str">
        <x:v>TRV-DIO-EVT-011</x:v>
      </x:c>
      <x:c r="D15" s="29" t="str">
        <x:v>NOT_RUN</x:v>
      </x:c>
      <x:c r="E15" s="29" t="str">
        <x:v>NOT_RUN</x:v>
      </x:c>
      <x:c r="F15" s="29" t="str">
        <x:v>NOT_RUN</x:v>
      </x:c>
      <x:c r="G15" s="29" t="str">
        <x:v>NOT_RUN</x:v>
      </x:c>
      <x:c r="H15" s="29" t="str">
        <x:v>NOT_RUN</x:v>
      </x:c>
      <x:c r="I15" s="29" t="str">
        <x:v>NOT_RUN</x:v>
      </x:c>
      <x:c r="J15" s="29" t="str">
        <x:v>NOT_RUN</x:v>
      </x:c>
      <x:c r="K15" s="29" t="str">
        <x:v>NOT_RUN</x:v>
      </x:c>
      <x:c r="L15" s="29" t="str">
        <x:v>NOT_RUN</x:v>
      </x:c>
      <x:c r="M15" s="29" t="str">
        <x:v>NOT_RUN</x:v>
      </x:c>
      <x:c r="N15" s="29" t="str">
        <x:v>NOT_RUN</x:v>
      </x:c>
      <x:c r="O15" s="29" t="str"/>
      <x:c r="P15" s="29" t="str"/>
      <x:c r="Q15" s="29" t="str"/>
      <x:c r="R15" s="29" t="str"/>
      <x:c r="S15" s="29" t="str">
        <x:f>IF(COUNTIF(D15:N15,"NOT_RUN")=11,"NOT_RUN",IF(AND(COUNTIF(D15:N15,"PASS")=11,O15&lt;&gt;"",Q15&lt;&gt;"",R15&lt;&gt;""),"PASS","HOLD"))</x:f>
        <x:v>NOT_RUN</x:v>
      </x:c>
    </x:row>
    <x:row r="16">
      <x:c r="A16" s="29" t="str">
        <x:v>DIO-EVT-012</x:v>
      </x:c>
      <x:c r="B16" s="29" t="str">
        <x:v>LOT-1</x:v>
      </x:c>
      <x:c r="C16" s="29" t="str">
        <x:v>TRV-DIO-EVT-012</x:v>
      </x:c>
      <x:c r="D16" s="29" t="str">
        <x:v>NOT_RUN</x:v>
      </x:c>
      <x:c r="E16" s="29" t="str">
        <x:v>NOT_RUN</x:v>
      </x:c>
      <x:c r="F16" s="29" t="str">
        <x:v>NOT_RUN</x:v>
      </x:c>
      <x:c r="G16" s="29" t="str">
        <x:v>NOT_RUN</x:v>
      </x:c>
      <x:c r="H16" s="29" t="str">
        <x:v>NOT_RUN</x:v>
      </x:c>
      <x:c r="I16" s="29" t="str">
        <x:v>NOT_RUN</x:v>
      </x:c>
      <x:c r="J16" s="29" t="str">
        <x:v>NOT_RUN</x:v>
      </x:c>
      <x:c r="K16" s="29" t="str">
        <x:v>NOT_RUN</x:v>
      </x:c>
      <x:c r="L16" s="29" t="str">
        <x:v>NOT_RUN</x:v>
      </x:c>
      <x:c r="M16" s="29" t="str">
        <x:v>NOT_RUN</x:v>
      </x:c>
      <x:c r="N16" s="29" t="str">
        <x:v>NOT_RUN</x:v>
      </x:c>
      <x:c r="O16" s="29" t="str"/>
      <x:c r="P16" s="29" t="str"/>
      <x:c r="Q16" s="29" t="str"/>
      <x:c r="R16" s="29" t="str"/>
      <x:c r="S16" s="29" t="str">
        <x:f>IF(COUNTIF(D16:N16,"NOT_RUN")=11,"NOT_RUN",IF(AND(COUNTIF(D16:N16,"PASS")=11,O16&lt;&gt;"",Q16&lt;&gt;"",R16&lt;&gt;""),"PASS","HOLD"))</x:f>
        <x:v>NOT_RUN</x:v>
      </x:c>
    </x:row>
    <x:row r="17">
      <x:c r="A17" s="29" t="str">
        <x:v>DIO-EVT-013</x:v>
      </x:c>
      <x:c r="B17" s="29" t="str">
        <x:v>LOT-1</x:v>
      </x:c>
      <x:c r="C17" s="29" t="str">
        <x:v>TRV-DIO-EVT-013</x:v>
      </x:c>
      <x:c r="D17" s="29" t="str">
        <x:v>NOT_RUN</x:v>
      </x:c>
      <x:c r="E17" s="29" t="str">
        <x:v>NOT_RUN</x:v>
      </x:c>
      <x:c r="F17" s="29" t="str">
        <x:v>NOT_RUN</x:v>
      </x:c>
      <x:c r="G17" s="29" t="str">
        <x:v>NOT_RUN</x:v>
      </x:c>
      <x:c r="H17" s="29" t="str">
        <x:v>NOT_RUN</x:v>
      </x:c>
      <x:c r="I17" s="29" t="str">
        <x:v>NOT_RUN</x:v>
      </x:c>
      <x:c r="J17" s="29" t="str">
        <x:v>NOT_RUN</x:v>
      </x:c>
      <x:c r="K17" s="29" t="str">
        <x:v>NOT_RUN</x:v>
      </x:c>
      <x:c r="L17" s="29" t="str">
        <x:v>NOT_RUN</x:v>
      </x:c>
      <x:c r="M17" s="29" t="str">
        <x:v>NOT_RUN</x:v>
      </x:c>
      <x:c r="N17" s="29" t="str">
        <x:v>NOT_RUN</x:v>
      </x:c>
      <x:c r="O17" s="29" t="str"/>
      <x:c r="P17" s="29" t="str"/>
      <x:c r="Q17" s="29" t="str"/>
      <x:c r="R17" s="29" t="str"/>
      <x:c r="S17" s="29" t="str">
        <x:f>IF(COUNTIF(D17:N17,"NOT_RUN")=11,"NOT_RUN",IF(AND(COUNTIF(D17:N17,"PASS")=11,O17&lt;&gt;"",Q17&lt;&gt;"",R17&lt;&gt;""),"PASS","HOLD"))</x:f>
        <x:v>NOT_RUN</x:v>
      </x:c>
    </x:row>
    <x:row r="18">
      <x:c r="A18" s="29" t="str">
        <x:v>DIO-EVT-014</x:v>
      </x:c>
      <x:c r="B18" s="29" t="str">
        <x:v>LOT-1</x:v>
      </x:c>
      <x:c r="C18" s="29" t="str">
        <x:v>TRV-DIO-EVT-014</x:v>
      </x:c>
      <x:c r="D18" s="29" t="str">
        <x:v>NOT_RUN</x:v>
      </x:c>
      <x:c r="E18" s="29" t="str">
        <x:v>NOT_RUN</x:v>
      </x:c>
      <x:c r="F18" s="29" t="str">
        <x:v>NOT_RUN</x:v>
      </x:c>
      <x:c r="G18" s="29" t="str">
        <x:v>NOT_RUN</x:v>
      </x:c>
      <x:c r="H18" s="29" t="str">
        <x:v>NOT_RUN</x:v>
      </x:c>
      <x:c r="I18" s="29" t="str">
        <x:v>NOT_RUN</x:v>
      </x:c>
      <x:c r="J18" s="29" t="str">
        <x:v>NOT_RUN</x:v>
      </x:c>
      <x:c r="K18" s="29" t="str">
        <x:v>NOT_RUN</x:v>
      </x:c>
      <x:c r="L18" s="29" t="str">
        <x:v>NOT_RUN</x:v>
      </x:c>
      <x:c r="M18" s="29" t="str">
        <x:v>NOT_RUN</x:v>
      </x:c>
      <x:c r="N18" s="29" t="str">
        <x:v>NOT_RUN</x:v>
      </x:c>
      <x:c r="O18" s="29" t="str"/>
      <x:c r="P18" s="29" t="str"/>
      <x:c r="Q18" s="29" t="str"/>
      <x:c r="R18" s="29" t="str"/>
      <x:c r="S18" s="29" t="str">
        <x:f>IF(COUNTIF(D18:N18,"NOT_RUN")=11,"NOT_RUN",IF(AND(COUNTIF(D18:N18,"PASS")=11,O18&lt;&gt;"",Q18&lt;&gt;"",R18&lt;&gt;""),"PASS","HOLD"))</x:f>
        <x:v>NOT_RUN</x:v>
      </x:c>
    </x:row>
    <x:row r="19">
      <x:c r="A19" s="29" t="str">
        <x:v>DIO-EVT-015</x:v>
      </x:c>
      <x:c r="B19" s="29" t="str">
        <x:v>LOT-1</x:v>
      </x:c>
      <x:c r="C19" s="29" t="str">
        <x:v>TRV-DIO-EVT-015</x:v>
      </x:c>
      <x:c r="D19" s="29" t="str">
        <x:v>NOT_RUN</x:v>
      </x:c>
      <x:c r="E19" s="29" t="str">
        <x:v>NOT_RUN</x:v>
      </x:c>
      <x:c r="F19" s="29" t="str">
        <x:v>NOT_RUN</x:v>
      </x:c>
      <x:c r="G19" s="29" t="str">
        <x:v>NOT_RUN</x:v>
      </x:c>
      <x:c r="H19" s="29" t="str">
        <x:v>NOT_RUN</x:v>
      </x:c>
      <x:c r="I19" s="29" t="str">
        <x:v>NOT_RUN</x:v>
      </x:c>
      <x:c r="J19" s="29" t="str">
        <x:v>NOT_RUN</x:v>
      </x:c>
      <x:c r="K19" s="29" t="str">
        <x:v>NOT_RUN</x:v>
      </x:c>
      <x:c r="L19" s="29" t="str">
        <x:v>NOT_RUN</x:v>
      </x:c>
      <x:c r="M19" s="29" t="str">
        <x:v>NOT_RUN</x:v>
      </x:c>
      <x:c r="N19" s="29" t="str">
        <x:v>NOT_RUN</x:v>
      </x:c>
      <x:c r="O19" s="29" t="str"/>
      <x:c r="P19" s="29" t="str"/>
      <x:c r="Q19" s="29" t="str"/>
      <x:c r="R19" s="29" t="str"/>
      <x:c r="S19" s="29" t="str">
        <x:f>IF(COUNTIF(D19:N19,"NOT_RUN")=11,"NOT_RUN",IF(AND(COUNTIF(D19:N19,"PASS")=11,O19&lt;&gt;"",Q19&lt;&gt;"",R19&lt;&gt;""),"PASS","HOLD"))</x:f>
        <x:v>NOT_RUN</x:v>
      </x:c>
    </x:row>
    <x:row r="20">
      <x:c r="A20" s="29" t="str">
        <x:v>DIO-EVT-016</x:v>
      </x:c>
      <x:c r="B20" s="29" t="str">
        <x:v>LOT-1</x:v>
      </x:c>
      <x:c r="C20" s="29" t="str">
        <x:v>TRV-DIO-EVT-016</x:v>
      </x:c>
      <x:c r="D20" s="29" t="str">
        <x:v>NOT_RUN</x:v>
      </x:c>
      <x:c r="E20" s="29" t="str">
        <x:v>NOT_RUN</x:v>
      </x:c>
      <x:c r="F20" s="29" t="str">
        <x:v>NOT_RUN</x:v>
      </x:c>
      <x:c r="G20" s="29" t="str">
        <x:v>NOT_RUN</x:v>
      </x:c>
      <x:c r="H20" s="29" t="str">
        <x:v>NOT_RUN</x:v>
      </x:c>
      <x:c r="I20" s="29" t="str">
        <x:v>NOT_RUN</x:v>
      </x:c>
      <x:c r="J20" s="29" t="str">
        <x:v>NOT_RUN</x:v>
      </x:c>
      <x:c r="K20" s="29" t="str">
        <x:v>NOT_RUN</x:v>
      </x:c>
      <x:c r="L20" s="29" t="str">
        <x:v>NOT_RUN</x:v>
      </x:c>
      <x:c r="M20" s="29" t="str">
        <x:v>NOT_RUN</x:v>
      </x:c>
      <x:c r="N20" s="29" t="str">
        <x:v>NOT_RUN</x:v>
      </x:c>
      <x:c r="O20" s="29" t="str"/>
      <x:c r="P20" s="29" t="str"/>
      <x:c r="Q20" s="29" t="str"/>
      <x:c r="R20" s="29" t="str"/>
      <x:c r="S20" s="29" t="str">
        <x:f>IF(COUNTIF(D20:N20,"NOT_RUN")=11,"NOT_RUN",IF(AND(COUNTIF(D20:N20,"PASS")=11,O20&lt;&gt;"",Q20&lt;&gt;"",R20&lt;&gt;""),"PASS","HOLD"))</x:f>
        <x:v>NOT_RUN</x:v>
      </x:c>
    </x:row>
    <x:row r="21">
      <x:c r="A21" s="29" t="str">
        <x:v>DIO-EVT-017</x:v>
      </x:c>
      <x:c r="B21" s="29" t="str">
        <x:v>LOT-1</x:v>
      </x:c>
      <x:c r="C21" s="29" t="str">
        <x:v>TRV-DIO-EVT-017</x:v>
      </x:c>
      <x:c r="D21" s="29" t="str">
        <x:v>NOT_RUN</x:v>
      </x:c>
      <x:c r="E21" s="29" t="str">
        <x:v>NOT_RUN</x:v>
      </x:c>
      <x:c r="F21" s="29" t="str">
        <x:v>NOT_RUN</x:v>
      </x:c>
      <x:c r="G21" s="29" t="str">
        <x:v>NOT_RUN</x:v>
      </x:c>
      <x:c r="H21" s="29" t="str">
        <x:v>NOT_RUN</x:v>
      </x:c>
      <x:c r="I21" s="29" t="str">
        <x:v>NOT_RUN</x:v>
      </x:c>
      <x:c r="J21" s="29" t="str">
        <x:v>NOT_RUN</x:v>
      </x:c>
      <x:c r="K21" s="29" t="str">
        <x:v>NOT_RUN</x:v>
      </x:c>
      <x:c r="L21" s="29" t="str">
        <x:v>NOT_RUN</x:v>
      </x:c>
      <x:c r="M21" s="29" t="str">
        <x:v>NOT_RUN</x:v>
      </x:c>
      <x:c r="N21" s="29" t="str">
        <x:v>NOT_RUN</x:v>
      </x:c>
      <x:c r="O21" s="29" t="str"/>
      <x:c r="P21" s="29" t="str"/>
      <x:c r="Q21" s="29" t="str"/>
      <x:c r="R21" s="29" t="str"/>
      <x:c r="S21" s="29" t="str">
        <x:f>IF(COUNTIF(D21:N21,"NOT_RUN")=11,"NOT_RUN",IF(AND(COUNTIF(D21:N21,"PASS")=11,O21&lt;&gt;"",Q21&lt;&gt;"",R21&lt;&gt;""),"PASS","HOLD"))</x:f>
        <x:v>NOT_RUN</x:v>
      </x:c>
    </x:row>
    <x:row r="22">
      <x:c r="A22" s="29" t="str">
        <x:v>DIO-EVT-018</x:v>
      </x:c>
      <x:c r="B22" s="29" t="str">
        <x:v>LOT-1</x:v>
      </x:c>
      <x:c r="C22" s="29" t="str">
        <x:v>TRV-DIO-EVT-018</x:v>
      </x:c>
      <x:c r="D22" s="29" t="str">
        <x:v>NOT_RUN</x:v>
      </x:c>
      <x:c r="E22" s="29" t="str">
        <x:v>NOT_RUN</x:v>
      </x:c>
      <x:c r="F22" s="29" t="str">
        <x:v>NOT_RUN</x:v>
      </x:c>
      <x:c r="G22" s="29" t="str">
        <x:v>NOT_RUN</x:v>
      </x:c>
      <x:c r="H22" s="29" t="str">
        <x:v>NOT_RUN</x:v>
      </x:c>
      <x:c r="I22" s="29" t="str">
        <x:v>NOT_RUN</x:v>
      </x:c>
      <x:c r="J22" s="29" t="str">
        <x:v>NOT_RUN</x:v>
      </x:c>
      <x:c r="K22" s="29" t="str">
        <x:v>NOT_RUN</x:v>
      </x:c>
      <x:c r="L22" s="29" t="str">
        <x:v>NOT_RUN</x:v>
      </x:c>
      <x:c r="M22" s="29" t="str">
        <x:v>NOT_RUN</x:v>
      </x:c>
      <x:c r="N22" s="29" t="str">
        <x:v>NOT_RUN</x:v>
      </x:c>
      <x:c r="O22" s="29" t="str"/>
      <x:c r="P22" s="29" t="str"/>
      <x:c r="Q22" s="29" t="str"/>
      <x:c r="R22" s="29" t="str"/>
      <x:c r="S22" s="29" t="str">
        <x:f>IF(COUNTIF(D22:N22,"NOT_RUN")=11,"NOT_RUN",IF(AND(COUNTIF(D22:N22,"PASS")=11,O22&lt;&gt;"",Q22&lt;&gt;"",R22&lt;&gt;""),"PASS","HOLD"))</x:f>
        <x:v>NOT_RUN</x:v>
      </x:c>
    </x:row>
    <x:row r="23">
      <x:c r="A23" s="29" t="str">
        <x:v>DIO-EVT-019</x:v>
      </x:c>
      <x:c r="B23" s="29" t="str">
        <x:v>LOT-1</x:v>
      </x:c>
      <x:c r="C23" s="29" t="str">
        <x:v>TRV-DIO-EVT-019</x:v>
      </x:c>
      <x:c r="D23" s="29" t="str">
        <x:v>NOT_RUN</x:v>
      </x:c>
      <x:c r="E23" s="29" t="str">
        <x:v>NOT_RUN</x:v>
      </x:c>
      <x:c r="F23" s="29" t="str">
        <x:v>NOT_RUN</x:v>
      </x:c>
      <x:c r="G23" s="29" t="str">
        <x:v>NOT_RUN</x:v>
      </x:c>
      <x:c r="H23" s="29" t="str">
        <x:v>NOT_RUN</x:v>
      </x:c>
      <x:c r="I23" s="29" t="str">
        <x:v>NOT_RUN</x:v>
      </x:c>
      <x:c r="J23" s="29" t="str">
        <x:v>NOT_RUN</x:v>
      </x:c>
      <x:c r="K23" s="29" t="str">
        <x:v>NOT_RUN</x:v>
      </x:c>
      <x:c r="L23" s="29" t="str">
        <x:v>NOT_RUN</x:v>
      </x:c>
      <x:c r="M23" s="29" t="str">
        <x:v>NOT_RUN</x:v>
      </x:c>
      <x:c r="N23" s="29" t="str">
        <x:v>NOT_RUN</x:v>
      </x:c>
      <x:c r="O23" s="29" t="str"/>
      <x:c r="P23" s="29" t="str"/>
      <x:c r="Q23" s="29" t="str"/>
      <x:c r="R23" s="29" t="str"/>
      <x:c r="S23" s="29" t="str">
        <x:f>IF(COUNTIF(D23:N23,"NOT_RUN")=11,"NOT_RUN",IF(AND(COUNTIF(D23:N23,"PASS")=11,O23&lt;&gt;"",Q23&lt;&gt;"",R23&lt;&gt;""),"PASS","HOLD"))</x:f>
        <x:v>NOT_RUN</x:v>
      </x:c>
    </x:row>
    <x:row r="24">
      <x:c r="A24" s="29" t="str">
        <x:v>DIO-EVT-020</x:v>
      </x:c>
      <x:c r="B24" s="29" t="str">
        <x:v>LOT-1</x:v>
      </x:c>
      <x:c r="C24" s="29" t="str">
        <x:v>TRV-DIO-EVT-020</x:v>
      </x:c>
      <x:c r="D24" s="29" t="str">
        <x:v>NOT_RUN</x:v>
      </x:c>
      <x:c r="E24" s="29" t="str">
        <x:v>NOT_RUN</x:v>
      </x:c>
      <x:c r="F24" s="29" t="str">
        <x:v>NOT_RUN</x:v>
      </x:c>
      <x:c r="G24" s="29" t="str">
        <x:v>NOT_RUN</x:v>
      </x:c>
      <x:c r="H24" s="29" t="str">
        <x:v>NOT_RUN</x:v>
      </x:c>
      <x:c r="I24" s="29" t="str">
        <x:v>NOT_RUN</x:v>
      </x:c>
      <x:c r="J24" s="29" t="str">
        <x:v>NOT_RUN</x:v>
      </x:c>
      <x:c r="K24" s="29" t="str">
        <x:v>NOT_RUN</x:v>
      </x:c>
      <x:c r="L24" s="29" t="str">
        <x:v>NOT_RUN</x:v>
      </x:c>
      <x:c r="M24" s="29" t="str">
        <x:v>NOT_RUN</x:v>
      </x:c>
      <x:c r="N24" s="29" t="str">
        <x:v>NOT_RUN</x:v>
      </x:c>
      <x:c r="O24" s="29" t="str"/>
      <x:c r="P24" s="29" t="str"/>
      <x:c r="Q24" s="29" t="str"/>
      <x:c r="R24" s="29" t="str"/>
      <x:c r="S24" s="29" t="str">
        <x:f>IF(COUNTIF(D24:N24,"NOT_RUN")=11,"NOT_RUN",IF(AND(COUNTIF(D24:N24,"PASS")=11,O24&lt;&gt;"",Q24&lt;&gt;"",R24&lt;&gt;""),"PASS","HOLD"))</x:f>
        <x:v>NOT_RUN</x:v>
      </x:c>
    </x:row>
    <x:row r="25">
      <x:c r="A25" s="29" t="str">
        <x:v>DIO-EVT-021</x:v>
      </x:c>
      <x:c r="B25" s="29" t="str">
        <x:v>LOT-2</x:v>
      </x:c>
      <x:c r="C25" s="29" t="str">
        <x:v>TRV-DIO-EVT-021</x:v>
      </x:c>
      <x:c r="D25" s="29" t="str">
        <x:v>NOT_RUN</x:v>
      </x:c>
      <x:c r="E25" s="29" t="str">
        <x:v>NOT_RUN</x:v>
      </x:c>
      <x:c r="F25" s="29" t="str">
        <x:v>NOT_RUN</x:v>
      </x:c>
      <x:c r="G25" s="29" t="str">
        <x:v>NOT_RUN</x:v>
      </x:c>
      <x:c r="H25" s="29" t="str">
        <x:v>NOT_RUN</x:v>
      </x:c>
      <x:c r="I25" s="29" t="str">
        <x:v>NOT_RUN</x:v>
      </x:c>
      <x:c r="J25" s="29" t="str">
        <x:v>NOT_RUN</x:v>
      </x:c>
      <x:c r="K25" s="29" t="str">
        <x:v>NOT_RUN</x:v>
      </x:c>
      <x:c r="L25" s="29" t="str">
        <x:v>NOT_RUN</x:v>
      </x:c>
      <x:c r="M25" s="29" t="str">
        <x:v>NOT_RUN</x:v>
      </x:c>
      <x:c r="N25" s="29" t="str">
        <x:v>NOT_RUN</x:v>
      </x:c>
      <x:c r="O25" s="29" t="str"/>
      <x:c r="P25" s="29" t="str"/>
      <x:c r="Q25" s="29" t="str"/>
      <x:c r="R25" s="29" t="str"/>
      <x:c r="S25" s="29" t="str">
        <x:f>IF(COUNTIF(D25:N25,"NOT_RUN")=11,"NOT_RUN",IF(AND(COUNTIF(D25:N25,"PASS")=11,O25&lt;&gt;"",Q25&lt;&gt;"",R25&lt;&gt;""),"PASS","HOLD"))</x:f>
        <x:v>NOT_RUN</x:v>
      </x:c>
    </x:row>
    <x:row r="26">
      <x:c r="A26" s="29" t="str">
        <x:v>DIO-EVT-022</x:v>
      </x:c>
      <x:c r="B26" s="29" t="str">
        <x:v>LOT-2</x:v>
      </x:c>
      <x:c r="C26" s="29" t="str">
        <x:v>TRV-DIO-EVT-022</x:v>
      </x:c>
      <x:c r="D26" s="29" t="str">
        <x:v>NOT_RUN</x:v>
      </x:c>
      <x:c r="E26" s="29" t="str">
        <x:v>NOT_RUN</x:v>
      </x:c>
      <x:c r="F26" s="29" t="str">
        <x:v>NOT_RUN</x:v>
      </x:c>
      <x:c r="G26" s="29" t="str">
        <x:v>NOT_RUN</x:v>
      </x:c>
      <x:c r="H26" s="29" t="str">
        <x:v>NOT_RUN</x:v>
      </x:c>
      <x:c r="I26" s="29" t="str">
        <x:v>NOT_RUN</x:v>
      </x:c>
      <x:c r="J26" s="29" t="str">
        <x:v>NOT_RUN</x:v>
      </x:c>
      <x:c r="K26" s="29" t="str">
        <x:v>NOT_RUN</x:v>
      </x:c>
      <x:c r="L26" s="29" t="str">
        <x:v>NOT_RUN</x:v>
      </x:c>
      <x:c r="M26" s="29" t="str">
        <x:v>NOT_RUN</x:v>
      </x:c>
      <x:c r="N26" s="29" t="str">
        <x:v>NOT_RUN</x:v>
      </x:c>
      <x:c r="O26" s="29" t="str"/>
      <x:c r="P26" s="29" t="str"/>
      <x:c r="Q26" s="29" t="str"/>
      <x:c r="R26" s="29" t="str"/>
      <x:c r="S26" s="29" t="str">
        <x:f>IF(COUNTIF(D26:N26,"NOT_RUN")=11,"NOT_RUN",IF(AND(COUNTIF(D26:N26,"PASS")=11,O26&lt;&gt;"",Q26&lt;&gt;"",R26&lt;&gt;""),"PASS","HOLD"))</x:f>
        <x:v>NOT_RUN</x:v>
      </x:c>
    </x:row>
    <x:row r="27">
      <x:c r="A27" s="29" t="str">
        <x:v>DIO-EVT-023</x:v>
      </x:c>
      <x:c r="B27" s="29" t="str">
        <x:v>LOT-2</x:v>
      </x:c>
      <x:c r="C27" s="29" t="str">
        <x:v>TRV-DIO-EVT-023</x:v>
      </x:c>
      <x:c r="D27" s="29" t="str">
        <x:v>NOT_RUN</x:v>
      </x:c>
      <x:c r="E27" s="29" t="str">
        <x:v>NOT_RUN</x:v>
      </x:c>
      <x:c r="F27" s="29" t="str">
        <x:v>NOT_RUN</x:v>
      </x:c>
      <x:c r="G27" s="29" t="str">
        <x:v>NOT_RUN</x:v>
      </x:c>
      <x:c r="H27" s="29" t="str">
        <x:v>NOT_RUN</x:v>
      </x:c>
      <x:c r="I27" s="29" t="str">
        <x:v>NOT_RUN</x:v>
      </x:c>
      <x:c r="J27" s="29" t="str">
        <x:v>NOT_RUN</x:v>
      </x:c>
      <x:c r="K27" s="29" t="str">
        <x:v>NOT_RUN</x:v>
      </x:c>
      <x:c r="L27" s="29" t="str">
        <x:v>NOT_RUN</x:v>
      </x:c>
      <x:c r="M27" s="29" t="str">
        <x:v>NOT_RUN</x:v>
      </x:c>
      <x:c r="N27" s="29" t="str">
        <x:v>NOT_RUN</x:v>
      </x:c>
      <x:c r="O27" s="29" t="str"/>
      <x:c r="P27" s="29" t="str"/>
      <x:c r="Q27" s="29" t="str"/>
      <x:c r="R27" s="29" t="str"/>
      <x:c r="S27" s="29" t="str">
        <x:f>IF(COUNTIF(D27:N27,"NOT_RUN")=11,"NOT_RUN",IF(AND(COUNTIF(D27:N27,"PASS")=11,O27&lt;&gt;"",Q27&lt;&gt;"",R27&lt;&gt;""),"PASS","HOLD"))</x:f>
        <x:v>NOT_RUN</x:v>
      </x:c>
    </x:row>
    <x:row r="28">
      <x:c r="A28" s="29" t="str">
        <x:v>DIO-EVT-024</x:v>
      </x:c>
      <x:c r="B28" s="29" t="str">
        <x:v>LOT-2</x:v>
      </x:c>
      <x:c r="C28" s="29" t="str">
        <x:v>TRV-DIO-EVT-024</x:v>
      </x:c>
      <x:c r="D28" s="29" t="str">
        <x:v>NOT_RUN</x:v>
      </x:c>
      <x:c r="E28" s="29" t="str">
        <x:v>NOT_RUN</x:v>
      </x:c>
      <x:c r="F28" s="29" t="str">
        <x:v>NOT_RUN</x:v>
      </x:c>
      <x:c r="G28" s="29" t="str">
        <x:v>NOT_RUN</x:v>
      </x:c>
      <x:c r="H28" s="29" t="str">
        <x:v>NOT_RUN</x:v>
      </x:c>
      <x:c r="I28" s="29" t="str">
        <x:v>NOT_RUN</x:v>
      </x:c>
      <x:c r="J28" s="29" t="str">
        <x:v>NOT_RUN</x:v>
      </x:c>
      <x:c r="K28" s="29" t="str">
        <x:v>NOT_RUN</x:v>
      </x:c>
      <x:c r="L28" s="29" t="str">
        <x:v>NOT_RUN</x:v>
      </x:c>
      <x:c r="M28" s="29" t="str">
        <x:v>NOT_RUN</x:v>
      </x:c>
      <x:c r="N28" s="29" t="str">
        <x:v>NOT_RUN</x:v>
      </x:c>
      <x:c r="O28" s="29" t="str"/>
      <x:c r="P28" s="29" t="str"/>
      <x:c r="Q28" s="29" t="str"/>
      <x:c r="R28" s="29" t="str"/>
      <x:c r="S28" s="29" t="str">
        <x:f>IF(COUNTIF(D28:N28,"NOT_RUN")=11,"NOT_RUN",IF(AND(COUNTIF(D28:N28,"PASS")=11,O28&lt;&gt;"",Q28&lt;&gt;"",R28&lt;&gt;""),"PASS","HOLD"))</x:f>
        <x:v>NOT_RUN</x:v>
      </x:c>
    </x:row>
    <x:row r="29">
      <x:c r="A29" s="29" t="str">
        <x:v>DIO-EVT-025</x:v>
      </x:c>
      <x:c r="B29" s="29" t="str">
        <x:v>LOT-2</x:v>
      </x:c>
      <x:c r="C29" s="29" t="str">
        <x:v>TRV-DIO-EVT-025</x:v>
      </x:c>
      <x:c r="D29" s="29" t="str">
        <x:v>NOT_RUN</x:v>
      </x:c>
      <x:c r="E29" s="29" t="str">
        <x:v>NOT_RUN</x:v>
      </x:c>
      <x:c r="F29" s="29" t="str">
        <x:v>NOT_RUN</x:v>
      </x:c>
      <x:c r="G29" s="29" t="str">
        <x:v>NOT_RUN</x:v>
      </x:c>
      <x:c r="H29" s="29" t="str">
        <x:v>NOT_RUN</x:v>
      </x:c>
      <x:c r="I29" s="29" t="str">
        <x:v>NOT_RUN</x:v>
      </x:c>
      <x:c r="J29" s="29" t="str">
        <x:v>NOT_RUN</x:v>
      </x:c>
      <x:c r="K29" s="29" t="str">
        <x:v>NOT_RUN</x:v>
      </x:c>
      <x:c r="L29" s="29" t="str">
        <x:v>NOT_RUN</x:v>
      </x:c>
      <x:c r="M29" s="29" t="str">
        <x:v>NOT_RUN</x:v>
      </x:c>
      <x:c r="N29" s="29" t="str">
        <x:v>NOT_RUN</x:v>
      </x:c>
      <x:c r="O29" s="29" t="str"/>
      <x:c r="P29" s="29" t="str"/>
      <x:c r="Q29" s="29" t="str"/>
      <x:c r="R29" s="29" t="str"/>
      <x:c r="S29" s="29" t="str">
        <x:f>IF(COUNTIF(D29:N29,"NOT_RUN")=11,"NOT_RUN",IF(AND(COUNTIF(D29:N29,"PASS")=11,O29&lt;&gt;"",Q29&lt;&gt;"",R29&lt;&gt;""),"PASS","HOLD"))</x:f>
        <x:v>NOT_RUN</x:v>
      </x:c>
    </x:row>
    <x:row r="30">
      <x:c r="A30" s="29" t="str">
        <x:v>DIO-EVT-026</x:v>
      </x:c>
      <x:c r="B30" s="29" t="str">
        <x:v>LOT-2</x:v>
      </x:c>
      <x:c r="C30" s="29" t="str">
        <x:v>TRV-DIO-EVT-026</x:v>
      </x:c>
      <x:c r="D30" s="29" t="str">
        <x:v>NOT_RUN</x:v>
      </x:c>
      <x:c r="E30" s="29" t="str">
        <x:v>NOT_RUN</x:v>
      </x:c>
      <x:c r="F30" s="29" t="str">
        <x:v>NOT_RUN</x:v>
      </x:c>
      <x:c r="G30" s="29" t="str">
        <x:v>NOT_RUN</x:v>
      </x:c>
      <x:c r="H30" s="29" t="str">
        <x:v>NOT_RUN</x:v>
      </x:c>
      <x:c r="I30" s="29" t="str">
        <x:v>NOT_RUN</x:v>
      </x:c>
      <x:c r="J30" s="29" t="str">
        <x:v>NOT_RUN</x:v>
      </x:c>
      <x:c r="K30" s="29" t="str">
        <x:v>NOT_RUN</x:v>
      </x:c>
      <x:c r="L30" s="29" t="str">
        <x:v>NOT_RUN</x:v>
      </x:c>
      <x:c r="M30" s="29" t="str">
        <x:v>NOT_RUN</x:v>
      </x:c>
      <x:c r="N30" s="29" t="str">
        <x:v>NOT_RUN</x:v>
      </x:c>
      <x:c r="O30" s="29" t="str"/>
      <x:c r="P30" s="29" t="str"/>
      <x:c r="Q30" s="29" t="str"/>
      <x:c r="R30" s="29" t="str"/>
      <x:c r="S30" s="29" t="str">
        <x:f>IF(COUNTIF(D30:N30,"NOT_RUN")=11,"NOT_RUN",IF(AND(COUNTIF(D30:N30,"PASS")=11,O30&lt;&gt;"",Q30&lt;&gt;"",R30&lt;&gt;""),"PASS","HOLD"))</x:f>
        <x:v>NOT_RUN</x:v>
      </x:c>
    </x:row>
    <x:row r="31">
      <x:c r="A31" s="29" t="str">
        <x:v>DIO-EVT-027</x:v>
      </x:c>
      <x:c r="B31" s="29" t="str">
        <x:v>LOT-2</x:v>
      </x:c>
      <x:c r="C31" s="29" t="str">
        <x:v>TRV-DIO-EVT-027</x:v>
      </x:c>
      <x:c r="D31" s="29" t="str">
        <x:v>NOT_RUN</x:v>
      </x:c>
      <x:c r="E31" s="29" t="str">
        <x:v>NOT_RUN</x:v>
      </x:c>
      <x:c r="F31" s="29" t="str">
        <x:v>NOT_RUN</x:v>
      </x:c>
      <x:c r="G31" s="29" t="str">
        <x:v>NOT_RUN</x:v>
      </x:c>
      <x:c r="H31" s="29" t="str">
        <x:v>NOT_RUN</x:v>
      </x:c>
      <x:c r="I31" s="29" t="str">
        <x:v>NOT_RUN</x:v>
      </x:c>
      <x:c r="J31" s="29" t="str">
        <x:v>NOT_RUN</x:v>
      </x:c>
      <x:c r="K31" s="29" t="str">
        <x:v>NOT_RUN</x:v>
      </x:c>
      <x:c r="L31" s="29" t="str">
        <x:v>NOT_RUN</x:v>
      </x:c>
      <x:c r="M31" s="29" t="str">
        <x:v>NOT_RUN</x:v>
      </x:c>
      <x:c r="N31" s="29" t="str">
        <x:v>NOT_RUN</x:v>
      </x:c>
      <x:c r="O31" s="29" t="str"/>
      <x:c r="P31" s="29" t="str"/>
      <x:c r="Q31" s="29" t="str"/>
      <x:c r="R31" s="29" t="str"/>
      <x:c r="S31" s="29" t="str">
        <x:f>IF(COUNTIF(D31:N31,"NOT_RUN")=11,"NOT_RUN",IF(AND(COUNTIF(D31:N31,"PASS")=11,O31&lt;&gt;"",Q31&lt;&gt;"",R31&lt;&gt;""),"PASS","HOLD"))</x:f>
        <x:v>NOT_RUN</x:v>
      </x:c>
    </x:row>
    <x:row r="32">
      <x:c r="A32" s="29" t="str">
        <x:v>DIO-EVT-028</x:v>
      </x:c>
      <x:c r="B32" s="29" t="str">
        <x:v>LOT-2</x:v>
      </x:c>
      <x:c r="C32" s="29" t="str">
        <x:v>TRV-DIO-EVT-028</x:v>
      </x:c>
      <x:c r="D32" s="29" t="str">
        <x:v>NOT_RUN</x:v>
      </x:c>
      <x:c r="E32" s="29" t="str">
        <x:v>NOT_RUN</x:v>
      </x:c>
      <x:c r="F32" s="29" t="str">
        <x:v>NOT_RUN</x:v>
      </x:c>
      <x:c r="G32" s="29" t="str">
        <x:v>NOT_RUN</x:v>
      </x:c>
      <x:c r="H32" s="29" t="str">
        <x:v>NOT_RUN</x:v>
      </x:c>
      <x:c r="I32" s="29" t="str">
        <x:v>NOT_RUN</x:v>
      </x:c>
      <x:c r="J32" s="29" t="str">
        <x:v>NOT_RUN</x:v>
      </x:c>
      <x:c r="K32" s="29" t="str">
        <x:v>NOT_RUN</x:v>
      </x:c>
      <x:c r="L32" s="29" t="str">
        <x:v>NOT_RUN</x:v>
      </x:c>
      <x:c r="M32" s="29" t="str">
        <x:v>NOT_RUN</x:v>
      </x:c>
      <x:c r="N32" s="29" t="str">
        <x:v>NOT_RUN</x:v>
      </x:c>
      <x:c r="O32" s="29" t="str"/>
      <x:c r="P32" s="29" t="str"/>
      <x:c r="Q32" s="29" t="str"/>
      <x:c r="R32" s="29" t="str"/>
      <x:c r="S32" s="29" t="str">
        <x:f>IF(COUNTIF(D32:N32,"NOT_RUN")=11,"NOT_RUN",IF(AND(COUNTIF(D32:N32,"PASS")=11,O32&lt;&gt;"",Q32&lt;&gt;"",R32&lt;&gt;""),"PASS","HOLD"))</x:f>
        <x:v>NOT_RUN</x:v>
      </x:c>
    </x:row>
    <x:row r="33">
      <x:c r="A33" s="29" t="str">
        <x:v>DIO-EVT-029</x:v>
      </x:c>
      <x:c r="B33" s="29" t="str">
        <x:v>LOT-2</x:v>
      </x:c>
      <x:c r="C33" s="29" t="str">
        <x:v>TRV-DIO-EVT-029</x:v>
      </x:c>
      <x:c r="D33" s="29" t="str">
        <x:v>NOT_RUN</x:v>
      </x:c>
      <x:c r="E33" s="29" t="str">
        <x:v>NOT_RUN</x:v>
      </x:c>
      <x:c r="F33" s="29" t="str">
        <x:v>NOT_RUN</x:v>
      </x:c>
      <x:c r="G33" s="29" t="str">
        <x:v>NOT_RUN</x:v>
      </x:c>
      <x:c r="H33" s="29" t="str">
        <x:v>NOT_RUN</x:v>
      </x:c>
      <x:c r="I33" s="29" t="str">
        <x:v>NOT_RUN</x:v>
      </x:c>
      <x:c r="J33" s="29" t="str">
        <x:v>NOT_RUN</x:v>
      </x:c>
      <x:c r="K33" s="29" t="str">
        <x:v>NOT_RUN</x:v>
      </x:c>
      <x:c r="L33" s="29" t="str">
        <x:v>NOT_RUN</x:v>
      </x:c>
      <x:c r="M33" s="29" t="str">
        <x:v>NOT_RUN</x:v>
      </x:c>
      <x:c r="N33" s="29" t="str">
        <x:v>NOT_RUN</x:v>
      </x:c>
      <x:c r="O33" s="29" t="str"/>
      <x:c r="P33" s="29" t="str"/>
      <x:c r="Q33" s="29" t="str"/>
      <x:c r="R33" s="29" t="str"/>
      <x:c r="S33" s="29" t="str">
        <x:f>IF(COUNTIF(D33:N33,"NOT_RUN")=11,"NOT_RUN",IF(AND(COUNTIF(D33:N33,"PASS")=11,O33&lt;&gt;"",Q33&lt;&gt;"",R33&lt;&gt;""),"PASS","HOLD"))</x:f>
        <x:v>NOT_RUN</x:v>
      </x:c>
    </x:row>
    <x:row r="34">
      <x:c r="A34" s="29" t="str">
        <x:v>DIO-EVT-030</x:v>
      </x:c>
      <x:c r="B34" s="29" t="str">
        <x:v>LOT-2</x:v>
      </x:c>
      <x:c r="C34" s="29" t="str">
        <x:v>TRV-DIO-EVT-030</x:v>
      </x:c>
      <x:c r="D34" s="29" t="str">
        <x:v>NOT_RUN</x:v>
      </x:c>
      <x:c r="E34" s="29" t="str">
        <x:v>NOT_RUN</x:v>
      </x:c>
      <x:c r="F34" s="29" t="str">
        <x:v>NOT_RUN</x:v>
      </x:c>
      <x:c r="G34" s="29" t="str">
        <x:v>NOT_RUN</x:v>
      </x:c>
      <x:c r="H34" s="29" t="str">
        <x:v>NOT_RUN</x:v>
      </x:c>
      <x:c r="I34" s="29" t="str">
        <x:v>NOT_RUN</x:v>
      </x:c>
      <x:c r="J34" s="29" t="str">
        <x:v>NOT_RUN</x:v>
      </x:c>
      <x:c r="K34" s="29" t="str">
        <x:v>NOT_RUN</x:v>
      </x:c>
      <x:c r="L34" s="29" t="str">
        <x:v>NOT_RUN</x:v>
      </x:c>
      <x:c r="M34" s="29" t="str">
        <x:v>NOT_RUN</x:v>
      </x:c>
      <x:c r="N34" s="29" t="str">
        <x:v>NOT_RUN</x:v>
      </x:c>
      <x:c r="O34" s="29" t="str"/>
      <x:c r="P34" s="29" t="str"/>
      <x:c r="Q34" s="29" t="str"/>
      <x:c r="R34" s="29" t="str"/>
      <x:c r="S34" s="29" t="str">
        <x:f>IF(COUNTIF(D34:N34,"NOT_RUN")=11,"NOT_RUN",IF(AND(COUNTIF(D34:N34,"PASS")=11,O34&lt;&gt;"",Q34&lt;&gt;"",R34&lt;&gt;""),"PASS","HOLD"))</x:f>
        <x:v>NOT_RUN</x:v>
      </x:c>
    </x:row>
    <x:row r="35">
      <x:c r="A35" s="29" t="str">
        <x:v>DIO-EVT-031</x:v>
      </x:c>
      <x:c r="B35" s="29" t="str">
        <x:v>LOT-2</x:v>
      </x:c>
      <x:c r="C35" s="29" t="str">
        <x:v>TRV-DIO-EVT-031</x:v>
      </x:c>
      <x:c r="D35" s="29" t="str">
        <x:v>NOT_RUN</x:v>
      </x:c>
      <x:c r="E35" s="29" t="str">
        <x:v>NOT_RUN</x:v>
      </x:c>
      <x:c r="F35" s="29" t="str">
        <x:v>NOT_RUN</x:v>
      </x:c>
      <x:c r="G35" s="29" t="str">
        <x:v>NOT_RUN</x:v>
      </x:c>
      <x:c r="H35" s="29" t="str">
        <x:v>NOT_RUN</x:v>
      </x:c>
      <x:c r="I35" s="29" t="str">
        <x:v>NOT_RUN</x:v>
      </x:c>
      <x:c r="J35" s="29" t="str">
        <x:v>NOT_RUN</x:v>
      </x:c>
      <x:c r="K35" s="29" t="str">
        <x:v>NOT_RUN</x:v>
      </x:c>
      <x:c r="L35" s="29" t="str">
        <x:v>NOT_RUN</x:v>
      </x:c>
      <x:c r="M35" s="29" t="str">
        <x:v>NOT_RUN</x:v>
      </x:c>
      <x:c r="N35" s="29" t="str">
        <x:v>NOT_RUN</x:v>
      </x:c>
      <x:c r="O35" s="29" t="str"/>
      <x:c r="P35" s="29" t="str"/>
      <x:c r="Q35" s="29" t="str"/>
      <x:c r="R35" s="29" t="str"/>
      <x:c r="S35" s="29" t="str">
        <x:f>IF(COUNTIF(D35:N35,"NOT_RUN")=11,"NOT_RUN",IF(AND(COUNTIF(D35:N35,"PASS")=11,O35&lt;&gt;"",Q35&lt;&gt;"",R35&lt;&gt;""),"PASS","HOLD"))</x:f>
        <x:v>NOT_RUN</x:v>
      </x:c>
    </x:row>
    <x:row r="36">
      <x:c r="A36" s="29" t="str">
        <x:v>DIO-EVT-032</x:v>
      </x:c>
      <x:c r="B36" s="29" t="str">
        <x:v>LOT-2</x:v>
      </x:c>
      <x:c r="C36" s="29" t="str">
        <x:v>TRV-DIO-EVT-032</x:v>
      </x:c>
      <x:c r="D36" s="29" t="str">
        <x:v>NOT_RUN</x:v>
      </x:c>
      <x:c r="E36" s="29" t="str">
        <x:v>NOT_RUN</x:v>
      </x:c>
      <x:c r="F36" s="29" t="str">
        <x:v>NOT_RUN</x:v>
      </x:c>
      <x:c r="G36" s="29" t="str">
        <x:v>NOT_RUN</x:v>
      </x:c>
      <x:c r="H36" s="29" t="str">
        <x:v>NOT_RUN</x:v>
      </x:c>
      <x:c r="I36" s="29" t="str">
        <x:v>NOT_RUN</x:v>
      </x:c>
      <x:c r="J36" s="29" t="str">
        <x:v>NOT_RUN</x:v>
      </x:c>
      <x:c r="K36" s="29" t="str">
        <x:v>NOT_RUN</x:v>
      </x:c>
      <x:c r="L36" s="29" t="str">
        <x:v>NOT_RUN</x:v>
      </x:c>
      <x:c r="M36" s="29" t="str">
        <x:v>NOT_RUN</x:v>
      </x:c>
      <x:c r="N36" s="29" t="str">
        <x:v>NOT_RUN</x:v>
      </x:c>
      <x:c r="O36" s="29" t="str"/>
      <x:c r="P36" s="29" t="str"/>
      <x:c r="Q36" s="29" t="str"/>
      <x:c r="R36" s="29" t="str"/>
      <x:c r="S36" s="29" t="str">
        <x:f>IF(COUNTIF(D36:N36,"NOT_RUN")=11,"NOT_RUN",IF(AND(COUNTIF(D36:N36,"PASS")=11,O36&lt;&gt;"",Q36&lt;&gt;"",R36&lt;&gt;""),"PASS","HOLD"))</x:f>
        <x:v>NOT_RUN</x:v>
      </x:c>
    </x:row>
    <x:row r="37">
      <x:c r="A37" s="29" t="str">
        <x:v>DIO-EVT-033</x:v>
      </x:c>
      <x:c r="B37" s="29" t="str">
        <x:v>LOT-2</x:v>
      </x:c>
      <x:c r="C37" s="29" t="str">
        <x:v>TRV-DIO-EVT-033</x:v>
      </x:c>
      <x:c r="D37" s="29" t="str">
        <x:v>NOT_RUN</x:v>
      </x:c>
      <x:c r="E37" s="29" t="str">
        <x:v>NOT_RUN</x:v>
      </x:c>
      <x:c r="F37" s="29" t="str">
        <x:v>NOT_RUN</x:v>
      </x:c>
      <x:c r="G37" s="29" t="str">
        <x:v>NOT_RUN</x:v>
      </x:c>
      <x:c r="H37" s="29" t="str">
        <x:v>NOT_RUN</x:v>
      </x:c>
      <x:c r="I37" s="29" t="str">
        <x:v>NOT_RUN</x:v>
      </x:c>
      <x:c r="J37" s="29" t="str">
        <x:v>NOT_RUN</x:v>
      </x:c>
      <x:c r="K37" s="29" t="str">
        <x:v>NOT_RUN</x:v>
      </x:c>
      <x:c r="L37" s="29" t="str">
        <x:v>NOT_RUN</x:v>
      </x:c>
      <x:c r="M37" s="29" t="str">
        <x:v>NOT_RUN</x:v>
      </x:c>
      <x:c r="N37" s="29" t="str">
        <x:v>NOT_RUN</x:v>
      </x:c>
      <x:c r="O37" s="29" t="str"/>
      <x:c r="P37" s="29" t="str"/>
      <x:c r="Q37" s="29" t="str"/>
      <x:c r="R37" s="29" t="str"/>
      <x:c r="S37" s="29" t="str">
        <x:f>IF(COUNTIF(D37:N37,"NOT_RUN")=11,"NOT_RUN",IF(AND(COUNTIF(D37:N37,"PASS")=11,O37&lt;&gt;"",Q37&lt;&gt;"",R37&lt;&gt;""),"PASS","HOLD"))</x:f>
        <x:v>NOT_RUN</x:v>
      </x:c>
    </x:row>
    <x:row r="38">
      <x:c r="A38" s="29" t="str">
        <x:v>DIO-EVT-034</x:v>
      </x:c>
      <x:c r="B38" s="29" t="str">
        <x:v>LOT-2</x:v>
      </x:c>
      <x:c r="C38" s="29" t="str">
        <x:v>TRV-DIO-EVT-034</x:v>
      </x:c>
      <x:c r="D38" s="29" t="str">
        <x:v>NOT_RUN</x:v>
      </x:c>
      <x:c r="E38" s="29" t="str">
        <x:v>NOT_RUN</x:v>
      </x:c>
      <x:c r="F38" s="29" t="str">
        <x:v>NOT_RUN</x:v>
      </x:c>
      <x:c r="G38" s="29" t="str">
        <x:v>NOT_RUN</x:v>
      </x:c>
      <x:c r="H38" s="29" t="str">
        <x:v>NOT_RUN</x:v>
      </x:c>
      <x:c r="I38" s="29" t="str">
        <x:v>NOT_RUN</x:v>
      </x:c>
      <x:c r="J38" s="29" t="str">
        <x:v>NOT_RUN</x:v>
      </x:c>
      <x:c r="K38" s="29" t="str">
        <x:v>NOT_RUN</x:v>
      </x:c>
      <x:c r="L38" s="29" t="str">
        <x:v>NOT_RUN</x:v>
      </x:c>
      <x:c r="M38" s="29" t="str">
        <x:v>NOT_RUN</x:v>
      </x:c>
      <x:c r="N38" s="29" t="str">
        <x:v>NOT_RUN</x:v>
      </x:c>
      <x:c r="O38" s="29" t="str"/>
      <x:c r="P38" s="29" t="str"/>
      <x:c r="Q38" s="29" t="str"/>
      <x:c r="R38" s="29" t="str"/>
      <x:c r="S38" s="29" t="str">
        <x:f>IF(COUNTIF(D38:N38,"NOT_RUN")=11,"NOT_RUN",IF(AND(COUNTIF(D38:N38,"PASS")=11,O38&lt;&gt;"",Q38&lt;&gt;"",R38&lt;&gt;""),"PASS","HOLD"))</x:f>
        <x:v>NOT_RUN</x:v>
      </x:c>
    </x:row>
    <x:row r="39">
      <x:c r="A39" s="29" t="str">
        <x:v>DIO-EVT-035</x:v>
      </x:c>
      <x:c r="B39" s="29" t="str">
        <x:v>LOT-2</x:v>
      </x:c>
      <x:c r="C39" s="29" t="str">
        <x:v>TRV-DIO-EVT-035</x:v>
      </x:c>
      <x:c r="D39" s="29" t="str">
        <x:v>NOT_RUN</x:v>
      </x:c>
      <x:c r="E39" s="29" t="str">
        <x:v>NOT_RUN</x:v>
      </x:c>
      <x:c r="F39" s="29" t="str">
        <x:v>NOT_RUN</x:v>
      </x:c>
      <x:c r="G39" s="29" t="str">
        <x:v>NOT_RUN</x:v>
      </x:c>
      <x:c r="H39" s="29" t="str">
        <x:v>NOT_RUN</x:v>
      </x:c>
      <x:c r="I39" s="29" t="str">
        <x:v>NOT_RUN</x:v>
      </x:c>
      <x:c r="J39" s="29" t="str">
        <x:v>NOT_RUN</x:v>
      </x:c>
      <x:c r="K39" s="29" t="str">
        <x:v>NOT_RUN</x:v>
      </x:c>
      <x:c r="L39" s="29" t="str">
        <x:v>NOT_RUN</x:v>
      </x:c>
      <x:c r="M39" s="29" t="str">
        <x:v>NOT_RUN</x:v>
      </x:c>
      <x:c r="N39" s="29" t="str">
        <x:v>NOT_RUN</x:v>
      </x:c>
      <x:c r="O39" s="29" t="str"/>
      <x:c r="P39" s="29" t="str"/>
      <x:c r="Q39" s="29" t="str"/>
      <x:c r="R39" s="29" t="str"/>
      <x:c r="S39" s="29" t="str">
        <x:f>IF(COUNTIF(D39:N39,"NOT_RUN")=11,"NOT_RUN",IF(AND(COUNTIF(D39:N39,"PASS")=11,O39&lt;&gt;"",Q39&lt;&gt;"",R39&lt;&gt;""),"PASS","HOLD"))</x:f>
        <x:v>NOT_RUN</x:v>
      </x:c>
    </x:row>
    <x:row r="40">
      <x:c r="A40" s="29" t="str">
        <x:v>DIO-EVT-036</x:v>
      </x:c>
      <x:c r="B40" s="29" t="str">
        <x:v>LOT-2</x:v>
      </x:c>
      <x:c r="C40" s="29" t="str">
        <x:v>TRV-DIO-EVT-036</x:v>
      </x:c>
      <x:c r="D40" s="29" t="str">
        <x:v>NOT_RUN</x:v>
      </x:c>
      <x:c r="E40" s="29" t="str">
        <x:v>NOT_RUN</x:v>
      </x:c>
      <x:c r="F40" s="29" t="str">
        <x:v>NOT_RUN</x:v>
      </x:c>
      <x:c r="G40" s="29" t="str">
        <x:v>NOT_RUN</x:v>
      </x:c>
      <x:c r="H40" s="29" t="str">
        <x:v>NOT_RUN</x:v>
      </x:c>
      <x:c r="I40" s="29" t="str">
        <x:v>NOT_RUN</x:v>
      </x:c>
      <x:c r="J40" s="29" t="str">
        <x:v>NOT_RUN</x:v>
      </x:c>
      <x:c r="K40" s="29" t="str">
        <x:v>NOT_RUN</x:v>
      </x:c>
      <x:c r="L40" s="29" t="str">
        <x:v>NOT_RUN</x:v>
      </x:c>
      <x:c r="M40" s="29" t="str">
        <x:v>NOT_RUN</x:v>
      </x:c>
      <x:c r="N40" s="29" t="str">
        <x:v>NOT_RUN</x:v>
      </x:c>
      <x:c r="O40" s="29" t="str"/>
      <x:c r="P40" s="29" t="str"/>
      <x:c r="Q40" s="29" t="str"/>
      <x:c r="R40" s="29" t="str"/>
      <x:c r="S40" s="29" t="str">
        <x:f>IF(COUNTIF(D40:N40,"NOT_RUN")=11,"NOT_RUN",IF(AND(COUNTIF(D40:N40,"PASS")=11,O40&lt;&gt;"",Q40&lt;&gt;"",R40&lt;&gt;""),"PASS","HOLD"))</x:f>
        <x:v>NOT_RUN</x:v>
      </x:c>
    </x:row>
    <x:row r="41">
      <x:c r="A41" s="29" t="str">
        <x:v>DIO-EVT-037</x:v>
      </x:c>
      <x:c r="B41" s="29" t="str">
        <x:v>LOT-2</x:v>
      </x:c>
      <x:c r="C41" s="29" t="str">
        <x:v>TRV-DIO-EVT-037</x:v>
      </x:c>
      <x:c r="D41" s="29" t="str">
        <x:v>NOT_RUN</x:v>
      </x:c>
      <x:c r="E41" s="29" t="str">
        <x:v>NOT_RUN</x:v>
      </x:c>
      <x:c r="F41" s="29" t="str">
        <x:v>NOT_RUN</x:v>
      </x:c>
      <x:c r="G41" s="29" t="str">
        <x:v>NOT_RUN</x:v>
      </x:c>
      <x:c r="H41" s="29" t="str">
        <x:v>NOT_RUN</x:v>
      </x:c>
      <x:c r="I41" s="29" t="str">
        <x:v>NOT_RUN</x:v>
      </x:c>
      <x:c r="J41" s="29" t="str">
        <x:v>NOT_RUN</x:v>
      </x:c>
      <x:c r="K41" s="29" t="str">
        <x:v>NOT_RUN</x:v>
      </x:c>
      <x:c r="L41" s="29" t="str">
        <x:v>NOT_RUN</x:v>
      </x:c>
      <x:c r="M41" s="29" t="str">
        <x:v>NOT_RUN</x:v>
      </x:c>
      <x:c r="N41" s="29" t="str">
        <x:v>NOT_RUN</x:v>
      </x:c>
      <x:c r="O41" s="29" t="str"/>
      <x:c r="P41" s="29" t="str"/>
      <x:c r="Q41" s="29" t="str"/>
      <x:c r="R41" s="29" t="str"/>
      <x:c r="S41" s="29" t="str">
        <x:f>IF(COUNTIF(D41:N41,"NOT_RUN")=11,"NOT_RUN",IF(AND(COUNTIF(D41:N41,"PASS")=11,O41&lt;&gt;"",Q41&lt;&gt;"",R41&lt;&gt;""),"PASS","HOLD"))</x:f>
        <x:v>NOT_RUN</x:v>
      </x:c>
    </x:row>
    <x:row r="42">
      <x:c r="A42" s="29" t="str">
        <x:v>DIO-EVT-038</x:v>
      </x:c>
      <x:c r="B42" s="29" t="str">
        <x:v>LOT-2</x:v>
      </x:c>
      <x:c r="C42" s="29" t="str">
        <x:v>TRV-DIO-EVT-038</x:v>
      </x:c>
      <x:c r="D42" s="29" t="str">
        <x:v>NOT_RUN</x:v>
      </x:c>
      <x:c r="E42" s="29" t="str">
        <x:v>NOT_RUN</x:v>
      </x:c>
      <x:c r="F42" s="29" t="str">
        <x:v>NOT_RUN</x:v>
      </x:c>
      <x:c r="G42" s="29" t="str">
        <x:v>NOT_RUN</x:v>
      </x:c>
      <x:c r="H42" s="29" t="str">
        <x:v>NOT_RUN</x:v>
      </x:c>
      <x:c r="I42" s="29" t="str">
        <x:v>NOT_RUN</x:v>
      </x:c>
      <x:c r="J42" s="29" t="str">
        <x:v>NOT_RUN</x:v>
      </x:c>
      <x:c r="K42" s="29" t="str">
        <x:v>NOT_RUN</x:v>
      </x:c>
      <x:c r="L42" s="29" t="str">
        <x:v>NOT_RUN</x:v>
      </x:c>
      <x:c r="M42" s="29" t="str">
        <x:v>NOT_RUN</x:v>
      </x:c>
      <x:c r="N42" s="29" t="str">
        <x:v>NOT_RUN</x:v>
      </x:c>
      <x:c r="O42" s="29" t="str"/>
      <x:c r="P42" s="29" t="str"/>
      <x:c r="Q42" s="29" t="str"/>
      <x:c r="R42" s="29" t="str"/>
      <x:c r="S42" s="29" t="str">
        <x:f>IF(COUNTIF(D42:N42,"NOT_RUN")=11,"NOT_RUN",IF(AND(COUNTIF(D42:N42,"PASS")=11,O42&lt;&gt;"",Q42&lt;&gt;"",R42&lt;&gt;""),"PASS","HOLD"))</x:f>
        <x:v>NOT_RUN</x:v>
      </x:c>
    </x:row>
    <x:row r="43">
      <x:c r="A43" s="29" t="str">
        <x:v>DIO-EVT-039</x:v>
      </x:c>
      <x:c r="B43" s="29" t="str">
        <x:v>LOT-2</x:v>
      </x:c>
      <x:c r="C43" s="29" t="str">
        <x:v>TRV-DIO-EVT-039</x:v>
      </x:c>
      <x:c r="D43" s="29" t="str">
        <x:v>NOT_RUN</x:v>
      </x:c>
      <x:c r="E43" s="29" t="str">
        <x:v>NOT_RUN</x:v>
      </x:c>
      <x:c r="F43" s="29" t="str">
        <x:v>NOT_RUN</x:v>
      </x:c>
      <x:c r="G43" s="29" t="str">
        <x:v>NOT_RUN</x:v>
      </x:c>
      <x:c r="H43" s="29" t="str">
        <x:v>NOT_RUN</x:v>
      </x:c>
      <x:c r="I43" s="29" t="str">
        <x:v>NOT_RUN</x:v>
      </x:c>
      <x:c r="J43" s="29" t="str">
        <x:v>NOT_RUN</x:v>
      </x:c>
      <x:c r="K43" s="29" t="str">
        <x:v>NOT_RUN</x:v>
      </x:c>
      <x:c r="L43" s="29" t="str">
        <x:v>NOT_RUN</x:v>
      </x:c>
      <x:c r="M43" s="29" t="str">
        <x:v>NOT_RUN</x:v>
      </x:c>
      <x:c r="N43" s="29" t="str">
        <x:v>NOT_RUN</x:v>
      </x:c>
      <x:c r="O43" s="29" t="str"/>
      <x:c r="P43" s="29" t="str"/>
      <x:c r="Q43" s="29" t="str"/>
      <x:c r="R43" s="29" t="str"/>
      <x:c r="S43" s="29" t="str">
        <x:f>IF(COUNTIF(D43:N43,"NOT_RUN")=11,"NOT_RUN",IF(AND(COUNTIF(D43:N43,"PASS")=11,O43&lt;&gt;"",Q43&lt;&gt;"",R43&lt;&gt;""),"PASS","HOLD"))</x:f>
        <x:v>NOT_RUN</x:v>
      </x:c>
    </x:row>
    <x:row r="44">
      <x:c r="A44" s="29" t="str">
        <x:v>DIO-EVT-040</x:v>
      </x:c>
      <x:c r="B44" s="29" t="str">
        <x:v>LOT-2</x:v>
      </x:c>
      <x:c r="C44" s="29" t="str">
        <x:v>TRV-DIO-EVT-040</x:v>
      </x:c>
      <x:c r="D44" s="29" t="str">
        <x:v>NOT_RUN</x:v>
      </x:c>
      <x:c r="E44" s="29" t="str">
        <x:v>NOT_RUN</x:v>
      </x:c>
      <x:c r="F44" s="29" t="str">
        <x:v>NOT_RUN</x:v>
      </x:c>
      <x:c r="G44" s="29" t="str">
        <x:v>NOT_RUN</x:v>
      </x:c>
      <x:c r="H44" s="29" t="str">
        <x:v>NOT_RUN</x:v>
      </x:c>
      <x:c r="I44" s="29" t="str">
        <x:v>NOT_RUN</x:v>
      </x:c>
      <x:c r="J44" s="29" t="str">
        <x:v>NOT_RUN</x:v>
      </x:c>
      <x:c r="K44" s="29" t="str">
        <x:v>NOT_RUN</x:v>
      </x:c>
      <x:c r="L44" s="29" t="str">
        <x:v>NOT_RUN</x:v>
      </x:c>
      <x:c r="M44" s="29" t="str">
        <x:v>NOT_RUN</x:v>
      </x:c>
      <x:c r="N44" s="29" t="str">
        <x:v>NOT_RUN</x:v>
      </x:c>
      <x:c r="O44" s="29" t="str"/>
      <x:c r="P44" s="29" t="str"/>
      <x:c r="Q44" s="29" t="str"/>
      <x:c r="R44" s="29" t="str"/>
      <x:c r="S44" s="29" t="str">
        <x:f>IF(COUNTIF(D44:N44,"NOT_RUN")=11,"NOT_RUN",IF(AND(COUNTIF(D44:N44,"PASS")=11,O44&lt;&gt;"",Q44&lt;&gt;"",R44&lt;&gt;""),"PASS","HOLD"))</x:f>
        <x:v>NOT_RUN</x:v>
      </x:c>
    </x:row>
    <x:row r="45">
      <x:c r="A45" s="29" t="str">
        <x:v>DIO-EVT-B01</x:v>
      </x:c>
      <x:c r="B45" s="29" t="str">
        <x:v>BENCH</x:v>
      </x:c>
      <x:c r="C45" s="29" t="str">
        <x:v>TRV-DIO-EVT-B01</x:v>
      </x:c>
      <x:c r="D45" s="29" t="str">
        <x:v>NOT_RUN</x:v>
      </x:c>
      <x:c r="E45" s="29" t="str">
        <x:v>NOT_RUN</x:v>
      </x:c>
      <x:c r="F45" s="29" t="str">
        <x:v>NOT_RUN</x:v>
      </x:c>
      <x:c r="G45" s="29" t="str">
        <x:v>NOT_RUN</x:v>
      </x:c>
      <x:c r="H45" s="29" t="str">
        <x:v>NOT_RUN</x:v>
      </x:c>
      <x:c r="I45" s="29" t="str">
        <x:v>NOT_RUN</x:v>
      </x:c>
      <x:c r="J45" s="29" t="str">
        <x:v>NOT_RUN</x:v>
      </x:c>
      <x:c r="K45" s="29" t="str">
        <x:v>NOT_RUN</x:v>
      </x:c>
      <x:c r="L45" s="29" t="str">
        <x:v>NOT_RUN</x:v>
      </x:c>
      <x:c r="M45" s="29" t="str">
        <x:v>NOT_RUN</x:v>
      </x:c>
      <x:c r="N45" s="29" t="str">
        <x:v>NOT_RUN</x:v>
      </x:c>
      <x:c r="O45" s="29" t="str"/>
      <x:c r="P45" s="29" t="str"/>
      <x:c r="Q45" s="29" t="str"/>
      <x:c r="R45" s="29" t="str"/>
      <x:c r="S45" s="29" t="str">
        <x:f>IF(COUNTIF(D45:N45,"NOT_RUN")=11,"NOT_RUN",IF(AND(COUNTIF(D45:N45,"PASS")=11,O45&lt;&gt;"",Q45&lt;&gt;"",R45&lt;&gt;""),"PASS","HOLD"))</x:f>
        <x:v>NOT_RUN</x:v>
      </x:c>
    </x:row>
  </x:sheetData>
  <x:mergeCells>
    <x:mergeCell ref="A1:S1"/>
    <x:mergeCell ref="A2:S2"/>
  </x:mergeCells>
  <x:conditionalFormatting sqref="S5:S45">
    <x:cfRule type="containsText" dxfId="36" priority="1" operator="containsText" text="PASS"/>
    <x:cfRule type="containsText" dxfId="37" priority="2" operator="containsText" text="READY"/>
    <x:cfRule type="containsText" dxfId="38" priority="3" operator="containsText" text="HOLD"/>
    <x:cfRule type="containsText" dxfId="39" priority="4" operator="containsText" text="OPEN"/>
    <x:cfRule type="containsText" dxfId="40" priority="5" operator="containsText" text="FAIL"/>
    <x:cfRule type="containsText" dxfId="41" priority="6" operator="containsText" text="NOT_RUN"/>
  </x:conditionalFormatting>
  <x:dataValidations count="1">
    <x:dataValidation type="list" sqref="D5:N45">
      <x:formula1>"NOT_RUN,PASS,FAIL,HOLD,N/A"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bcad81bae441b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9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3" hidden="0" customWidth="1"/>
    <x:col min="10" max="10" width="16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6" hidden="0" customWidth="1"/>
    <x:col min="17" max="17" width="38" hidden="0" customWidth="1"/>
    <x:col min="18" max="18" width="38" hidden="0" customWidth="1"/>
    <x:col min="19" max="19" width="15" hidden="0" customWidth="1"/>
    <x:col min="20" max="20" width="18" hidden="0" customWidth="1"/>
    <x:col min="21" max="21" width="18" hidden="0" customWidth="1"/>
    <x:col min="22" max="22" width="14" hidden="0" customWidth="1"/>
  </x:cols>
  <x:sheetData>
    <x:row r="1" ht="28" customHeight="1">
      <x:c r="A1" s="2" t="str">
        <x:v>ПЕРВОЕ ВКЛЮЧЕНИЕ 41 СТАНЦИИ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4" customHeight="1">
      <x:c r="A2" s="5" t="str">
        <x:v>PAR-P01/P02/P03 must be APPROVED. Values are recorded, never inferred. Source power and thermal logs are mandatory. / Все фактические значения и исходные логи обязательны.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4" ht="32" customHeight="1">
      <x:c r="A4" s="25" t="str">
        <x:v>Serial</x:v>
      </x:c>
      <x:c r="B4" s="25" t="str">
        <x:v>Attempt</x:v>
      </x:c>
      <x:c r="C4" s="25" t="str">
        <x:v>Timestamp_UTC</x:v>
      </x:c>
      <x:c r="D4" s="25" t="str">
        <x:v>PAR_P01_Status</x:v>
      </x:c>
      <x:c r="E4" s="25" t="str">
        <x:v>PAR_P02_Status</x:v>
      </x:c>
      <x:c r="F4" s="25" t="str">
        <x:v>PAR_P03_Status</x:v>
      </x:c>
      <x:c r="G4" s="25" t="str">
        <x:v>Polarity_Result</x:v>
      </x:c>
      <x:c r="H4" s="25" t="str">
        <x:v>Rail_Resistance_Result</x:v>
      </x:c>
      <x:c r="I4" s="25" t="str">
        <x:v>Input_V</x:v>
      </x:c>
      <x:c r="J4" s="25" t="str">
        <x:v>Current_Limit_A</x:v>
      </x:c>
      <x:c r="K4" s="25" t="str">
        <x:v>Inrush_A</x:v>
      </x:c>
      <x:c r="L4" s="25" t="str">
        <x:v>Steady_A</x:v>
      </x:c>
      <x:c r="M4" s="25" t="str">
        <x:v>Rail_3V3_V</x:v>
      </x:c>
      <x:c r="N4" s="25" t="str">
        <x:v>Rail_3V8_V</x:v>
      </x:c>
      <x:c r="O4" s="25" t="str">
        <x:v>Rail_1V8_V</x:v>
      </x:c>
      <x:c r="P4" s="25" t="str">
        <x:v>Thermal_Result</x:v>
      </x:c>
      <x:c r="Q4" s="25" t="str">
        <x:v>Power_Log_SHA256</x:v>
      </x:c>
      <x:c r="R4" s="25" t="str">
        <x:v>Thermal_Image_SHA256</x:v>
      </x:c>
      <x:c r="S4" s="25" t="str">
        <x:v>NCR_ID</x:v>
      </x:c>
      <x:c r="T4" s="25" t="str">
        <x:v>Operator</x:v>
      </x:c>
      <x:c r="U4" s="25" t="str">
        <x:v>Reviewer</x:v>
      </x:c>
      <x:c r="V4" s="25" t="str">
        <x:v>Overall</x:v>
      </x:c>
    </x:row>
    <x:row r="5">
      <x:c r="A5" s="29" t="str">
        <x:v>DIO-EVT-001</x:v>
      </x:c>
      <x:c r="B5" s="29" t="str">
        <x:v>1</x:v>
      </x:c>
      <x:c r="C5" s="29" t="str"/>
      <x:c r="D5" s="29" t="str">
        <x:f>'Параметры'!F23</x:f>
        <x:v>OPEN_B01_MEASUREMENT</x:v>
      </x:c>
      <x:c r="E5" s="29" t="str">
        <x:f>'Параметры'!F24</x:f>
        <x:v>OPEN_B01_MEASUREMENT</x:v>
      </x:c>
      <x:c r="F5" s="29" t="str">
        <x:f>'Параметры'!F25</x:f>
        <x:v>OPEN_B01_MEASUREMENT</x:v>
      </x:c>
      <x:c r="G5" s="29" t="str">
        <x:v>NOT_RUN</x:v>
      </x:c>
      <x:c r="H5" s="29" t="str">
        <x:v>NOT_RUN</x:v>
      </x:c>
      <x:c r="I5" s="29" t="str"/>
      <x:c r="J5" s="29" t="str"/>
      <x:c r="K5" s="29" t="str"/>
      <x:c r="L5" s="29" t="str"/>
      <x:c r="M5" s="29" t="str"/>
      <x:c r="N5" s="29" t="str"/>
      <x:c r="O5" s="29" t="str"/>
      <x:c r="P5" s="29" t="str">
        <x:v>NOT_RUN</x:v>
      </x:c>
      <x:c r="Q5" s="29" t="str"/>
      <x:c r="R5" s="29" t="str"/>
      <x:c r="S5" s="29" t="str"/>
      <x:c r="T5" s="29" t="str"/>
      <x:c r="U5" s="29" t="str"/>
      <x:c r="V5" s="29" t="str">
        <x:f>IF(COUNTIF(G5:P5,"NOT_RUN")=3,"NOT_RUN",IF(AND(D5="APPROVED",E5="APPROVED",F5="APPROVED",G5="PASS",H5="PASS",I5&lt;&gt;"",J5&lt;&gt;"",K5&lt;&gt;"",L5&lt;&gt;"",M5&lt;&gt;"",N5&lt;&gt;"",O5&lt;&gt;"",P5="PASS",Q5&lt;&gt;"",R5&lt;&gt;"",T5&lt;&gt;"",U5&lt;&gt;""),"PASS","HOLD"))</x:f>
        <x:v>NOT_RUN</x:v>
      </x:c>
    </x:row>
    <x:row r="6">
      <x:c r="A6" s="29" t="str">
        <x:v>DIO-EVT-002</x:v>
      </x:c>
      <x:c r="B6" s="29" t="str">
        <x:v>1</x:v>
      </x:c>
      <x:c r="C6" s="29" t="str"/>
      <x:c r="D6" s="29" t="str">
        <x:f>'Параметры'!F23</x:f>
        <x:v>OPEN_B01_MEASUREMENT</x:v>
      </x:c>
      <x:c r="E6" s="29" t="str">
        <x:f>'Параметры'!F24</x:f>
        <x:v>OPEN_B01_MEASUREMENT</x:v>
      </x:c>
      <x:c r="F6" s="29" t="str">
        <x:f>'Параметры'!F25</x:f>
        <x:v>OPEN_B01_MEASUREMENT</x:v>
      </x:c>
      <x:c r="G6" s="29" t="str">
        <x:v>NOT_RUN</x:v>
      </x:c>
      <x:c r="H6" s="29" t="str">
        <x:v>NOT_RUN</x:v>
      </x:c>
      <x:c r="I6" s="29" t="str"/>
      <x:c r="J6" s="29" t="str"/>
      <x:c r="K6" s="29" t="str"/>
      <x:c r="L6" s="29" t="str"/>
      <x:c r="M6" s="29" t="str"/>
      <x:c r="N6" s="29" t="str"/>
      <x:c r="O6" s="29" t="str"/>
      <x:c r="P6" s="29" t="str">
        <x:v>NOT_RUN</x:v>
      </x:c>
      <x:c r="Q6" s="29" t="str"/>
      <x:c r="R6" s="29" t="str"/>
      <x:c r="S6" s="29" t="str"/>
      <x:c r="T6" s="29" t="str"/>
      <x:c r="U6" s="29" t="str"/>
      <x:c r="V6" s="29" t="str">
        <x:f>IF(COUNTIF(G6:P6,"NOT_RUN")=3,"NOT_RUN",IF(AND(D6="APPROVED",E6="APPROVED",F6="APPROVED",G6="PASS",H6="PASS",I6&lt;&gt;"",J6&lt;&gt;"",K6&lt;&gt;"",L6&lt;&gt;"",M6&lt;&gt;"",N6&lt;&gt;"",O6&lt;&gt;"",P6="PASS",Q6&lt;&gt;"",R6&lt;&gt;"",T6&lt;&gt;"",U6&lt;&gt;""),"PASS","HOLD"))</x:f>
        <x:v>NOT_RUN</x:v>
      </x:c>
    </x:row>
    <x:row r="7">
      <x:c r="A7" s="29" t="str">
        <x:v>DIO-EVT-003</x:v>
      </x:c>
      <x:c r="B7" s="29" t="str">
        <x:v>1</x:v>
      </x:c>
      <x:c r="C7" s="29" t="str"/>
      <x:c r="D7" s="29" t="str">
        <x:f>'Параметры'!F23</x:f>
        <x:v>OPEN_B01_MEASUREMENT</x:v>
      </x:c>
      <x:c r="E7" s="29" t="str">
        <x:f>'Параметры'!F24</x:f>
        <x:v>OPEN_B01_MEASUREMENT</x:v>
      </x:c>
      <x:c r="F7" s="29" t="str">
        <x:f>'Параметры'!F25</x:f>
        <x:v>OPEN_B01_MEASUREMENT</x:v>
      </x:c>
      <x:c r="G7" s="29" t="str">
        <x:v>NOT_RUN</x:v>
      </x:c>
      <x:c r="H7" s="29" t="str">
        <x:v>NOT_RUN</x:v>
      </x:c>
      <x:c r="I7" s="29" t="str"/>
      <x:c r="J7" s="29" t="str"/>
      <x:c r="K7" s="29" t="str"/>
      <x:c r="L7" s="29" t="str"/>
      <x:c r="M7" s="29" t="str"/>
      <x:c r="N7" s="29" t="str"/>
      <x:c r="O7" s="29" t="str"/>
      <x:c r="P7" s="29" t="str">
        <x:v>NOT_RUN</x:v>
      </x:c>
      <x:c r="Q7" s="29" t="str"/>
      <x:c r="R7" s="29" t="str"/>
      <x:c r="S7" s="29" t="str"/>
      <x:c r="T7" s="29" t="str"/>
      <x:c r="U7" s="29" t="str"/>
      <x:c r="V7" s="29" t="str">
        <x:f>IF(COUNTIF(G7:P7,"NOT_RUN")=3,"NOT_RUN",IF(AND(D7="APPROVED",E7="APPROVED",F7="APPROVED",G7="PASS",H7="PASS",I7&lt;&gt;"",J7&lt;&gt;"",K7&lt;&gt;"",L7&lt;&gt;"",M7&lt;&gt;"",N7&lt;&gt;"",O7&lt;&gt;"",P7="PASS",Q7&lt;&gt;"",R7&lt;&gt;"",T7&lt;&gt;"",U7&lt;&gt;""),"PASS","HOLD"))</x:f>
        <x:v>NOT_RUN</x:v>
      </x:c>
    </x:row>
    <x:row r="8">
      <x:c r="A8" s="29" t="str">
        <x:v>DIO-EVT-004</x:v>
      </x:c>
      <x:c r="B8" s="29" t="str">
        <x:v>1</x:v>
      </x:c>
      <x:c r="C8" s="29" t="str"/>
      <x:c r="D8" s="29" t="str">
        <x:f>'Параметры'!F23</x:f>
        <x:v>OPEN_B01_MEASUREMENT</x:v>
      </x:c>
      <x:c r="E8" s="29" t="str">
        <x:f>'Параметры'!F24</x:f>
        <x:v>OPEN_B01_MEASUREMENT</x:v>
      </x:c>
      <x:c r="F8" s="29" t="str">
        <x:f>'Параметры'!F25</x:f>
        <x:v>OPEN_B01_MEASUREMENT</x:v>
      </x:c>
      <x:c r="G8" s="29" t="str">
        <x:v>NOT_RUN</x:v>
      </x:c>
      <x:c r="H8" s="29" t="str">
        <x:v>NOT_RUN</x:v>
      </x:c>
      <x:c r="I8" s="29" t="str"/>
      <x:c r="J8" s="29" t="str"/>
      <x:c r="K8" s="29" t="str"/>
      <x:c r="L8" s="29" t="str"/>
      <x:c r="M8" s="29" t="str"/>
      <x:c r="N8" s="29" t="str"/>
      <x:c r="O8" s="29" t="str"/>
      <x:c r="P8" s="29" t="str">
        <x:v>NOT_RUN</x:v>
      </x:c>
      <x:c r="Q8" s="29" t="str"/>
      <x:c r="R8" s="29" t="str"/>
      <x:c r="S8" s="29" t="str"/>
      <x:c r="T8" s="29" t="str"/>
      <x:c r="U8" s="29" t="str"/>
      <x:c r="V8" s="29" t="str">
        <x:f>IF(COUNTIF(G8:P8,"NOT_RUN")=3,"NOT_RUN",IF(AND(D8="APPROVED",E8="APPROVED",F8="APPROVED",G8="PASS",H8="PASS",I8&lt;&gt;"",J8&lt;&gt;"",K8&lt;&gt;"",L8&lt;&gt;"",M8&lt;&gt;"",N8&lt;&gt;"",O8&lt;&gt;"",P8="PASS",Q8&lt;&gt;"",R8&lt;&gt;"",T8&lt;&gt;"",U8&lt;&gt;""),"PASS","HOLD"))</x:f>
        <x:v>NOT_RUN</x:v>
      </x:c>
    </x:row>
    <x:row r="9">
      <x:c r="A9" s="29" t="str">
        <x:v>DIO-EVT-005</x:v>
      </x:c>
      <x:c r="B9" s="29" t="str">
        <x:v>1</x:v>
      </x:c>
      <x:c r="C9" s="29" t="str"/>
      <x:c r="D9" s="29" t="str">
        <x:f>'Параметры'!F23</x:f>
        <x:v>OPEN_B01_MEASUREMENT</x:v>
      </x:c>
      <x:c r="E9" s="29" t="str">
        <x:f>'Параметры'!F24</x:f>
        <x:v>OPEN_B01_MEASUREMENT</x:v>
      </x:c>
      <x:c r="F9" s="29" t="str">
        <x:f>'Параметры'!F25</x:f>
        <x:v>OPEN_B01_MEASUREMENT</x:v>
      </x:c>
      <x:c r="G9" s="29" t="str">
        <x:v>NOT_RUN</x:v>
      </x:c>
      <x:c r="H9" s="29" t="str">
        <x:v>NOT_RUN</x:v>
      </x:c>
      <x:c r="I9" s="29" t="str"/>
      <x:c r="J9" s="29" t="str"/>
      <x:c r="K9" s="29" t="str"/>
      <x:c r="L9" s="29" t="str"/>
      <x:c r="M9" s="29" t="str"/>
      <x:c r="N9" s="29" t="str"/>
      <x:c r="O9" s="29" t="str"/>
      <x:c r="P9" s="29" t="str">
        <x:v>NOT_RUN</x:v>
      </x:c>
      <x:c r="Q9" s="29" t="str"/>
      <x:c r="R9" s="29" t="str"/>
      <x:c r="S9" s="29" t="str"/>
      <x:c r="T9" s="29" t="str"/>
      <x:c r="U9" s="29" t="str"/>
      <x:c r="V9" s="29" t="str">
        <x:f>IF(COUNTIF(G9:P9,"NOT_RUN")=3,"NOT_RUN",IF(AND(D9="APPROVED",E9="APPROVED",F9="APPROVED",G9="PASS",H9="PASS",I9&lt;&gt;"",J9&lt;&gt;"",K9&lt;&gt;"",L9&lt;&gt;"",M9&lt;&gt;"",N9&lt;&gt;"",O9&lt;&gt;"",P9="PASS",Q9&lt;&gt;"",R9&lt;&gt;"",T9&lt;&gt;"",U9&lt;&gt;""),"PASS","HOLD"))</x:f>
        <x:v>NOT_RUN</x:v>
      </x:c>
    </x:row>
    <x:row r="10">
      <x:c r="A10" s="29" t="str">
        <x:v>DIO-EVT-006</x:v>
      </x:c>
      <x:c r="B10" s="29" t="str">
        <x:v>1</x:v>
      </x:c>
      <x:c r="C10" s="29" t="str"/>
      <x:c r="D10" s="29" t="str">
        <x:f>'Параметры'!F23</x:f>
        <x:v>OPEN_B01_MEASUREMENT</x:v>
      </x:c>
      <x:c r="E10" s="29" t="str">
        <x:f>'Параметры'!F24</x:f>
        <x:v>OPEN_B01_MEASUREMENT</x:v>
      </x:c>
      <x:c r="F10" s="29" t="str">
        <x:f>'Параметры'!F25</x:f>
        <x:v>OPEN_B01_MEASUREMENT</x:v>
      </x:c>
      <x:c r="G10" s="29" t="str">
        <x:v>NOT_RUN</x:v>
      </x:c>
      <x:c r="H10" s="29" t="str">
        <x:v>NOT_RUN</x:v>
      </x:c>
      <x:c r="I10" s="29" t="str"/>
      <x:c r="J10" s="29" t="str"/>
      <x:c r="K10" s="29" t="str"/>
      <x:c r="L10" s="29" t="str"/>
      <x:c r="M10" s="29" t="str"/>
      <x:c r="N10" s="29" t="str"/>
      <x:c r="O10" s="29" t="str"/>
      <x:c r="P10" s="29" t="str">
        <x:v>NOT_RUN</x:v>
      </x:c>
      <x:c r="Q10" s="29" t="str"/>
      <x:c r="R10" s="29" t="str"/>
      <x:c r="S10" s="29" t="str"/>
      <x:c r="T10" s="29" t="str"/>
      <x:c r="U10" s="29" t="str"/>
      <x:c r="V10" s="29" t="str">
        <x:f>IF(COUNTIF(G10:P10,"NOT_RUN")=3,"NOT_RUN",IF(AND(D10="APPROVED",E10="APPROVED",F10="APPROVED",G10="PASS",H10="PASS",I10&lt;&gt;"",J10&lt;&gt;"",K10&lt;&gt;"",L10&lt;&gt;"",M10&lt;&gt;"",N10&lt;&gt;"",O10&lt;&gt;"",P10="PASS",Q10&lt;&gt;"",R10&lt;&gt;"",T10&lt;&gt;"",U10&lt;&gt;""),"PASS","HOLD"))</x:f>
        <x:v>NOT_RUN</x:v>
      </x:c>
    </x:row>
    <x:row r="11">
      <x:c r="A11" s="29" t="str">
        <x:v>DIO-EVT-007</x:v>
      </x:c>
      <x:c r="B11" s="29" t="str">
        <x:v>1</x:v>
      </x:c>
      <x:c r="C11" s="29" t="str"/>
      <x:c r="D11" s="29" t="str">
        <x:f>'Параметры'!F23</x:f>
        <x:v>OPEN_B01_MEASUREMENT</x:v>
      </x:c>
      <x:c r="E11" s="29" t="str">
        <x:f>'Параметры'!F24</x:f>
        <x:v>OPEN_B01_MEASUREMENT</x:v>
      </x:c>
      <x:c r="F11" s="29" t="str">
        <x:f>'Параметры'!F25</x:f>
        <x:v>OPEN_B01_MEASUREMENT</x:v>
      </x:c>
      <x:c r="G11" s="29" t="str">
        <x:v>NOT_RUN</x:v>
      </x:c>
      <x:c r="H11" s="29" t="str">
        <x:v>NOT_RUN</x:v>
      </x:c>
      <x:c r="I11" s="29" t="str"/>
      <x:c r="J11" s="29" t="str"/>
      <x:c r="K11" s="29" t="str"/>
      <x:c r="L11" s="29" t="str"/>
      <x:c r="M11" s="29" t="str"/>
      <x:c r="N11" s="29" t="str"/>
      <x:c r="O11" s="29" t="str"/>
      <x:c r="P11" s="29" t="str">
        <x:v>NOT_RUN</x:v>
      </x:c>
      <x:c r="Q11" s="29" t="str"/>
      <x:c r="R11" s="29" t="str"/>
      <x:c r="S11" s="29" t="str"/>
      <x:c r="T11" s="29" t="str"/>
      <x:c r="U11" s="29" t="str"/>
      <x:c r="V11" s="29" t="str">
        <x:f>IF(COUNTIF(G11:P11,"NOT_RUN")=3,"NOT_RUN",IF(AND(D11="APPROVED",E11="APPROVED",F11="APPROVED",G11="PASS",H11="PASS",I11&lt;&gt;"",J11&lt;&gt;"",K11&lt;&gt;"",L11&lt;&gt;"",M11&lt;&gt;"",N11&lt;&gt;"",O11&lt;&gt;"",P11="PASS",Q11&lt;&gt;"",R11&lt;&gt;"",T11&lt;&gt;"",U11&lt;&gt;""),"PASS","HOLD"))</x:f>
        <x:v>NOT_RUN</x:v>
      </x:c>
    </x:row>
    <x:row r="12">
      <x:c r="A12" s="29" t="str">
        <x:v>DIO-EVT-008</x:v>
      </x:c>
      <x:c r="B12" s="29" t="str">
        <x:v>1</x:v>
      </x:c>
      <x:c r="C12" s="29" t="str"/>
      <x:c r="D12" s="29" t="str">
        <x:f>'Параметры'!F23</x:f>
        <x:v>OPEN_B01_MEASUREMENT</x:v>
      </x:c>
      <x:c r="E12" s="29" t="str">
        <x:f>'Параметры'!F24</x:f>
        <x:v>OPEN_B01_MEASUREMENT</x:v>
      </x:c>
      <x:c r="F12" s="29" t="str">
        <x:f>'Параметры'!F25</x:f>
        <x:v>OPEN_B01_MEASUREMENT</x:v>
      </x:c>
      <x:c r="G12" s="29" t="str">
        <x:v>NOT_RUN</x:v>
      </x:c>
      <x:c r="H12" s="29" t="str">
        <x:v>NOT_RUN</x:v>
      </x:c>
      <x:c r="I12" s="29" t="str"/>
      <x:c r="J12" s="29" t="str"/>
      <x:c r="K12" s="29" t="str"/>
      <x:c r="L12" s="29" t="str"/>
      <x:c r="M12" s="29" t="str"/>
      <x:c r="N12" s="29" t="str"/>
      <x:c r="O12" s="29" t="str"/>
      <x:c r="P12" s="29" t="str">
        <x:v>NOT_RUN</x:v>
      </x:c>
      <x:c r="Q12" s="29" t="str"/>
      <x:c r="R12" s="29" t="str"/>
      <x:c r="S12" s="29" t="str"/>
      <x:c r="T12" s="29" t="str"/>
      <x:c r="U12" s="29" t="str"/>
      <x:c r="V12" s="29" t="str">
        <x:f>IF(COUNTIF(G12:P12,"NOT_RUN")=3,"NOT_RUN",IF(AND(D12="APPROVED",E12="APPROVED",F12="APPROVED",G12="PASS",H12="PASS",I12&lt;&gt;"",J12&lt;&gt;"",K12&lt;&gt;"",L12&lt;&gt;"",M12&lt;&gt;"",N12&lt;&gt;"",O12&lt;&gt;"",P12="PASS",Q12&lt;&gt;"",R12&lt;&gt;"",T12&lt;&gt;"",U12&lt;&gt;""),"PASS","HOLD"))</x:f>
        <x:v>NOT_RUN</x:v>
      </x:c>
    </x:row>
    <x:row r="13">
      <x:c r="A13" s="29" t="str">
        <x:v>DIO-EVT-009</x:v>
      </x:c>
      <x:c r="B13" s="29" t="str">
        <x:v>1</x:v>
      </x:c>
      <x:c r="C13" s="29" t="str"/>
      <x:c r="D13" s="29" t="str">
        <x:f>'Параметры'!F23</x:f>
        <x:v>OPEN_B01_MEASUREMENT</x:v>
      </x:c>
      <x:c r="E13" s="29" t="str">
        <x:f>'Параметры'!F24</x:f>
        <x:v>OPEN_B01_MEASUREMENT</x:v>
      </x:c>
      <x:c r="F13" s="29" t="str">
        <x:f>'Параметры'!F25</x:f>
        <x:v>OPEN_B01_MEASUREMENT</x:v>
      </x:c>
      <x:c r="G13" s="29" t="str">
        <x:v>NOT_RUN</x:v>
      </x:c>
      <x:c r="H13" s="29" t="str">
        <x:v>NOT_RUN</x:v>
      </x:c>
      <x:c r="I13" s="29" t="str"/>
      <x:c r="J13" s="29" t="str"/>
      <x:c r="K13" s="29" t="str"/>
      <x:c r="L13" s="29" t="str"/>
      <x:c r="M13" s="29" t="str"/>
      <x:c r="N13" s="29" t="str"/>
      <x:c r="O13" s="29" t="str"/>
      <x:c r="P13" s="29" t="str">
        <x:v>NOT_RUN</x:v>
      </x:c>
      <x:c r="Q13" s="29" t="str"/>
      <x:c r="R13" s="29" t="str"/>
      <x:c r="S13" s="29" t="str"/>
      <x:c r="T13" s="29" t="str"/>
      <x:c r="U13" s="29" t="str"/>
      <x:c r="V13" s="29" t="str">
        <x:f>IF(COUNTIF(G13:P13,"NOT_RUN")=3,"NOT_RUN",IF(AND(D13="APPROVED",E13="APPROVED",F13="APPROVED",G13="PASS",H13="PASS",I13&lt;&gt;"",J13&lt;&gt;"",K13&lt;&gt;"",L13&lt;&gt;"",M13&lt;&gt;"",N13&lt;&gt;"",O13&lt;&gt;"",P13="PASS",Q13&lt;&gt;"",R13&lt;&gt;"",T13&lt;&gt;"",U13&lt;&gt;""),"PASS","HOLD"))</x:f>
        <x:v>NOT_RUN</x:v>
      </x:c>
    </x:row>
    <x:row r="14">
      <x:c r="A14" s="29" t="str">
        <x:v>DIO-EVT-010</x:v>
      </x:c>
      <x:c r="B14" s="29" t="str">
        <x:v>1</x:v>
      </x:c>
      <x:c r="C14" s="29" t="str"/>
      <x:c r="D14" s="29" t="str">
        <x:f>'Параметры'!F23</x:f>
        <x:v>OPEN_B01_MEASUREMENT</x:v>
      </x:c>
      <x:c r="E14" s="29" t="str">
        <x:f>'Параметры'!F24</x:f>
        <x:v>OPEN_B01_MEASUREMENT</x:v>
      </x:c>
      <x:c r="F14" s="29" t="str">
        <x:f>'Параметры'!F25</x:f>
        <x:v>OPEN_B01_MEASUREMENT</x:v>
      </x:c>
      <x:c r="G14" s="29" t="str">
        <x:v>NOT_RUN</x:v>
      </x:c>
      <x:c r="H14" s="29" t="str">
        <x:v>NOT_RUN</x:v>
      </x:c>
      <x:c r="I14" s="29" t="str"/>
      <x:c r="J14" s="29" t="str"/>
      <x:c r="K14" s="29" t="str"/>
      <x:c r="L14" s="29" t="str"/>
      <x:c r="M14" s="29" t="str"/>
      <x:c r="N14" s="29" t="str"/>
      <x:c r="O14" s="29" t="str"/>
      <x:c r="P14" s="29" t="str">
        <x:v>NOT_RUN</x:v>
      </x:c>
      <x:c r="Q14" s="29" t="str"/>
      <x:c r="R14" s="29" t="str"/>
      <x:c r="S14" s="29" t="str"/>
      <x:c r="T14" s="29" t="str"/>
      <x:c r="U14" s="29" t="str"/>
      <x:c r="V14" s="29" t="str">
        <x:f>IF(COUNTIF(G14:P14,"NOT_RUN")=3,"NOT_RUN",IF(AND(D14="APPROVED",E14="APPROVED",F14="APPROVED",G14="PASS",H14="PASS",I14&lt;&gt;"",J14&lt;&gt;"",K14&lt;&gt;"",L14&lt;&gt;"",M14&lt;&gt;"",N14&lt;&gt;"",O14&lt;&gt;"",P14="PASS",Q14&lt;&gt;"",R14&lt;&gt;"",T14&lt;&gt;"",U14&lt;&gt;""),"PASS","HOLD"))</x:f>
        <x:v>NOT_RUN</x:v>
      </x:c>
    </x:row>
    <x:row r="15">
      <x:c r="A15" s="29" t="str">
        <x:v>DIO-EVT-011</x:v>
      </x:c>
      <x:c r="B15" s="29" t="str">
        <x:v>1</x:v>
      </x:c>
      <x:c r="C15" s="29" t="str"/>
      <x:c r="D15" s="29" t="str">
        <x:f>'Параметры'!F23</x:f>
        <x:v>OPEN_B01_MEASUREMENT</x:v>
      </x:c>
      <x:c r="E15" s="29" t="str">
        <x:f>'Параметры'!F24</x:f>
        <x:v>OPEN_B01_MEASUREMENT</x:v>
      </x:c>
      <x:c r="F15" s="29" t="str">
        <x:f>'Параметры'!F25</x:f>
        <x:v>OPEN_B01_MEASUREMENT</x:v>
      </x:c>
      <x:c r="G15" s="29" t="str">
        <x:v>NOT_RUN</x:v>
      </x:c>
      <x:c r="H15" s="29" t="str">
        <x:v>NOT_RUN</x:v>
      </x:c>
      <x:c r="I15" s="29" t="str"/>
      <x:c r="J15" s="29" t="str"/>
      <x:c r="K15" s="29" t="str"/>
      <x:c r="L15" s="29" t="str"/>
      <x:c r="M15" s="29" t="str"/>
      <x:c r="N15" s="29" t="str"/>
      <x:c r="O15" s="29" t="str"/>
      <x:c r="P15" s="29" t="str">
        <x:v>NOT_RUN</x:v>
      </x:c>
      <x:c r="Q15" s="29" t="str"/>
      <x:c r="R15" s="29" t="str"/>
      <x:c r="S15" s="29" t="str"/>
      <x:c r="T15" s="29" t="str"/>
      <x:c r="U15" s="29" t="str"/>
      <x:c r="V15" s="29" t="str">
        <x:f>IF(COUNTIF(G15:P15,"NOT_RUN")=3,"NOT_RUN",IF(AND(D15="APPROVED",E15="APPROVED",F15="APPROVED",G15="PASS",H15="PASS",I15&lt;&gt;"",J15&lt;&gt;"",K15&lt;&gt;"",L15&lt;&gt;"",M15&lt;&gt;"",N15&lt;&gt;"",O15&lt;&gt;"",P15="PASS",Q15&lt;&gt;"",R15&lt;&gt;"",T15&lt;&gt;"",U15&lt;&gt;""),"PASS","HOLD"))</x:f>
        <x:v>NOT_RUN</x:v>
      </x:c>
    </x:row>
    <x:row r="16">
      <x:c r="A16" s="29" t="str">
        <x:v>DIO-EVT-012</x:v>
      </x:c>
      <x:c r="B16" s="29" t="str">
        <x:v>1</x:v>
      </x:c>
      <x:c r="C16" s="29" t="str"/>
      <x:c r="D16" s="29" t="str">
        <x:f>'Параметры'!F23</x:f>
        <x:v>OPEN_B01_MEASUREMENT</x:v>
      </x:c>
      <x:c r="E16" s="29" t="str">
        <x:f>'Параметры'!F24</x:f>
        <x:v>OPEN_B01_MEASUREMENT</x:v>
      </x:c>
      <x:c r="F16" s="29" t="str">
        <x:f>'Параметры'!F25</x:f>
        <x:v>OPEN_B01_MEASUREMENT</x:v>
      </x:c>
      <x:c r="G16" s="29" t="str">
        <x:v>NOT_RUN</x:v>
      </x:c>
      <x:c r="H16" s="29" t="str">
        <x:v>NOT_RUN</x:v>
      </x:c>
      <x:c r="I16" s="29" t="str"/>
      <x:c r="J16" s="29" t="str"/>
      <x:c r="K16" s="29" t="str"/>
      <x:c r="L16" s="29" t="str"/>
      <x:c r="M16" s="29" t="str"/>
      <x:c r="N16" s="29" t="str"/>
      <x:c r="O16" s="29" t="str"/>
      <x:c r="P16" s="29" t="str">
        <x:v>NOT_RUN</x:v>
      </x:c>
      <x:c r="Q16" s="29" t="str"/>
      <x:c r="R16" s="29" t="str"/>
      <x:c r="S16" s="29" t="str"/>
      <x:c r="T16" s="29" t="str"/>
      <x:c r="U16" s="29" t="str"/>
      <x:c r="V16" s="29" t="str">
        <x:f>IF(COUNTIF(G16:P16,"NOT_RUN")=3,"NOT_RUN",IF(AND(D16="APPROVED",E16="APPROVED",F16="APPROVED",G16="PASS",H16="PASS",I16&lt;&gt;"",J16&lt;&gt;"",K16&lt;&gt;"",L16&lt;&gt;"",M16&lt;&gt;"",N16&lt;&gt;"",O16&lt;&gt;"",P16="PASS",Q16&lt;&gt;"",R16&lt;&gt;"",T16&lt;&gt;"",U16&lt;&gt;""),"PASS","HOLD"))</x:f>
        <x:v>NOT_RUN</x:v>
      </x:c>
    </x:row>
    <x:row r="17">
      <x:c r="A17" s="29" t="str">
        <x:v>DIO-EVT-013</x:v>
      </x:c>
      <x:c r="B17" s="29" t="str">
        <x:v>1</x:v>
      </x:c>
      <x:c r="C17" s="29" t="str"/>
      <x:c r="D17" s="29" t="str">
        <x:f>'Параметры'!F23</x:f>
        <x:v>OPEN_B01_MEASUREMENT</x:v>
      </x:c>
      <x:c r="E17" s="29" t="str">
        <x:f>'Параметры'!F24</x:f>
        <x:v>OPEN_B01_MEASUREMENT</x:v>
      </x:c>
      <x:c r="F17" s="29" t="str">
        <x:f>'Параметры'!F25</x:f>
        <x:v>OPEN_B01_MEASUREMENT</x:v>
      </x:c>
      <x:c r="G17" s="29" t="str">
        <x:v>NOT_RUN</x:v>
      </x:c>
      <x:c r="H17" s="29" t="str">
        <x:v>NOT_RUN</x:v>
      </x:c>
      <x:c r="I17" s="29" t="str"/>
      <x:c r="J17" s="29" t="str"/>
      <x:c r="K17" s="29" t="str"/>
      <x:c r="L17" s="29" t="str"/>
      <x:c r="M17" s="29" t="str"/>
      <x:c r="N17" s="29" t="str"/>
      <x:c r="O17" s="29" t="str"/>
      <x:c r="P17" s="29" t="str">
        <x:v>NOT_RUN</x:v>
      </x:c>
      <x:c r="Q17" s="29" t="str"/>
      <x:c r="R17" s="29" t="str"/>
      <x:c r="S17" s="29" t="str"/>
      <x:c r="T17" s="29" t="str"/>
      <x:c r="U17" s="29" t="str"/>
      <x:c r="V17" s="29" t="str">
        <x:f>IF(COUNTIF(G17:P17,"NOT_RUN")=3,"NOT_RUN",IF(AND(D17="APPROVED",E17="APPROVED",F17="APPROVED",G17="PASS",H17="PASS",I17&lt;&gt;"",J17&lt;&gt;"",K17&lt;&gt;"",L17&lt;&gt;"",M17&lt;&gt;"",N17&lt;&gt;"",O17&lt;&gt;"",P17="PASS",Q17&lt;&gt;"",R17&lt;&gt;"",T17&lt;&gt;"",U17&lt;&gt;""),"PASS","HOLD"))</x:f>
        <x:v>NOT_RUN</x:v>
      </x:c>
    </x:row>
    <x:row r="18">
      <x:c r="A18" s="29" t="str">
        <x:v>DIO-EVT-014</x:v>
      </x:c>
      <x:c r="B18" s="29" t="str">
        <x:v>1</x:v>
      </x:c>
      <x:c r="C18" s="29" t="str"/>
      <x:c r="D18" s="29" t="str">
        <x:f>'Параметры'!F23</x:f>
        <x:v>OPEN_B01_MEASUREMENT</x:v>
      </x:c>
      <x:c r="E18" s="29" t="str">
        <x:f>'Параметры'!F24</x:f>
        <x:v>OPEN_B01_MEASUREMENT</x:v>
      </x:c>
      <x:c r="F18" s="29" t="str">
        <x:f>'Параметры'!F25</x:f>
        <x:v>OPEN_B01_MEASUREMENT</x:v>
      </x:c>
      <x:c r="G18" s="29" t="str">
        <x:v>NOT_RUN</x:v>
      </x:c>
      <x:c r="H18" s="29" t="str">
        <x:v>NOT_RUN</x:v>
      </x:c>
      <x:c r="I18" s="29" t="str"/>
      <x:c r="J18" s="29" t="str"/>
      <x:c r="K18" s="29" t="str"/>
      <x:c r="L18" s="29" t="str"/>
      <x:c r="M18" s="29" t="str"/>
      <x:c r="N18" s="29" t="str"/>
      <x:c r="O18" s="29" t="str"/>
      <x:c r="P18" s="29" t="str">
        <x:v>NOT_RUN</x:v>
      </x:c>
      <x:c r="Q18" s="29" t="str"/>
      <x:c r="R18" s="29" t="str"/>
      <x:c r="S18" s="29" t="str"/>
      <x:c r="T18" s="29" t="str"/>
      <x:c r="U18" s="29" t="str"/>
      <x:c r="V18" s="29" t="str">
        <x:f>IF(COUNTIF(G18:P18,"NOT_RUN")=3,"NOT_RUN",IF(AND(D18="APPROVED",E18="APPROVED",F18="APPROVED",G18="PASS",H18="PASS",I18&lt;&gt;"",J18&lt;&gt;"",K18&lt;&gt;"",L18&lt;&gt;"",M18&lt;&gt;"",N18&lt;&gt;"",O18&lt;&gt;"",P18="PASS",Q18&lt;&gt;"",R18&lt;&gt;"",T18&lt;&gt;"",U18&lt;&gt;""),"PASS","HOLD"))</x:f>
        <x:v>NOT_RUN</x:v>
      </x:c>
    </x:row>
    <x:row r="19">
      <x:c r="A19" s="29" t="str">
        <x:v>DIO-EVT-015</x:v>
      </x:c>
      <x:c r="B19" s="29" t="str">
        <x:v>1</x:v>
      </x:c>
      <x:c r="C19" s="29" t="str"/>
      <x:c r="D19" s="29" t="str">
        <x:f>'Параметры'!F23</x:f>
        <x:v>OPEN_B01_MEASUREMENT</x:v>
      </x:c>
      <x:c r="E19" s="29" t="str">
        <x:f>'Параметры'!F24</x:f>
        <x:v>OPEN_B01_MEASUREMENT</x:v>
      </x:c>
      <x:c r="F19" s="29" t="str">
        <x:f>'Параметры'!F25</x:f>
        <x:v>OPEN_B01_MEASUREMENT</x:v>
      </x:c>
      <x:c r="G19" s="29" t="str">
        <x:v>NOT_RUN</x:v>
      </x:c>
      <x:c r="H19" s="29" t="str">
        <x:v>NOT_RUN</x:v>
      </x:c>
      <x:c r="I19" s="29" t="str"/>
      <x:c r="J19" s="29" t="str"/>
      <x:c r="K19" s="29" t="str"/>
      <x:c r="L19" s="29" t="str"/>
      <x:c r="M19" s="29" t="str"/>
      <x:c r="N19" s="29" t="str"/>
      <x:c r="O19" s="29" t="str"/>
      <x:c r="P19" s="29" t="str">
        <x:v>NOT_RUN</x:v>
      </x:c>
      <x:c r="Q19" s="29" t="str"/>
      <x:c r="R19" s="29" t="str"/>
      <x:c r="S19" s="29" t="str"/>
      <x:c r="T19" s="29" t="str"/>
      <x:c r="U19" s="29" t="str"/>
      <x:c r="V19" s="29" t="str">
        <x:f>IF(COUNTIF(G19:P19,"NOT_RUN")=3,"NOT_RUN",IF(AND(D19="APPROVED",E19="APPROVED",F19="APPROVED",G19="PASS",H19="PASS",I19&lt;&gt;"",J19&lt;&gt;"",K19&lt;&gt;"",L19&lt;&gt;"",M19&lt;&gt;"",N19&lt;&gt;"",O19&lt;&gt;"",P19="PASS",Q19&lt;&gt;"",R19&lt;&gt;"",T19&lt;&gt;"",U19&lt;&gt;""),"PASS","HOLD"))</x:f>
        <x:v>NOT_RUN</x:v>
      </x:c>
    </x:row>
    <x:row r="20">
      <x:c r="A20" s="29" t="str">
        <x:v>DIO-EVT-016</x:v>
      </x:c>
      <x:c r="B20" s="29" t="str">
        <x:v>1</x:v>
      </x:c>
      <x:c r="C20" s="29" t="str"/>
      <x:c r="D20" s="29" t="str">
        <x:f>'Параметры'!F23</x:f>
        <x:v>OPEN_B01_MEASUREMENT</x:v>
      </x:c>
      <x:c r="E20" s="29" t="str">
        <x:f>'Параметры'!F24</x:f>
        <x:v>OPEN_B01_MEASUREMENT</x:v>
      </x:c>
      <x:c r="F20" s="29" t="str">
        <x:f>'Параметры'!F25</x:f>
        <x:v>OPEN_B01_MEASUREMENT</x:v>
      </x:c>
      <x:c r="G20" s="29" t="str">
        <x:v>NOT_RUN</x:v>
      </x:c>
      <x:c r="H20" s="29" t="str">
        <x:v>NOT_RUN</x:v>
      </x:c>
      <x:c r="I20" s="29" t="str"/>
      <x:c r="J20" s="29" t="str"/>
      <x:c r="K20" s="29" t="str"/>
      <x:c r="L20" s="29" t="str"/>
      <x:c r="M20" s="29" t="str"/>
      <x:c r="N20" s="29" t="str"/>
      <x:c r="O20" s="29" t="str"/>
      <x:c r="P20" s="29" t="str">
        <x:v>NOT_RUN</x:v>
      </x:c>
      <x:c r="Q20" s="29" t="str"/>
      <x:c r="R20" s="29" t="str"/>
      <x:c r="S20" s="29" t="str"/>
      <x:c r="T20" s="29" t="str"/>
      <x:c r="U20" s="29" t="str"/>
      <x:c r="V20" s="29" t="str">
        <x:f>IF(COUNTIF(G20:P20,"NOT_RUN")=3,"NOT_RUN",IF(AND(D20="APPROVED",E20="APPROVED",F20="APPROVED",G20="PASS",H20="PASS",I20&lt;&gt;"",J20&lt;&gt;"",K20&lt;&gt;"",L20&lt;&gt;"",M20&lt;&gt;"",N20&lt;&gt;"",O20&lt;&gt;"",P20="PASS",Q20&lt;&gt;"",R20&lt;&gt;"",T20&lt;&gt;"",U20&lt;&gt;""),"PASS","HOLD"))</x:f>
        <x:v>NOT_RUN</x:v>
      </x:c>
    </x:row>
    <x:row r="21">
      <x:c r="A21" s="29" t="str">
        <x:v>DIO-EVT-017</x:v>
      </x:c>
      <x:c r="B21" s="29" t="str">
        <x:v>1</x:v>
      </x:c>
      <x:c r="C21" s="29" t="str"/>
      <x:c r="D21" s="29" t="str">
        <x:f>'Параметры'!F23</x:f>
        <x:v>OPEN_B01_MEASUREMENT</x:v>
      </x:c>
      <x:c r="E21" s="29" t="str">
        <x:f>'Параметры'!F24</x:f>
        <x:v>OPEN_B01_MEASUREMENT</x:v>
      </x:c>
      <x:c r="F21" s="29" t="str">
        <x:f>'Параметры'!F25</x:f>
        <x:v>OPEN_B01_MEASUREMENT</x:v>
      </x:c>
      <x:c r="G21" s="29" t="str">
        <x:v>NOT_RUN</x:v>
      </x:c>
      <x:c r="H21" s="29" t="str">
        <x:v>NOT_RUN</x:v>
      </x:c>
      <x:c r="I21" s="29" t="str"/>
      <x:c r="J21" s="29" t="str"/>
      <x:c r="K21" s="29" t="str"/>
      <x:c r="L21" s="29" t="str"/>
      <x:c r="M21" s="29" t="str"/>
      <x:c r="N21" s="29" t="str"/>
      <x:c r="O21" s="29" t="str"/>
      <x:c r="P21" s="29" t="str">
        <x:v>NOT_RUN</x:v>
      </x:c>
      <x:c r="Q21" s="29" t="str"/>
      <x:c r="R21" s="29" t="str"/>
      <x:c r="S21" s="29" t="str"/>
      <x:c r="T21" s="29" t="str"/>
      <x:c r="U21" s="29" t="str"/>
      <x:c r="V21" s="29" t="str">
        <x:f>IF(COUNTIF(G21:P21,"NOT_RUN")=3,"NOT_RUN",IF(AND(D21="APPROVED",E21="APPROVED",F21="APPROVED",G21="PASS",H21="PASS",I21&lt;&gt;"",J21&lt;&gt;"",K21&lt;&gt;"",L21&lt;&gt;"",M21&lt;&gt;"",N21&lt;&gt;"",O21&lt;&gt;"",P21="PASS",Q21&lt;&gt;"",R21&lt;&gt;"",T21&lt;&gt;"",U21&lt;&gt;""),"PASS","HOLD"))</x:f>
        <x:v>NOT_RUN</x:v>
      </x:c>
    </x:row>
    <x:row r="22">
      <x:c r="A22" s="29" t="str">
        <x:v>DIO-EVT-018</x:v>
      </x:c>
      <x:c r="B22" s="29" t="str">
        <x:v>1</x:v>
      </x:c>
      <x:c r="C22" s="29" t="str"/>
      <x:c r="D22" s="29" t="str">
        <x:f>'Параметры'!F23</x:f>
        <x:v>OPEN_B01_MEASUREMENT</x:v>
      </x:c>
      <x:c r="E22" s="29" t="str">
        <x:f>'Параметры'!F24</x:f>
        <x:v>OPEN_B01_MEASUREMENT</x:v>
      </x:c>
      <x:c r="F22" s="29" t="str">
        <x:f>'Параметры'!F25</x:f>
        <x:v>OPEN_B01_MEASUREMENT</x:v>
      </x:c>
      <x:c r="G22" s="29" t="str">
        <x:v>NOT_RUN</x:v>
      </x:c>
      <x:c r="H22" s="29" t="str">
        <x:v>NOT_RUN</x:v>
      </x:c>
      <x:c r="I22" s="29" t="str"/>
      <x:c r="J22" s="29" t="str"/>
      <x:c r="K22" s="29" t="str"/>
      <x:c r="L22" s="29" t="str"/>
      <x:c r="M22" s="29" t="str"/>
      <x:c r="N22" s="29" t="str"/>
      <x:c r="O22" s="29" t="str"/>
      <x:c r="P22" s="29" t="str">
        <x:v>NOT_RUN</x:v>
      </x:c>
      <x:c r="Q22" s="29" t="str"/>
      <x:c r="R22" s="29" t="str"/>
      <x:c r="S22" s="29" t="str"/>
      <x:c r="T22" s="29" t="str"/>
      <x:c r="U22" s="29" t="str"/>
      <x:c r="V22" s="29" t="str">
        <x:f>IF(COUNTIF(G22:P22,"NOT_RUN")=3,"NOT_RUN",IF(AND(D22="APPROVED",E22="APPROVED",F22="APPROVED",G22="PASS",H22="PASS",I22&lt;&gt;"",J22&lt;&gt;"",K22&lt;&gt;"",L22&lt;&gt;"",M22&lt;&gt;"",N22&lt;&gt;"",O22&lt;&gt;"",P22="PASS",Q22&lt;&gt;"",R22&lt;&gt;"",T22&lt;&gt;"",U22&lt;&gt;""),"PASS","HOLD"))</x:f>
        <x:v>NOT_RUN</x:v>
      </x:c>
    </x:row>
    <x:row r="23">
      <x:c r="A23" s="29" t="str">
        <x:v>DIO-EVT-019</x:v>
      </x:c>
      <x:c r="B23" s="29" t="str">
        <x:v>1</x:v>
      </x:c>
      <x:c r="C23" s="29" t="str"/>
      <x:c r="D23" s="29" t="str">
        <x:f>'Параметры'!F23</x:f>
        <x:v>OPEN_B01_MEASUREMENT</x:v>
      </x:c>
      <x:c r="E23" s="29" t="str">
        <x:f>'Параметры'!F24</x:f>
        <x:v>OPEN_B01_MEASUREMENT</x:v>
      </x:c>
      <x:c r="F23" s="29" t="str">
        <x:f>'Параметры'!F25</x:f>
        <x:v>OPEN_B01_MEASUREMENT</x:v>
      </x:c>
      <x:c r="G23" s="29" t="str">
        <x:v>NOT_RUN</x:v>
      </x:c>
      <x:c r="H23" s="29" t="str">
        <x:v>NOT_RUN</x:v>
      </x:c>
      <x:c r="I23" s="29" t="str"/>
      <x:c r="J23" s="29" t="str"/>
      <x:c r="K23" s="29" t="str"/>
      <x:c r="L23" s="29" t="str"/>
      <x:c r="M23" s="29" t="str"/>
      <x:c r="N23" s="29" t="str"/>
      <x:c r="O23" s="29" t="str"/>
      <x:c r="P23" s="29" t="str">
        <x:v>NOT_RUN</x:v>
      </x:c>
      <x:c r="Q23" s="29" t="str"/>
      <x:c r="R23" s="29" t="str"/>
      <x:c r="S23" s="29" t="str"/>
      <x:c r="T23" s="29" t="str"/>
      <x:c r="U23" s="29" t="str"/>
      <x:c r="V23" s="29" t="str">
        <x:f>IF(COUNTIF(G23:P23,"NOT_RUN")=3,"NOT_RUN",IF(AND(D23="APPROVED",E23="APPROVED",F23="APPROVED",G23="PASS",H23="PASS",I23&lt;&gt;"",J23&lt;&gt;"",K23&lt;&gt;"",L23&lt;&gt;"",M23&lt;&gt;"",N23&lt;&gt;"",O23&lt;&gt;"",P23="PASS",Q23&lt;&gt;"",R23&lt;&gt;"",T23&lt;&gt;"",U23&lt;&gt;""),"PASS","HOLD"))</x:f>
        <x:v>NOT_RUN</x:v>
      </x:c>
    </x:row>
    <x:row r="24">
      <x:c r="A24" s="29" t="str">
        <x:v>DIO-EVT-020</x:v>
      </x:c>
      <x:c r="B24" s="29" t="str">
        <x:v>1</x:v>
      </x:c>
      <x:c r="C24" s="29" t="str"/>
      <x:c r="D24" s="29" t="str">
        <x:f>'Параметры'!F23</x:f>
        <x:v>OPEN_B01_MEASUREMENT</x:v>
      </x:c>
      <x:c r="E24" s="29" t="str">
        <x:f>'Параметры'!F24</x:f>
        <x:v>OPEN_B01_MEASUREMENT</x:v>
      </x:c>
      <x:c r="F24" s="29" t="str">
        <x:f>'Параметры'!F25</x:f>
        <x:v>OPEN_B01_MEASUREMENT</x:v>
      </x:c>
      <x:c r="G24" s="29" t="str">
        <x:v>NOT_RUN</x:v>
      </x:c>
      <x:c r="H24" s="29" t="str">
        <x:v>NOT_RUN</x:v>
      </x:c>
      <x:c r="I24" s="29" t="str"/>
      <x:c r="J24" s="29" t="str"/>
      <x:c r="K24" s="29" t="str"/>
      <x:c r="L24" s="29" t="str"/>
      <x:c r="M24" s="29" t="str"/>
      <x:c r="N24" s="29" t="str"/>
      <x:c r="O24" s="29" t="str"/>
      <x:c r="P24" s="29" t="str">
        <x:v>NOT_RUN</x:v>
      </x:c>
      <x:c r="Q24" s="29" t="str"/>
      <x:c r="R24" s="29" t="str"/>
      <x:c r="S24" s="29" t="str"/>
      <x:c r="T24" s="29" t="str"/>
      <x:c r="U24" s="29" t="str"/>
      <x:c r="V24" s="29" t="str">
        <x:f>IF(COUNTIF(G24:P24,"NOT_RUN")=3,"NOT_RUN",IF(AND(D24="APPROVED",E24="APPROVED",F24="APPROVED",G24="PASS",H24="PASS",I24&lt;&gt;"",J24&lt;&gt;"",K24&lt;&gt;"",L24&lt;&gt;"",M24&lt;&gt;"",N24&lt;&gt;"",O24&lt;&gt;"",P24="PASS",Q24&lt;&gt;"",R24&lt;&gt;"",T24&lt;&gt;"",U24&lt;&gt;""),"PASS","HOLD"))</x:f>
        <x:v>NOT_RUN</x:v>
      </x:c>
    </x:row>
    <x:row r="25">
      <x:c r="A25" s="29" t="str">
        <x:v>DIO-EVT-021</x:v>
      </x:c>
      <x:c r="B25" s="29" t="str">
        <x:v>1</x:v>
      </x:c>
      <x:c r="C25" s="29" t="str"/>
      <x:c r="D25" s="29" t="str">
        <x:f>'Параметры'!F23</x:f>
        <x:v>OPEN_B01_MEASUREMENT</x:v>
      </x:c>
      <x:c r="E25" s="29" t="str">
        <x:f>'Параметры'!F24</x:f>
        <x:v>OPEN_B01_MEASUREMENT</x:v>
      </x:c>
      <x:c r="F25" s="29" t="str">
        <x:f>'Параметры'!F25</x:f>
        <x:v>OPEN_B01_MEASUREMENT</x:v>
      </x:c>
      <x:c r="G25" s="29" t="str">
        <x:v>NOT_RUN</x:v>
      </x:c>
      <x:c r="H25" s="29" t="str">
        <x:v>NOT_RUN</x:v>
      </x:c>
      <x:c r="I25" s="29" t="str"/>
      <x:c r="J25" s="29" t="str"/>
      <x:c r="K25" s="29" t="str"/>
      <x:c r="L25" s="29" t="str"/>
      <x:c r="M25" s="29" t="str"/>
      <x:c r="N25" s="29" t="str"/>
      <x:c r="O25" s="29" t="str"/>
      <x:c r="P25" s="29" t="str">
        <x:v>NOT_RUN</x:v>
      </x:c>
      <x:c r="Q25" s="29" t="str"/>
      <x:c r="R25" s="29" t="str"/>
      <x:c r="S25" s="29" t="str"/>
      <x:c r="T25" s="29" t="str"/>
      <x:c r="U25" s="29" t="str"/>
      <x:c r="V25" s="29" t="str">
        <x:f>IF(COUNTIF(G25:P25,"NOT_RUN")=3,"NOT_RUN",IF(AND(D25="APPROVED",E25="APPROVED",F25="APPROVED",G25="PASS",H25="PASS",I25&lt;&gt;"",J25&lt;&gt;"",K25&lt;&gt;"",L25&lt;&gt;"",M25&lt;&gt;"",N25&lt;&gt;"",O25&lt;&gt;"",P25="PASS",Q25&lt;&gt;"",R25&lt;&gt;"",T25&lt;&gt;"",U25&lt;&gt;""),"PASS","HOLD"))</x:f>
        <x:v>NOT_RUN</x:v>
      </x:c>
    </x:row>
    <x:row r="26">
      <x:c r="A26" s="29" t="str">
        <x:v>DIO-EVT-022</x:v>
      </x:c>
      <x:c r="B26" s="29" t="str">
        <x:v>1</x:v>
      </x:c>
      <x:c r="C26" s="29" t="str"/>
      <x:c r="D26" s="29" t="str">
        <x:f>'Параметры'!F23</x:f>
        <x:v>OPEN_B01_MEASUREMENT</x:v>
      </x:c>
      <x:c r="E26" s="29" t="str">
        <x:f>'Параметры'!F24</x:f>
        <x:v>OPEN_B01_MEASUREMENT</x:v>
      </x:c>
      <x:c r="F26" s="29" t="str">
        <x:f>'Параметры'!F25</x:f>
        <x:v>OPEN_B01_MEASUREMENT</x:v>
      </x:c>
      <x:c r="G26" s="29" t="str">
        <x:v>NOT_RUN</x:v>
      </x:c>
      <x:c r="H26" s="29" t="str">
        <x:v>NOT_RUN</x:v>
      </x:c>
      <x:c r="I26" s="29" t="str"/>
      <x:c r="J26" s="29" t="str"/>
      <x:c r="K26" s="29" t="str"/>
      <x:c r="L26" s="29" t="str"/>
      <x:c r="M26" s="29" t="str"/>
      <x:c r="N26" s="29" t="str"/>
      <x:c r="O26" s="29" t="str"/>
      <x:c r="P26" s="29" t="str">
        <x:v>NOT_RUN</x:v>
      </x:c>
      <x:c r="Q26" s="29" t="str"/>
      <x:c r="R26" s="29" t="str"/>
      <x:c r="S26" s="29" t="str"/>
      <x:c r="T26" s="29" t="str"/>
      <x:c r="U26" s="29" t="str"/>
      <x:c r="V26" s="29" t="str">
        <x:f>IF(COUNTIF(G26:P26,"NOT_RUN")=3,"NOT_RUN",IF(AND(D26="APPROVED",E26="APPROVED",F26="APPROVED",G26="PASS",H26="PASS",I26&lt;&gt;"",J26&lt;&gt;"",K26&lt;&gt;"",L26&lt;&gt;"",M26&lt;&gt;"",N26&lt;&gt;"",O26&lt;&gt;"",P26="PASS",Q26&lt;&gt;"",R26&lt;&gt;"",T26&lt;&gt;"",U26&lt;&gt;""),"PASS","HOLD"))</x:f>
        <x:v>NOT_RUN</x:v>
      </x:c>
    </x:row>
    <x:row r="27">
      <x:c r="A27" s="29" t="str">
        <x:v>DIO-EVT-023</x:v>
      </x:c>
      <x:c r="B27" s="29" t="str">
        <x:v>1</x:v>
      </x:c>
      <x:c r="C27" s="29" t="str"/>
      <x:c r="D27" s="29" t="str">
        <x:f>'Параметры'!F23</x:f>
        <x:v>OPEN_B01_MEASUREMENT</x:v>
      </x:c>
      <x:c r="E27" s="29" t="str">
        <x:f>'Параметры'!F24</x:f>
        <x:v>OPEN_B01_MEASUREMENT</x:v>
      </x:c>
      <x:c r="F27" s="29" t="str">
        <x:f>'Параметры'!F25</x:f>
        <x:v>OPEN_B01_MEASUREMENT</x:v>
      </x:c>
      <x:c r="G27" s="29" t="str">
        <x:v>NOT_RUN</x:v>
      </x:c>
      <x:c r="H27" s="29" t="str">
        <x:v>NOT_RUN</x:v>
      </x:c>
      <x:c r="I27" s="29" t="str"/>
      <x:c r="J27" s="29" t="str"/>
      <x:c r="K27" s="29" t="str"/>
      <x:c r="L27" s="29" t="str"/>
      <x:c r="M27" s="29" t="str"/>
      <x:c r="N27" s="29" t="str"/>
      <x:c r="O27" s="29" t="str"/>
      <x:c r="P27" s="29" t="str">
        <x:v>NOT_RUN</x:v>
      </x:c>
      <x:c r="Q27" s="29" t="str"/>
      <x:c r="R27" s="29" t="str"/>
      <x:c r="S27" s="29" t="str"/>
      <x:c r="T27" s="29" t="str"/>
      <x:c r="U27" s="29" t="str"/>
      <x:c r="V27" s="29" t="str">
        <x:f>IF(COUNTIF(G27:P27,"NOT_RUN")=3,"NOT_RUN",IF(AND(D27="APPROVED",E27="APPROVED",F27="APPROVED",G27="PASS",H27="PASS",I27&lt;&gt;"",J27&lt;&gt;"",K27&lt;&gt;"",L27&lt;&gt;"",M27&lt;&gt;"",N27&lt;&gt;"",O27&lt;&gt;"",P27="PASS",Q27&lt;&gt;"",R27&lt;&gt;"",T27&lt;&gt;"",U27&lt;&gt;""),"PASS","HOLD"))</x:f>
        <x:v>NOT_RUN</x:v>
      </x:c>
    </x:row>
    <x:row r="28">
      <x:c r="A28" s="29" t="str">
        <x:v>DIO-EVT-024</x:v>
      </x:c>
      <x:c r="B28" s="29" t="str">
        <x:v>1</x:v>
      </x:c>
      <x:c r="C28" s="29" t="str"/>
      <x:c r="D28" s="29" t="str">
        <x:f>'Параметры'!F23</x:f>
        <x:v>OPEN_B01_MEASUREMENT</x:v>
      </x:c>
      <x:c r="E28" s="29" t="str">
        <x:f>'Параметры'!F24</x:f>
        <x:v>OPEN_B01_MEASUREMENT</x:v>
      </x:c>
      <x:c r="F28" s="29" t="str">
        <x:f>'Параметры'!F25</x:f>
        <x:v>OPEN_B01_MEASUREMENT</x:v>
      </x:c>
      <x:c r="G28" s="29" t="str">
        <x:v>NOT_RUN</x:v>
      </x:c>
      <x:c r="H28" s="29" t="str">
        <x:v>NOT_RUN</x:v>
      </x:c>
      <x:c r="I28" s="29" t="str"/>
      <x:c r="J28" s="29" t="str"/>
      <x:c r="K28" s="29" t="str"/>
      <x:c r="L28" s="29" t="str"/>
      <x:c r="M28" s="29" t="str"/>
      <x:c r="N28" s="29" t="str"/>
      <x:c r="O28" s="29" t="str"/>
      <x:c r="P28" s="29" t="str">
        <x:v>NOT_RUN</x:v>
      </x:c>
      <x:c r="Q28" s="29" t="str"/>
      <x:c r="R28" s="29" t="str"/>
      <x:c r="S28" s="29" t="str"/>
      <x:c r="T28" s="29" t="str"/>
      <x:c r="U28" s="29" t="str"/>
      <x:c r="V28" s="29" t="str">
        <x:f>IF(COUNTIF(G28:P28,"NOT_RUN")=3,"NOT_RUN",IF(AND(D28="APPROVED",E28="APPROVED",F28="APPROVED",G28="PASS",H28="PASS",I28&lt;&gt;"",J28&lt;&gt;"",K28&lt;&gt;"",L28&lt;&gt;"",M28&lt;&gt;"",N28&lt;&gt;"",O28&lt;&gt;"",P28="PASS",Q28&lt;&gt;"",R28&lt;&gt;"",T28&lt;&gt;"",U28&lt;&gt;""),"PASS","HOLD"))</x:f>
        <x:v>NOT_RUN</x:v>
      </x:c>
    </x:row>
    <x:row r="29">
      <x:c r="A29" s="29" t="str">
        <x:v>DIO-EVT-025</x:v>
      </x:c>
      <x:c r="B29" s="29" t="str">
        <x:v>1</x:v>
      </x:c>
      <x:c r="C29" s="29" t="str"/>
      <x:c r="D29" s="29" t="str">
        <x:f>'Параметры'!F23</x:f>
        <x:v>OPEN_B01_MEASUREMENT</x:v>
      </x:c>
      <x:c r="E29" s="29" t="str">
        <x:f>'Параметры'!F24</x:f>
        <x:v>OPEN_B01_MEASUREMENT</x:v>
      </x:c>
      <x:c r="F29" s="29" t="str">
        <x:f>'Параметры'!F25</x:f>
        <x:v>OPEN_B01_MEASUREMENT</x:v>
      </x:c>
      <x:c r="G29" s="29" t="str">
        <x:v>NOT_RUN</x:v>
      </x:c>
      <x:c r="H29" s="29" t="str">
        <x:v>NOT_RUN</x:v>
      </x:c>
      <x:c r="I29" s="29" t="str"/>
      <x:c r="J29" s="29" t="str"/>
      <x:c r="K29" s="29" t="str"/>
      <x:c r="L29" s="29" t="str"/>
      <x:c r="M29" s="29" t="str"/>
      <x:c r="N29" s="29" t="str"/>
      <x:c r="O29" s="29" t="str"/>
      <x:c r="P29" s="29" t="str">
        <x:v>NOT_RUN</x:v>
      </x:c>
      <x:c r="Q29" s="29" t="str"/>
      <x:c r="R29" s="29" t="str"/>
      <x:c r="S29" s="29" t="str"/>
      <x:c r="T29" s="29" t="str"/>
      <x:c r="U29" s="29" t="str"/>
      <x:c r="V29" s="29" t="str">
        <x:f>IF(COUNTIF(G29:P29,"NOT_RUN")=3,"NOT_RUN",IF(AND(D29="APPROVED",E29="APPROVED",F29="APPROVED",G29="PASS",H29="PASS",I29&lt;&gt;"",J29&lt;&gt;"",K29&lt;&gt;"",L29&lt;&gt;"",M29&lt;&gt;"",N29&lt;&gt;"",O29&lt;&gt;"",P29="PASS",Q29&lt;&gt;"",R29&lt;&gt;"",T29&lt;&gt;"",U29&lt;&gt;""),"PASS","HOLD"))</x:f>
        <x:v>NOT_RUN</x:v>
      </x:c>
    </x:row>
    <x:row r="30">
      <x:c r="A30" s="29" t="str">
        <x:v>DIO-EVT-026</x:v>
      </x:c>
      <x:c r="B30" s="29" t="str">
        <x:v>1</x:v>
      </x:c>
      <x:c r="C30" s="29" t="str"/>
      <x:c r="D30" s="29" t="str">
        <x:f>'Параметры'!F23</x:f>
        <x:v>OPEN_B01_MEASUREMENT</x:v>
      </x:c>
      <x:c r="E30" s="29" t="str">
        <x:f>'Параметры'!F24</x:f>
        <x:v>OPEN_B01_MEASUREMENT</x:v>
      </x:c>
      <x:c r="F30" s="29" t="str">
        <x:f>'Параметры'!F25</x:f>
        <x:v>OPEN_B01_MEASUREMENT</x:v>
      </x:c>
      <x:c r="G30" s="29" t="str">
        <x:v>NOT_RUN</x:v>
      </x:c>
      <x:c r="H30" s="29" t="str">
        <x:v>NOT_RUN</x:v>
      </x:c>
      <x:c r="I30" s="29" t="str"/>
      <x:c r="J30" s="29" t="str"/>
      <x:c r="K30" s="29" t="str"/>
      <x:c r="L30" s="29" t="str"/>
      <x:c r="M30" s="29" t="str"/>
      <x:c r="N30" s="29" t="str"/>
      <x:c r="O30" s="29" t="str"/>
      <x:c r="P30" s="29" t="str">
        <x:v>NOT_RUN</x:v>
      </x:c>
      <x:c r="Q30" s="29" t="str"/>
      <x:c r="R30" s="29" t="str"/>
      <x:c r="S30" s="29" t="str"/>
      <x:c r="T30" s="29" t="str"/>
      <x:c r="U30" s="29" t="str"/>
      <x:c r="V30" s="29" t="str">
        <x:f>IF(COUNTIF(G30:P30,"NOT_RUN")=3,"NOT_RUN",IF(AND(D30="APPROVED",E30="APPROVED",F30="APPROVED",G30="PASS",H30="PASS",I30&lt;&gt;"",J30&lt;&gt;"",K30&lt;&gt;"",L30&lt;&gt;"",M30&lt;&gt;"",N30&lt;&gt;"",O30&lt;&gt;"",P30="PASS",Q30&lt;&gt;"",R30&lt;&gt;"",T30&lt;&gt;"",U30&lt;&gt;""),"PASS","HOLD"))</x:f>
        <x:v>NOT_RUN</x:v>
      </x:c>
    </x:row>
    <x:row r="31">
      <x:c r="A31" s="29" t="str">
        <x:v>DIO-EVT-027</x:v>
      </x:c>
      <x:c r="B31" s="29" t="str">
        <x:v>1</x:v>
      </x:c>
      <x:c r="C31" s="29" t="str"/>
      <x:c r="D31" s="29" t="str">
        <x:f>'Параметры'!F23</x:f>
        <x:v>OPEN_B01_MEASUREMENT</x:v>
      </x:c>
      <x:c r="E31" s="29" t="str">
        <x:f>'Параметры'!F24</x:f>
        <x:v>OPEN_B01_MEASUREMENT</x:v>
      </x:c>
      <x:c r="F31" s="29" t="str">
        <x:f>'Параметры'!F25</x:f>
        <x:v>OPEN_B01_MEASUREMENT</x:v>
      </x:c>
      <x:c r="G31" s="29" t="str">
        <x:v>NOT_RUN</x:v>
      </x:c>
      <x:c r="H31" s="29" t="str">
        <x:v>NOT_RUN</x:v>
      </x:c>
      <x:c r="I31" s="29" t="str"/>
      <x:c r="J31" s="29" t="str"/>
      <x:c r="K31" s="29" t="str"/>
      <x:c r="L31" s="29" t="str"/>
      <x:c r="M31" s="29" t="str"/>
      <x:c r="N31" s="29" t="str"/>
      <x:c r="O31" s="29" t="str"/>
      <x:c r="P31" s="29" t="str">
        <x:v>NOT_RUN</x:v>
      </x:c>
      <x:c r="Q31" s="29" t="str"/>
      <x:c r="R31" s="29" t="str"/>
      <x:c r="S31" s="29" t="str"/>
      <x:c r="T31" s="29" t="str"/>
      <x:c r="U31" s="29" t="str"/>
      <x:c r="V31" s="29" t="str">
        <x:f>IF(COUNTIF(G31:P31,"NOT_RUN")=3,"NOT_RUN",IF(AND(D31="APPROVED",E31="APPROVED",F31="APPROVED",G31="PASS",H31="PASS",I31&lt;&gt;"",J31&lt;&gt;"",K31&lt;&gt;"",L31&lt;&gt;"",M31&lt;&gt;"",N31&lt;&gt;"",O31&lt;&gt;"",P31="PASS",Q31&lt;&gt;"",R31&lt;&gt;"",T31&lt;&gt;"",U31&lt;&gt;""),"PASS","HOLD"))</x:f>
        <x:v>NOT_RUN</x:v>
      </x:c>
    </x:row>
    <x:row r="32">
      <x:c r="A32" s="29" t="str">
        <x:v>DIO-EVT-028</x:v>
      </x:c>
      <x:c r="B32" s="29" t="str">
        <x:v>1</x:v>
      </x:c>
      <x:c r="C32" s="29" t="str"/>
      <x:c r="D32" s="29" t="str">
        <x:f>'Параметры'!F23</x:f>
        <x:v>OPEN_B01_MEASUREMENT</x:v>
      </x:c>
      <x:c r="E32" s="29" t="str">
        <x:f>'Параметры'!F24</x:f>
        <x:v>OPEN_B01_MEASUREMENT</x:v>
      </x:c>
      <x:c r="F32" s="29" t="str">
        <x:f>'Параметры'!F25</x:f>
        <x:v>OPEN_B01_MEASUREMENT</x:v>
      </x:c>
      <x:c r="G32" s="29" t="str">
        <x:v>NOT_RUN</x:v>
      </x:c>
      <x:c r="H32" s="29" t="str">
        <x:v>NOT_RUN</x:v>
      </x:c>
      <x:c r="I32" s="29" t="str"/>
      <x:c r="J32" s="29" t="str"/>
      <x:c r="K32" s="29" t="str"/>
      <x:c r="L32" s="29" t="str"/>
      <x:c r="M32" s="29" t="str"/>
      <x:c r="N32" s="29" t="str"/>
      <x:c r="O32" s="29" t="str"/>
      <x:c r="P32" s="29" t="str">
        <x:v>NOT_RUN</x:v>
      </x:c>
      <x:c r="Q32" s="29" t="str"/>
      <x:c r="R32" s="29" t="str"/>
      <x:c r="S32" s="29" t="str"/>
      <x:c r="T32" s="29" t="str"/>
      <x:c r="U32" s="29" t="str"/>
      <x:c r="V32" s="29" t="str">
        <x:f>IF(COUNTIF(G32:P32,"NOT_RUN")=3,"NOT_RUN",IF(AND(D32="APPROVED",E32="APPROVED",F32="APPROVED",G32="PASS",H32="PASS",I32&lt;&gt;"",J32&lt;&gt;"",K32&lt;&gt;"",L32&lt;&gt;"",M32&lt;&gt;"",N32&lt;&gt;"",O32&lt;&gt;"",P32="PASS",Q32&lt;&gt;"",R32&lt;&gt;"",T32&lt;&gt;"",U32&lt;&gt;""),"PASS","HOLD"))</x:f>
        <x:v>NOT_RUN</x:v>
      </x:c>
    </x:row>
    <x:row r="33">
      <x:c r="A33" s="29" t="str">
        <x:v>DIO-EVT-029</x:v>
      </x:c>
      <x:c r="B33" s="29" t="str">
        <x:v>1</x:v>
      </x:c>
      <x:c r="C33" s="29" t="str"/>
      <x:c r="D33" s="29" t="str">
        <x:f>'Параметры'!F23</x:f>
        <x:v>OPEN_B01_MEASUREMENT</x:v>
      </x:c>
      <x:c r="E33" s="29" t="str">
        <x:f>'Параметры'!F24</x:f>
        <x:v>OPEN_B01_MEASUREMENT</x:v>
      </x:c>
      <x:c r="F33" s="29" t="str">
        <x:f>'Параметры'!F25</x:f>
        <x:v>OPEN_B01_MEASUREMENT</x:v>
      </x:c>
      <x:c r="G33" s="29" t="str">
        <x:v>NOT_RUN</x:v>
      </x:c>
      <x:c r="H33" s="29" t="str">
        <x:v>NOT_RUN</x:v>
      </x:c>
      <x:c r="I33" s="29" t="str"/>
      <x:c r="J33" s="29" t="str"/>
      <x:c r="K33" s="29" t="str"/>
      <x:c r="L33" s="29" t="str"/>
      <x:c r="M33" s="29" t="str"/>
      <x:c r="N33" s="29" t="str"/>
      <x:c r="O33" s="29" t="str"/>
      <x:c r="P33" s="29" t="str">
        <x:v>NOT_RUN</x:v>
      </x:c>
      <x:c r="Q33" s="29" t="str"/>
      <x:c r="R33" s="29" t="str"/>
      <x:c r="S33" s="29" t="str"/>
      <x:c r="T33" s="29" t="str"/>
      <x:c r="U33" s="29" t="str"/>
      <x:c r="V33" s="29" t="str">
        <x:f>IF(COUNTIF(G33:P33,"NOT_RUN")=3,"NOT_RUN",IF(AND(D33="APPROVED",E33="APPROVED",F33="APPROVED",G33="PASS",H33="PASS",I33&lt;&gt;"",J33&lt;&gt;"",K33&lt;&gt;"",L33&lt;&gt;"",M33&lt;&gt;"",N33&lt;&gt;"",O33&lt;&gt;"",P33="PASS",Q33&lt;&gt;"",R33&lt;&gt;"",T33&lt;&gt;"",U33&lt;&gt;""),"PASS","HOLD"))</x:f>
        <x:v>NOT_RUN</x:v>
      </x:c>
    </x:row>
    <x:row r="34">
      <x:c r="A34" s="29" t="str">
        <x:v>DIO-EVT-030</x:v>
      </x:c>
      <x:c r="B34" s="29" t="str">
        <x:v>1</x:v>
      </x:c>
      <x:c r="C34" s="29" t="str"/>
      <x:c r="D34" s="29" t="str">
        <x:f>'Параметры'!F23</x:f>
        <x:v>OPEN_B01_MEASUREMENT</x:v>
      </x:c>
      <x:c r="E34" s="29" t="str">
        <x:f>'Параметры'!F24</x:f>
        <x:v>OPEN_B01_MEASUREMENT</x:v>
      </x:c>
      <x:c r="F34" s="29" t="str">
        <x:f>'Параметры'!F25</x:f>
        <x:v>OPEN_B01_MEASUREMENT</x:v>
      </x:c>
      <x:c r="G34" s="29" t="str">
        <x:v>NOT_RUN</x:v>
      </x:c>
      <x:c r="H34" s="29" t="str">
        <x:v>NOT_RUN</x:v>
      </x:c>
      <x:c r="I34" s="29" t="str"/>
      <x:c r="J34" s="29" t="str"/>
      <x:c r="K34" s="29" t="str"/>
      <x:c r="L34" s="29" t="str"/>
      <x:c r="M34" s="29" t="str"/>
      <x:c r="N34" s="29" t="str"/>
      <x:c r="O34" s="29" t="str"/>
      <x:c r="P34" s="29" t="str">
        <x:v>NOT_RUN</x:v>
      </x:c>
      <x:c r="Q34" s="29" t="str"/>
      <x:c r="R34" s="29" t="str"/>
      <x:c r="S34" s="29" t="str"/>
      <x:c r="T34" s="29" t="str"/>
      <x:c r="U34" s="29" t="str"/>
      <x:c r="V34" s="29" t="str">
        <x:f>IF(COUNTIF(G34:P34,"NOT_RUN")=3,"NOT_RUN",IF(AND(D34="APPROVED",E34="APPROVED",F34="APPROVED",G34="PASS",H34="PASS",I34&lt;&gt;"",J34&lt;&gt;"",K34&lt;&gt;"",L34&lt;&gt;"",M34&lt;&gt;"",N34&lt;&gt;"",O34&lt;&gt;"",P34="PASS",Q34&lt;&gt;"",R34&lt;&gt;"",T34&lt;&gt;"",U34&lt;&gt;""),"PASS","HOLD"))</x:f>
        <x:v>NOT_RUN</x:v>
      </x:c>
    </x:row>
    <x:row r="35">
      <x:c r="A35" s="29" t="str">
        <x:v>DIO-EVT-031</x:v>
      </x:c>
      <x:c r="B35" s="29" t="str">
        <x:v>1</x:v>
      </x:c>
      <x:c r="C35" s="29" t="str"/>
      <x:c r="D35" s="29" t="str">
        <x:f>'Параметры'!F23</x:f>
        <x:v>OPEN_B01_MEASUREMENT</x:v>
      </x:c>
      <x:c r="E35" s="29" t="str">
        <x:f>'Параметры'!F24</x:f>
        <x:v>OPEN_B01_MEASUREMENT</x:v>
      </x:c>
      <x:c r="F35" s="29" t="str">
        <x:f>'Параметры'!F25</x:f>
        <x:v>OPEN_B01_MEASUREMENT</x:v>
      </x:c>
      <x:c r="G35" s="29" t="str">
        <x:v>NOT_RUN</x:v>
      </x:c>
      <x:c r="H35" s="29" t="str">
        <x:v>NOT_RUN</x:v>
      </x:c>
      <x:c r="I35" s="29" t="str"/>
      <x:c r="J35" s="29" t="str"/>
      <x:c r="K35" s="29" t="str"/>
      <x:c r="L35" s="29" t="str"/>
      <x:c r="M35" s="29" t="str"/>
      <x:c r="N35" s="29" t="str"/>
      <x:c r="O35" s="29" t="str"/>
      <x:c r="P35" s="29" t="str">
        <x:v>NOT_RUN</x:v>
      </x:c>
      <x:c r="Q35" s="29" t="str"/>
      <x:c r="R35" s="29" t="str"/>
      <x:c r="S35" s="29" t="str"/>
      <x:c r="T35" s="29" t="str"/>
      <x:c r="U35" s="29" t="str"/>
      <x:c r="V35" s="29" t="str">
        <x:f>IF(COUNTIF(G35:P35,"NOT_RUN")=3,"NOT_RUN",IF(AND(D35="APPROVED",E35="APPROVED",F35="APPROVED",G35="PASS",H35="PASS",I35&lt;&gt;"",J35&lt;&gt;"",K35&lt;&gt;"",L35&lt;&gt;"",M35&lt;&gt;"",N35&lt;&gt;"",O35&lt;&gt;"",P35="PASS",Q35&lt;&gt;"",R35&lt;&gt;"",T35&lt;&gt;"",U35&lt;&gt;""),"PASS","HOLD"))</x:f>
        <x:v>NOT_RUN</x:v>
      </x:c>
    </x:row>
    <x:row r="36">
      <x:c r="A36" s="29" t="str">
        <x:v>DIO-EVT-032</x:v>
      </x:c>
      <x:c r="B36" s="29" t="str">
        <x:v>1</x:v>
      </x:c>
      <x:c r="C36" s="29" t="str"/>
      <x:c r="D36" s="29" t="str">
        <x:f>'Параметры'!F23</x:f>
        <x:v>OPEN_B01_MEASUREMENT</x:v>
      </x:c>
      <x:c r="E36" s="29" t="str">
        <x:f>'Параметры'!F24</x:f>
        <x:v>OPEN_B01_MEASUREMENT</x:v>
      </x:c>
      <x:c r="F36" s="29" t="str">
        <x:f>'Параметры'!F25</x:f>
        <x:v>OPEN_B01_MEASUREMENT</x:v>
      </x:c>
      <x:c r="G36" s="29" t="str">
        <x:v>NOT_RUN</x:v>
      </x:c>
      <x:c r="H36" s="29" t="str">
        <x:v>NOT_RUN</x:v>
      </x:c>
      <x:c r="I36" s="29" t="str"/>
      <x:c r="J36" s="29" t="str"/>
      <x:c r="K36" s="29" t="str"/>
      <x:c r="L36" s="29" t="str"/>
      <x:c r="M36" s="29" t="str"/>
      <x:c r="N36" s="29" t="str"/>
      <x:c r="O36" s="29" t="str"/>
      <x:c r="P36" s="29" t="str">
        <x:v>NOT_RUN</x:v>
      </x:c>
      <x:c r="Q36" s="29" t="str"/>
      <x:c r="R36" s="29" t="str"/>
      <x:c r="S36" s="29" t="str"/>
      <x:c r="T36" s="29" t="str"/>
      <x:c r="U36" s="29" t="str"/>
      <x:c r="V36" s="29" t="str">
        <x:f>IF(COUNTIF(G36:P36,"NOT_RUN")=3,"NOT_RUN",IF(AND(D36="APPROVED",E36="APPROVED",F36="APPROVED",G36="PASS",H36="PASS",I36&lt;&gt;"",J36&lt;&gt;"",K36&lt;&gt;"",L36&lt;&gt;"",M36&lt;&gt;"",N36&lt;&gt;"",O36&lt;&gt;"",P36="PASS",Q36&lt;&gt;"",R36&lt;&gt;"",T36&lt;&gt;"",U36&lt;&gt;""),"PASS","HOLD"))</x:f>
        <x:v>NOT_RUN</x:v>
      </x:c>
    </x:row>
    <x:row r="37">
      <x:c r="A37" s="29" t="str">
        <x:v>DIO-EVT-033</x:v>
      </x:c>
      <x:c r="B37" s="29" t="str">
        <x:v>1</x:v>
      </x:c>
      <x:c r="C37" s="29" t="str"/>
      <x:c r="D37" s="29" t="str">
        <x:f>'Параметры'!F23</x:f>
        <x:v>OPEN_B01_MEASUREMENT</x:v>
      </x:c>
      <x:c r="E37" s="29" t="str">
        <x:f>'Параметры'!F24</x:f>
        <x:v>OPEN_B01_MEASUREMENT</x:v>
      </x:c>
      <x:c r="F37" s="29" t="str">
        <x:f>'Параметры'!F25</x:f>
        <x:v>OPEN_B01_MEASUREMENT</x:v>
      </x:c>
      <x:c r="G37" s="29" t="str">
        <x:v>NOT_RUN</x:v>
      </x:c>
      <x:c r="H37" s="29" t="str">
        <x:v>NOT_RUN</x:v>
      </x:c>
      <x:c r="I37" s="29" t="str"/>
      <x:c r="J37" s="29" t="str"/>
      <x:c r="K37" s="29" t="str"/>
      <x:c r="L37" s="29" t="str"/>
      <x:c r="M37" s="29" t="str"/>
      <x:c r="N37" s="29" t="str"/>
      <x:c r="O37" s="29" t="str"/>
      <x:c r="P37" s="29" t="str">
        <x:v>NOT_RUN</x:v>
      </x:c>
      <x:c r="Q37" s="29" t="str"/>
      <x:c r="R37" s="29" t="str"/>
      <x:c r="S37" s="29" t="str"/>
      <x:c r="T37" s="29" t="str"/>
      <x:c r="U37" s="29" t="str"/>
      <x:c r="V37" s="29" t="str">
        <x:f>IF(COUNTIF(G37:P37,"NOT_RUN")=3,"NOT_RUN",IF(AND(D37="APPROVED",E37="APPROVED",F37="APPROVED",G37="PASS",H37="PASS",I37&lt;&gt;"",J37&lt;&gt;"",K37&lt;&gt;"",L37&lt;&gt;"",M37&lt;&gt;"",N37&lt;&gt;"",O37&lt;&gt;"",P37="PASS",Q37&lt;&gt;"",R37&lt;&gt;"",T37&lt;&gt;"",U37&lt;&gt;""),"PASS","HOLD"))</x:f>
        <x:v>NOT_RUN</x:v>
      </x:c>
    </x:row>
    <x:row r="38">
      <x:c r="A38" s="29" t="str">
        <x:v>DIO-EVT-034</x:v>
      </x:c>
      <x:c r="B38" s="29" t="str">
        <x:v>1</x:v>
      </x:c>
      <x:c r="C38" s="29" t="str"/>
      <x:c r="D38" s="29" t="str">
        <x:f>'Параметры'!F23</x:f>
        <x:v>OPEN_B01_MEASUREMENT</x:v>
      </x:c>
      <x:c r="E38" s="29" t="str">
        <x:f>'Параметры'!F24</x:f>
        <x:v>OPEN_B01_MEASUREMENT</x:v>
      </x:c>
      <x:c r="F38" s="29" t="str">
        <x:f>'Параметры'!F25</x:f>
        <x:v>OPEN_B01_MEASUREMENT</x:v>
      </x:c>
      <x:c r="G38" s="29" t="str">
        <x:v>NOT_RUN</x:v>
      </x:c>
      <x:c r="H38" s="29" t="str">
        <x:v>NOT_RUN</x:v>
      </x:c>
      <x:c r="I38" s="29" t="str"/>
      <x:c r="J38" s="29" t="str"/>
      <x:c r="K38" s="29" t="str"/>
      <x:c r="L38" s="29" t="str"/>
      <x:c r="M38" s="29" t="str"/>
      <x:c r="N38" s="29" t="str"/>
      <x:c r="O38" s="29" t="str"/>
      <x:c r="P38" s="29" t="str">
        <x:v>NOT_RUN</x:v>
      </x:c>
      <x:c r="Q38" s="29" t="str"/>
      <x:c r="R38" s="29" t="str"/>
      <x:c r="S38" s="29" t="str"/>
      <x:c r="T38" s="29" t="str"/>
      <x:c r="U38" s="29" t="str"/>
      <x:c r="V38" s="29" t="str">
        <x:f>IF(COUNTIF(G38:P38,"NOT_RUN")=3,"NOT_RUN",IF(AND(D38="APPROVED",E38="APPROVED",F38="APPROVED",G38="PASS",H38="PASS",I38&lt;&gt;"",J38&lt;&gt;"",K38&lt;&gt;"",L38&lt;&gt;"",M38&lt;&gt;"",N38&lt;&gt;"",O38&lt;&gt;"",P38="PASS",Q38&lt;&gt;"",R38&lt;&gt;"",T38&lt;&gt;"",U38&lt;&gt;""),"PASS","HOLD"))</x:f>
        <x:v>NOT_RUN</x:v>
      </x:c>
    </x:row>
    <x:row r="39">
      <x:c r="A39" s="29" t="str">
        <x:v>DIO-EVT-035</x:v>
      </x:c>
      <x:c r="B39" s="29" t="str">
        <x:v>1</x:v>
      </x:c>
      <x:c r="C39" s="29" t="str"/>
      <x:c r="D39" s="29" t="str">
        <x:f>'Параметры'!F23</x:f>
        <x:v>OPEN_B01_MEASUREMENT</x:v>
      </x:c>
      <x:c r="E39" s="29" t="str">
        <x:f>'Параметры'!F24</x:f>
        <x:v>OPEN_B01_MEASUREMENT</x:v>
      </x:c>
      <x:c r="F39" s="29" t="str">
        <x:f>'Параметры'!F25</x:f>
        <x:v>OPEN_B01_MEASUREMENT</x:v>
      </x:c>
      <x:c r="G39" s="29" t="str">
        <x:v>NOT_RUN</x:v>
      </x:c>
      <x:c r="H39" s="29" t="str">
        <x:v>NOT_RUN</x:v>
      </x:c>
      <x:c r="I39" s="29" t="str"/>
      <x:c r="J39" s="29" t="str"/>
      <x:c r="K39" s="29" t="str"/>
      <x:c r="L39" s="29" t="str"/>
      <x:c r="M39" s="29" t="str"/>
      <x:c r="N39" s="29" t="str"/>
      <x:c r="O39" s="29" t="str"/>
      <x:c r="P39" s="29" t="str">
        <x:v>NOT_RUN</x:v>
      </x:c>
      <x:c r="Q39" s="29" t="str"/>
      <x:c r="R39" s="29" t="str"/>
      <x:c r="S39" s="29" t="str"/>
      <x:c r="T39" s="29" t="str"/>
      <x:c r="U39" s="29" t="str"/>
      <x:c r="V39" s="29" t="str">
        <x:f>IF(COUNTIF(G39:P39,"NOT_RUN")=3,"NOT_RUN",IF(AND(D39="APPROVED",E39="APPROVED",F39="APPROVED",G39="PASS",H39="PASS",I39&lt;&gt;"",J39&lt;&gt;"",K39&lt;&gt;"",L39&lt;&gt;"",M39&lt;&gt;"",N39&lt;&gt;"",O39&lt;&gt;"",P39="PASS",Q39&lt;&gt;"",R39&lt;&gt;"",T39&lt;&gt;"",U39&lt;&gt;""),"PASS","HOLD"))</x:f>
        <x:v>NOT_RUN</x:v>
      </x:c>
    </x:row>
    <x:row r="40">
      <x:c r="A40" s="29" t="str">
        <x:v>DIO-EVT-036</x:v>
      </x:c>
      <x:c r="B40" s="29" t="str">
        <x:v>1</x:v>
      </x:c>
      <x:c r="C40" s="29" t="str"/>
      <x:c r="D40" s="29" t="str">
        <x:f>'Параметры'!F23</x:f>
        <x:v>OPEN_B01_MEASUREMENT</x:v>
      </x:c>
      <x:c r="E40" s="29" t="str">
        <x:f>'Параметры'!F24</x:f>
        <x:v>OPEN_B01_MEASUREMENT</x:v>
      </x:c>
      <x:c r="F40" s="29" t="str">
        <x:f>'Параметры'!F25</x:f>
        <x:v>OPEN_B01_MEASUREMENT</x:v>
      </x:c>
      <x:c r="G40" s="29" t="str">
        <x:v>NOT_RUN</x:v>
      </x:c>
      <x:c r="H40" s="29" t="str">
        <x:v>NOT_RUN</x:v>
      </x:c>
      <x:c r="I40" s="29" t="str"/>
      <x:c r="J40" s="29" t="str"/>
      <x:c r="K40" s="29" t="str"/>
      <x:c r="L40" s="29" t="str"/>
      <x:c r="M40" s="29" t="str"/>
      <x:c r="N40" s="29" t="str"/>
      <x:c r="O40" s="29" t="str"/>
      <x:c r="P40" s="29" t="str">
        <x:v>NOT_RUN</x:v>
      </x:c>
      <x:c r="Q40" s="29" t="str"/>
      <x:c r="R40" s="29" t="str"/>
      <x:c r="S40" s="29" t="str"/>
      <x:c r="T40" s="29" t="str"/>
      <x:c r="U40" s="29" t="str"/>
      <x:c r="V40" s="29" t="str">
        <x:f>IF(COUNTIF(G40:P40,"NOT_RUN")=3,"NOT_RUN",IF(AND(D40="APPROVED",E40="APPROVED",F40="APPROVED",G40="PASS",H40="PASS",I40&lt;&gt;"",J40&lt;&gt;"",K40&lt;&gt;"",L40&lt;&gt;"",M40&lt;&gt;"",N40&lt;&gt;"",O40&lt;&gt;"",P40="PASS",Q40&lt;&gt;"",R40&lt;&gt;"",T40&lt;&gt;"",U40&lt;&gt;""),"PASS","HOLD"))</x:f>
        <x:v>NOT_RUN</x:v>
      </x:c>
    </x:row>
    <x:row r="41">
      <x:c r="A41" s="29" t="str">
        <x:v>DIO-EVT-037</x:v>
      </x:c>
      <x:c r="B41" s="29" t="str">
        <x:v>1</x:v>
      </x:c>
      <x:c r="C41" s="29" t="str"/>
      <x:c r="D41" s="29" t="str">
        <x:f>'Параметры'!F23</x:f>
        <x:v>OPEN_B01_MEASUREMENT</x:v>
      </x:c>
      <x:c r="E41" s="29" t="str">
        <x:f>'Параметры'!F24</x:f>
        <x:v>OPEN_B01_MEASUREMENT</x:v>
      </x:c>
      <x:c r="F41" s="29" t="str">
        <x:f>'Параметры'!F25</x:f>
        <x:v>OPEN_B01_MEASUREMENT</x:v>
      </x:c>
      <x:c r="G41" s="29" t="str">
        <x:v>NOT_RUN</x:v>
      </x:c>
      <x:c r="H41" s="29" t="str">
        <x:v>NOT_RUN</x:v>
      </x:c>
      <x:c r="I41" s="29" t="str"/>
      <x:c r="J41" s="29" t="str"/>
      <x:c r="K41" s="29" t="str"/>
      <x:c r="L41" s="29" t="str"/>
      <x:c r="M41" s="29" t="str"/>
      <x:c r="N41" s="29" t="str"/>
      <x:c r="O41" s="29" t="str"/>
      <x:c r="P41" s="29" t="str">
        <x:v>NOT_RUN</x:v>
      </x:c>
      <x:c r="Q41" s="29" t="str"/>
      <x:c r="R41" s="29" t="str"/>
      <x:c r="S41" s="29" t="str"/>
      <x:c r="T41" s="29" t="str"/>
      <x:c r="U41" s="29" t="str"/>
      <x:c r="V41" s="29" t="str">
        <x:f>IF(COUNTIF(G41:P41,"NOT_RUN")=3,"NOT_RUN",IF(AND(D41="APPROVED",E41="APPROVED",F41="APPROVED",G41="PASS",H41="PASS",I41&lt;&gt;"",J41&lt;&gt;"",K41&lt;&gt;"",L41&lt;&gt;"",M41&lt;&gt;"",N41&lt;&gt;"",O41&lt;&gt;"",P41="PASS",Q41&lt;&gt;"",R41&lt;&gt;"",T41&lt;&gt;"",U41&lt;&gt;""),"PASS","HOLD"))</x:f>
        <x:v>NOT_RUN</x:v>
      </x:c>
    </x:row>
    <x:row r="42">
      <x:c r="A42" s="29" t="str">
        <x:v>DIO-EVT-038</x:v>
      </x:c>
      <x:c r="B42" s="29" t="str">
        <x:v>1</x:v>
      </x:c>
      <x:c r="C42" s="29" t="str"/>
      <x:c r="D42" s="29" t="str">
        <x:f>'Параметры'!F23</x:f>
        <x:v>OPEN_B01_MEASUREMENT</x:v>
      </x:c>
      <x:c r="E42" s="29" t="str">
        <x:f>'Параметры'!F24</x:f>
        <x:v>OPEN_B01_MEASUREMENT</x:v>
      </x:c>
      <x:c r="F42" s="29" t="str">
        <x:f>'Параметры'!F25</x:f>
        <x:v>OPEN_B01_MEASUREMENT</x:v>
      </x:c>
      <x:c r="G42" s="29" t="str">
        <x:v>NOT_RUN</x:v>
      </x:c>
      <x:c r="H42" s="29" t="str">
        <x:v>NOT_RUN</x:v>
      </x:c>
      <x:c r="I42" s="29" t="str"/>
      <x:c r="J42" s="29" t="str"/>
      <x:c r="K42" s="29" t="str"/>
      <x:c r="L42" s="29" t="str"/>
      <x:c r="M42" s="29" t="str"/>
      <x:c r="N42" s="29" t="str"/>
      <x:c r="O42" s="29" t="str"/>
      <x:c r="P42" s="29" t="str">
        <x:v>NOT_RUN</x:v>
      </x:c>
      <x:c r="Q42" s="29" t="str"/>
      <x:c r="R42" s="29" t="str"/>
      <x:c r="S42" s="29" t="str"/>
      <x:c r="T42" s="29" t="str"/>
      <x:c r="U42" s="29" t="str"/>
      <x:c r="V42" s="29" t="str">
        <x:f>IF(COUNTIF(G42:P42,"NOT_RUN")=3,"NOT_RUN",IF(AND(D42="APPROVED",E42="APPROVED",F42="APPROVED",G42="PASS",H42="PASS",I42&lt;&gt;"",J42&lt;&gt;"",K42&lt;&gt;"",L42&lt;&gt;"",M42&lt;&gt;"",N42&lt;&gt;"",O42&lt;&gt;"",P42="PASS",Q42&lt;&gt;"",R42&lt;&gt;"",T42&lt;&gt;"",U42&lt;&gt;""),"PASS","HOLD"))</x:f>
        <x:v>NOT_RUN</x:v>
      </x:c>
    </x:row>
    <x:row r="43">
      <x:c r="A43" s="29" t="str">
        <x:v>DIO-EVT-039</x:v>
      </x:c>
      <x:c r="B43" s="29" t="str">
        <x:v>1</x:v>
      </x:c>
      <x:c r="C43" s="29" t="str"/>
      <x:c r="D43" s="29" t="str">
        <x:f>'Параметры'!F23</x:f>
        <x:v>OPEN_B01_MEASUREMENT</x:v>
      </x:c>
      <x:c r="E43" s="29" t="str">
        <x:f>'Параметры'!F24</x:f>
        <x:v>OPEN_B01_MEASUREMENT</x:v>
      </x:c>
      <x:c r="F43" s="29" t="str">
        <x:f>'Параметры'!F25</x:f>
        <x:v>OPEN_B01_MEASUREMENT</x:v>
      </x:c>
      <x:c r="G43" s="29" t="str">
        <x:v>NOT_RUN</x:v>
      </x:c>
      <x:c r="H43" s="29" t="str">
        <x:v>NOT_RUN</x:v>
      </x:c>
      <x:c r="I43" s="29" t="str"/>
      <x:c r="J43" s="29" t="str"/>
      <x:c r="K43" s="29" t="str"/>
      <x:c r="L43" s="29" t="str"/>
      <x:c r="M43" s="29" t="str"/>
      <x:c r="N43" s="29" t="str"/>
      <x:c r="O43" s="29" t="str"/>
      <x:c r="P43" s="29" t="str">
        <x:v>NOT_RUN</x:v>
      </x:c>
      <x:c r="Q43" s="29" t="str"/>
      <x:c r="R43" s="29" t="str"/>
      <x:c r="S43" s="29" t="str"/>
      <x:c r="T43" s="29" t="str"/>
      <x:c r="U43" s="29" t="str"/>
      <x:c r="V43" s="29" t="str">
        <x:f>IF(COUNTIF(G43:P43,"NOT_RUN")=3,"NOT_RUN",IF(AND(D43="APPROVED",E43="APPROVED",F43="APPROVED",G43="PASS",H43="PASS",I43&lt;&gt;"",J43&lt;&gt;"",K43&lt;&gt;"",L43&lt;&gt;"",M43&lt;&gt;"",N43&lt;&gt;"",O43&lt;&gt;"",P43="PASS",Q43&lt;&gt;"",R43&lt;&gt;"",T43&lt;&gt;"",U43&lt;&gt;""),"PASS","HOLD"))</x:f>
        <x:v>NOT_RUN</x:v>
      </x:c>
    </x:row>
    <x:row r="44">
      <x:c r="A44" s="29" t="str">
        <x:v>DIO-EVT-040</x:v>
      </x:c>
      <x:c r="B44" s="29" t="str">
        <x:v>1</x:v>
      </x:c>
      <x:c r="C44" s="29" t="str"/>
      <x:c r="D44" s="29" t="str">
        <x:f>'Параметры'!F23</x:f>
        <x:v>OPEN_B01_MEASUREMENT</x:v>
      </x:c>
      <x:c r="E44" s="29" t="str">
        <x:f>'Параметры'!F24</x:f>
        <x:v>OPEN_B01_MEASUREMENT</x:v>
      </x:c>
      <x:c r="F44" s="29" t="str">
        <x:f>'Параметры'!F25</x:f>
        <x:v>OPEN_B01_MEASUREMENT</x:v>
      </x:c>
      <x:c r="G44" s="29" t="str">
        <x:v>NOT_RUN</x:v>
      </x:c>
      <x:c r="H44" s="29" t="str">
        <x:v>NOT_RUN</x:v>
      </x:c>
      <x:c r="I44" s="29" t="str"/>
      <x:c r="J44" s="29" t="str"/>
      <x:c r="K44" s="29" t="str"/>
      <x:c r="L44" s="29" t="str"/>
      <x:c r="M44" s="29" t="str"/>
      <x:c r="N44" s="29" t="str"/>
      <x:c r="O44" s="29" t="str"/>
      <x:c r="P44" s="29" t="str">
        <x:v>NOT_RUN</x:v>
      </x:c>
      <x:c r="Q44" s="29" t="str"/>
      <x:c r="R44" s="29" t="str"/>
      <x:c r="S44" s="29" t="str"/>
      <x:c r="T44" s="29" t="str"/>
      <x:c r="U44" s="29" t="str"/>
      <x:c r="V44" s="29" t="str">
        <x:f>IF(COUNTIF(G44:P44,"NOT_RUN")=3,"NOT_RUN",IF(AND(D44="APPROVED",E44="APPROVED",F44="APPROVED",G44="PASS",H44="PASS",I44&lt;&gt;"",J44&lt;&gt;"",K44&lt;&gt;"",L44&lt;&gt;"",M44&lt;&gt;"",N44&lt;&gt;"",O44&lt;&gt;"",P44="PASS",Q44&lt;&gt;"",R44&lt;&gt;"",T44&lt;&gt;"",U44&lt;&gt;""),"PASS","HOLD"))</x:f>
        <x:v>NOT_RUN</x:v>
      </x:c>
    </x:row>
    <x:row r="45">
      <x:c r="A45" s="29" t="str">
        <x:v>DIO-EVT-B01</x:v>
      </x:c>
      <x:c r="B45" s="29" t="str">
        <x:v>1</x:v>
      </x:c>
      <x:c r="C45" s="29" t="str"/>
      <x:c r="D45" s="29" t="str">
        <x:f>'Параметры'!F23</x:f>
        <x:v>OPEN_B01_MEASUREMENT</x:v>
      </x:c>
      <x:c r="E45" s="29" t="str">
        <x:f>'Параметры'!F24</x:f>
        <x:v>OPEN_B01_MEASUREMENT</x:v>
      </x:c>
      <x:c r="F45" s="29" t="str">
        <x:f>'Параметры'!F25</x:f>
        <x:v>OPEN_B01_MEASUREMENT</x:v>
      </x:c>
      <x:c r="G45" s="29" t="str">
        <x:v>NOT_RUN</x:v>
      </x:c>
      <x:c r="H45" s="29" t="str">
        <x:v>NOT_RUN</x:v>
      </x:c>
      <x:c r="I45" s="29" t="str"/>
      <x:c r="J45" s="29" t="str"/>
      <x:c r="K45" s="29" t="str"/>
      <x:c r="L45" s="29" t="str"/>
      <x:c r="M45" s="29" t="str"/>
      <x:c r="N45" s="29" t="str"/>
      <x:c r="O45" s="29" t="str"/>
      <x:c r="P45" s="29" t="str">
        <x:v>NOT_RUN</x:v>
      </x:c>
      <x:c r="Q45" s="29" t="str"/>
      <x:c r="R45" s="29" t="str"/>
      <x:c r="S45" s="29" t="str"/>
      <x:c r="T45" s="29" t="str"/>
      <x:c r="U45" s="29" t="str"/>
      <x:c r="V45" s="29" t="str">
        <x:f>IF(COUNTIF(G45:P45,"NOT_RUN")=3,"NOT_RUN",IF(AND(D45="APPROVED",E45="APPROVED",F45="APPROVED",G45="PASS",H45="PASS",I45&lt;&gt;"",J45&lt;&gt;"",K45&lt;&gt;"",L45&lt;&gt;"",M45&lt;&gt;"",N45&lt;&gt;"",O45&lt;&gt;"",P45="PASS",Q45&lt;&gt;"",R45&lt;&gt;"",T45&lt;&gt;"",U45&lt;&gt;""),"PASS","HOLD"))</x:f>
        <x:v>NOT_RUN</x:v>
      </x:c>
    </x:row>
  </x:sheetData>
  <x:mergeCells>
    <x:mergeCell ref="A1:V1"/>
    <x:mergeCell ref="A2:V2"/>
  </x:mergeCells>
  <x:conditionalFormatting sqref="V5:V45">
    <x:cfRule type="containsText" dxfId="42" priority="1" operator="containsText" text="PASS"/>
    <x:cfRule type="containsText" dxfId="43" priority="2" operator="containsText" text="READY"/>
    <x:cfRule type="containsText" dxfId="44" priority="3" operator="containsText" text="HOLD"/>
    <x:cfRule type="containsText" dxfId="45" priority="4" operator="containsText" text="OPEN"/>
    <x:cfRule type="containsText" dxfId="46" priority="5" operator="containsText" text="FAIL"/>
    <x:cfRule type="containsText" dxfId="47" priority="6" operator="containsText" text="NOT_RUN"/>
  </x:conditionalFormatting>
  <x:dataValidations count="2">
    <x:dataValidation type="list" sqref="G5:H45">
      <x:formula1>"NOT_RUN,PASS,FAIL,HOLD,N/A"</x:formula1>
    </x:dataValidation>
    <x:dataValidation type="list" sqref="P5:P45">
      <x:formula1>"NOT_RUN,PASS,FAIL,HOLD,N/A"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80cdbf0c6745a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9" hidden="0" customWidth="1"/>
    <x:col min="3" max="3" width="22" hidden="0" customWidth="1"/>
    <x:col min="4" max="4" width="12" hidden="0" customWidth="1"/>
    <x:col min="5" max="5" width="22" hidden="0" customWidth="1"/>
    <x:col min="6" max="6" width="16" hidden="0" customWidth="1"/>
    <x:col min="7" max="7" width="16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15" hidden="0" customWidth="1"/>
    <x:col min="17" max="17" width="14" hidden="0" customWidth="1"/>
    <x:col min="18" max="18" width="38" hidden="0" customWidth="1"/>
    <x:col min="19" max="19" width="15" hidden="0" customWidth="1"/>
    <x:col min="20" max="20" width="18" hidden="0" customWidth="1"/>
    <x:col min="21" max="21" width="18" hidden="0" customWidth="1"/>
  </x:cols>
  <x:sheetData>
    <x:row r="1" ht="28" customHeight="1">
      <x:c r="A1" s="2" t="str">
        <x:v>EOL ЖУРНАЛ ДЛЯ 41 ИДЕНТИЧНОСТИ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34" customHeight="1">
      <x:c r="A2" s="5" t="str">
        <x:v>Eight mandatory result groups plus original evidence, operator and reviewer. Rework requires complete regression EOL. / После ремонта выполняется полный повторный EOL.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4" ht="32" customHeight="1">
      <x:c r="A4" s="25" t="str">
        <x:v>Serial</x:v>
      </x:c>
      <x:c r="B4" s="25" t="str">
        <x:v>Attempt</x:v>
      </x:c>
      <x:c r="C4" s="25" t="str">
        <x:v>Timestamp_UTC</x:v>
      </x:c>
      <x:c r="D4" s="25" t="str">
        <x:v>HW_Rev</x:v>
      </x:c>
      <x:c r="E4" s="25" t="str">
        <x:v>FW_Release</x:v>
      </x:c>
      <x:c r="F4" s="25" t="str">
        <x:v>LoRa_Profile</x:v>
      </x:c>
      <x:c r="G4" s="25" t="str">
        <x:v>Fixture_ID</x:v>
      </x:c>
      <x:c r="H4" s="25" t="str">
        <x:v>Fixture_SW</x:v>
      </x:c>
      <x:c r="I4" s="25" t="str">
        <x:v>Power_Result</x:v>
      </x:c>
      <x:c r="J4" s="25" t="str">
        <x:v>Audio_Result</x:v>
      </x:c>
      <x:c r="K4" s="25" t="str">
        <x:v>Timing_Result</x:v>
      </x:c>
      <x:c r="L4" s="25" t="str">
        <x:v>Cellular_Result</x:v>
      </x:c>
      <x:c r="M4" s="25" t="str">
        <x:v>LoRa_Result</x:v>
      </x:c>
      <x:c r="N4" s="25" t="str">
        <x:v>BLE_Result</x:v>
      </x:c>
      <x:c r="O4" s="25" t="str">
        <x:v>Mechanics_Result</x:v>
      </x:c>
      <x:c r="P4" s="25" t="str">
        <x:v>Record_Result</x:v>
      </x:c>
      <x:c r="Q4" s="25" t="str">
        <x:v>Overall</x:v>
      </x:c>
      <x:c r="R4" s="25" t="str">
        <x:v>Evidence_Directory_SHA256</x:v>
      </x:c>
      <x:c r="S4" s="25" t="str">
        <x:v>Deviation_ID</x:v>
      </x:c>
      <x:c r="T4" s="25" t="str">
        <x:v>Operator</x:v>
      </x:c>
      <x:c r="U4" s="25" t="str">
        <x:v>Reviewer</x:v>
      </x:c>
    </x:row>
    <x:row r="5">
      <x:c r="A5" s="29" t="str">
        <x:v>DIO-EVT-001</x:v>
      </x:c>
      <x:c r="B5" s="29" t="str">
        <x:v>1</x:v>
      </x:c>
      <x:c r="C5" s="29" t="str"/>
      <x:c r="D5" s="29" t="str"/>
      <x:c r="E5" s="29" t="str"/>
      <x:c r="F5" s="29" t="str"/>
      <x:c r="G5" s="29" t="str"/>
      <x:c r="H5" s="29" t="str"/>
      <x:c r="I5" s="29" t="str">
        <x:v>NOT_RUN</x:v>
      </x:c>
      <x:c r="J5" s="29" t="str">
        <x:v>NOT_RUN</x:v>
      </x:c>
      <x:c r="K5" s="29" t="str">
        <x:v>NOT_RUN</x:v>
      </x:c>
      <x:c r="L5" s="29" t="str">
        <x:v>NOT_RUN</x:v>
      </x:c>
      <x:c r="M5" s="29" t="str">
        <x:v>NOT_RUN</x:v>
      </x:c>
      <x:c r="N5" s="29" t="str">
        <x:v>NOT_RUN</x:v>
      </x:c>
      <x:c r="O5" s="29" t="str">
        <x:v>NOT_RUN</x:v>
      </x:c>
      <x:c r="P5" s="29" t="str">
        <x:v>NOT_RUN</x:v>
      </x:c>
      <x:c r="Q5" s="29" t="str">
        <x:f>IF(COUNTIF(I5:P5,"NOT_RUN")=8,"NOT_RUN",IF(AND(COUNTIF(I5:P5,"PASS")=8,R5&lt;&gt;"",T5&lt;&gt;"",U5&lt;&gt;""),"PASS","HOLD"))</x:f>
        <x:v>NOT_RUN</x:v>
      </x:c>
      <x:c r="R5" s="29" t="str"/>
      <x:c r="S5" s="29" t="str"/>
      <x:c r="T5" s="29" t="str"/>
      <x:c r="U5" s="29" t="str"/>
    </x:row>
    <x:row r="6">
      <x:c r="A6" s="29" t="str">
        <x:v>DIO-EVT-002</x:v>
      </x:c>
      <x:c r="B6" s="29" t="str">
        <x:v>1</x:v>
      </x:c>
      <x:c r="C6" s="29" t="str"/>
      <x:c r="D6" s="29" t="str"/>
      <x:c r="E6" s="29" t="str"/>
      <x:c r="F6" s="29" t="str"/>
      <x:c r="G6" s="29" t="str"/>
      <x:c r="H6" s="29" t="str"/>
      <x:c r="I6" s="29" t="str">
        <x:v>NOT_RUN</x:v>
      </x:c>
      <x:c r="J6" s="29" t="str">
        <x:v>NOT_RUN</x:v>
      </x:c>
      <x:c r="K6" s="29" t="str">
        <x:v>NOT_RUN</x:v>
      </x:c>
      <x:c r="L6" s="29" t="str">
        <x:v>NOT_RUN</x:v>
      </x:c>
      <x:c r="M6" s="29" t="str">
        <x:v>NOT_RUN</x:v>
      </x:c>
      <x:c r="N6" s="29" t="str">
        <x:v>NOT_RUN</x:v>
      </x:c>
      <x:c r="O6" s="29" t="str">
        <x:v>NOT_RUN</x:v>
      </x:c>
      <x:c r="P6" s="29" t="str">
        <x:v>NOT_RUN</x:v>
      </x:c>
      <x:c r="Q6" s="29" t="str">
        <x:f>IF(COUNTIF(I6:P6,"NOT_RUN")=8,"NOT_RUN",IF(AND(COUNTIF(I6:P6,"PASS")=8,R6&lt;&gt;"",T6&lt;&gt;"",U6&lt;&gt;""),"PASS","HOLD"))</x:f>
        <x:v>NOT_RUN</x:v>
      </x:c>
      <x:c r="R6" s="29" t="str"/>
      <x:c r="S6" s="29" t="str"/>
      <x:c r="T6" s="29" t="str"/>
      <x:c r="U6" s="29" t="str"/>
    </x:row>
    <x:row r="7">
      <x:c r="A7" s="29" t="str">
        <x:v>DIO-EVT-003</x:v>
      </x:c>
      <x:c r="B7" s="29" t="str">
        <x:v>1</x:v>
      </x:c>
      <x:c r="C7" s="29" t="str"/>
      <x:c r="D7" s="29" t="str"/>
      <x:c r="E7" s="29" t="str"/>
      <x:c r="F7" s="29" t="str"/>
      <x:c r="G7" s="29" t="str"/>
      <x:c r="H7" s="29" t="str"/>
      <x:c r="I7" s="29" t="str">
        <x:v>NOT_RUN</x:v>
      </x:c>
      <x:c r="J7" s="29" t="str">
        <x:v>NOT_RUN</x:v>
      </x:c>
      <x:c r="K7" s="29" t="str">
        <x:v>NOT_RUN</x:v>
      </x:c>
      <x:c r="L7" s="29" t="str">
        <x:v>NOT_RUN</x:v>
      </x:c>
      <x:c r="M7" s="29" t="str">
        <x:v>NOT_RUN</x:v>
      </x:c>
      <x:c r="N7" s="29" t="str">
        <x:v>NOT_RUN</x:v>
      </x:c>
      <x:c r="O7" s="29" t="str">
        <x:v>NOT_RUN</x:v>
      </x:c>
      <x:c r="P7" s="29" t="str">
        <x:v>NOT_RUN</x:v>
      </x:c>
      <x:c r="Q7" s="29" t="str">
        <x:f>IF(COUNTIF(I7:P7,"NOT_RUN")=8,"NOT_RUN",IF(AND(COUNTIF(I7:P7,"PASS")=8,R7&lt;&gt;"",T7&lt;&gt;"",U7&lt;&gt;""),"PASS","HOLD"))</x:f>
        <x:v>NOT_RUN</x:v>
      </x:c>
      <x:c r="R7" s="29" t="str"/>
      <x:c r="S7" s="29" t="str"/>
      <x:c r="T7" s="29" t="str"/>
      <x:c r="U7" s="29" t="str"/>
    </x:row>
    <x:row r="8">
      <x:c r="A8" s="29" t="str">
        <x:v>DIO-EVT-004</x:v>
      </x:c>
      <x:c r="B8" s="29" t="str">
        <x:v>1</x:v>
      </x:c>
      <x:c r="C8" s="29" t="str"/>
      <x:c r="D8" s="29" t="str"/>
      <x:c r="E8" s="29" t="str"/>
      <x:c r="F8" s="29" t="str"/>
      <x:c r="G8" s="29" t="str"/>
      <x:c r="H8" s="29" t="str"/>
      <x:c r="I8" s="29" t="str">
        <x:v>NOT_RUN</x:v>
      </x:c>
      <x:c r="J8" s="29" t="str">
        <x:v>NOT_RUN</x:v>
      </x:c>
      <x:c r="K8" s="29" t="str">
        <x:v>NOT_RUN</x:v>
      </x:c>
      <x:c r="L8" s="29" t="str">
        <x:v>NOT_RUN</x:v>
      </x:c>
      <x:c r="M8" s="29" t="str">
        <x:v>NOT_RUN</x:v>
      </x:c>
      <x:c r="N8" s="29" t="str">
        <x:v>NOT_RUN</x:v>
      </x:c>
      <x:c r="O8" s="29" t="str">
        <x:v>NOT_RUN</x:v>
      </x:c>
      <x:c r="P8" s="29" t="str">
        <x:v>NOT_RUN</x:v>
      </x:c>
      <x:c r="Q8" s="29" t="str">
        <x:f>IF(COUNTIF(I8:P8,"NOT_RUN")=8,"NOT_RUN",IF(AND(COUNTIF(I8:P8,"PASS")=8,R8&lt;&gt;"",T8&lt;&gt;"",U8&lt;&gt;""),"PASS","HOLD"))</x:f>
        <x:v>NOT_RUN</x:v>
      </x:c>
      <x:c r="R8" s="29" t="str"/>
      <x:c r="S8" s="29" t="str"/>
      <x:c r="T8" s="29" t="str"/>
      <x:c r="U8" s="29" t="str"/>
    </x:row>
    <x:row r="9">
      <x:c r="A9" s="29" t="str">
        <x:v>DIO-EVT-005</x:v>
      </x:c>
      <x:c r="B9" s="29" t="str">
        <x:v>1</x:v>
      </x:c>
      <x:c r="C9" s="29" t="str"/>
      <x:c r="D9" s="29" t="str"/>
      <x:c r="E9" s="29" t="str"/>
      <x:c r="F9" s="29" t="str"/>
      <x:c r="G9" s="29" t="str"/>
      <x:c r="H9" s="29" t="str"/>
      <x:c r="I9" s="29" t="str">
        <x:v>NOT_RUN</x:v>
      </x:c>
      <x:c r="J9" s="29" t="str">
        <x:v>NOT_RUN</x:v>
      </x:c>
      <x:c r="K9" s="29" t="str">
        <x:v>NOT_RUN</x:v>
      </x:c>
      <x:c r="L9" s="29" t="str">
        <x:v>NOT_RUN</x:v>
      </x:c>
      <x:c r="M9" s="29" t="str">
        <x:v>NOT_RUN</x:v>
      </x:c>
      <x:c r="N9" s="29" t="str">
        <x:v>NOT_RUN</x:v>
      </x:c>
      <x:c r="O9" s="29" t="str">
        <x:v>NOT_RUN</x:v>
      </x:c>
      <x:c r="P9" s="29" t="str">
        <x:v>NOT_RUN</x:v>
      </x:c>
      <x:c r="Q9" s="29" t="str">
        <x:f>IF(COUNTIF(I9:P9,"NOT_RUN")=8,"NOT_RUN",IF(AND(COUNTIF(I9:P9,"PASS")=8,R9&lt;&gt;"",T9&lt;&gt;"",U9&lt;&gt;""),"PASS","HOLD"))</x:f>
        <x:v>NOT_RUN</x:v>
      </x:c>
      <x:c r="R9" s="29" t="str"/>
      <x:c r="S9" s="29" t="str"/>
      <x:c r="T9" s="29" t="str"/>
      <x:c r="U9" s="29" t="str"/>
    </x:row>
    <x:row r="10">
      <x:c r="A10" s="29" t="str">
        <x:v>DIO-EVT-006</x:v>
      </x:c>
      <x:c r="B10" s="29" t="str">
        <x:v>1</x:v>
      </x:c>
      <x:c r="C10" s="29" t="str"/>
      <x:c r="D10" s="29" t="str"/>
      <x:c r="E10" s="29" t="str"/>
      <x:c r="F10" s="29" t="str"/>
      <x:c r="G10" s="29" t="str"/>
      <x:c r="H10" s="29" t="str"/>
      <x:c r="I10" s="29" t="str">
        <x:v>NOT_RUN</x:v>
      </x:c>
      <x:c r="J10" s="29" t="str">
        <x:v>NOT_RUN</x:v>
      </x:c>
      <x:c r="K10" s="29" t="str">
        <x:v>NOT_RUN</x:v>
      </x:c>
      <x:c r="L10" s="29" t="str">
        <x:v>NOT_RUN</x:v>
      </x:c>
      <x:c r="M10" s="29" t="str">
        <x:v>NOT_RUN</x:v>
      </x:c>
      <x:c r="N10" s="29" t="str">
        <x:v>NOT_RUN</x:v>
      </x:c>
      <x:c r="O10" s="29" t="str">
        <x:v>NOT_RUN</x:v>
      </x:c>
      <x:c r="P10" s="29" t="str">
        <x:v>NOT_RUN</x:v>
      </x:c>
      <x:c r="Q10" s="29" t="str">
        <x:f>IF(COUNTIF(I10:P10,"NOT_RUN")=8,"NOT_RUN",IF(AND(COUNTIF(I10:P10,"PASS")=8,R10&lt;&gt;"",T10&lt;&gt;"",U10&lt;&gt;""),"PASS","HOLD"))</x:f>
        <x:v>NOT_RUN</x:v>
      </x:c>
      <x:c r="R10" s="29" t="str"/>
      <x:c r="S10" s="29" t="str"/>
      <x:c r="T10" s="29" t="str"/>
      <x:c r="U10" s="29" t="str"/>
    </x:row>
    <x:row r="11">
      <x:c r="A11" s="29" t="str">
        <x:v>DIO-EVT-007</x:v>
      </x:c>
      <x:c r="B11" s="29" t="str">
        <x:v>1</x:v>
      </x:c>
      <x:c r="C11" s="29" t="str"/>
      <x:c r="D11" s="29" t="str"/>
      <x:c r="E11" s="29" t="str"/>
      <x:c r="F11" s="29" t="str"/>
      <x:c r="G11" s="29" t="str"/>
      <x:c r="H11" s="29" t="str"/>
      <x:c r="I11" s="29" t="str">
        <x:v>NOT_RUN</x:v>
      </x:c>
      <x:c r="J11" s="29" t="str">
        <x:v>NOT_RUN</x:v>
      </x:c>
      <x:c r="K11" s="29" t="str">
        <x:v>NOT_RUN</x:v>
      </x:c>
      <x:c r="L11" s="29" t="str">
        <x:v>NOT_RUN</x:v>
      </x:c>
      <x:c r="M11" s="29" t="str">
        <x:v>NOT_RUN</x:v>
      </x:c>
      <x:c r="N11" s="29" t="str">
        <x:v>NOT_RUN</x:v>
      </x:c>
      <x:c r="O11" s="29" t="str">
        <x:v>NOT_RUN</x:v>
      </x:c>
      <x:c r="P11" s="29" t="str">
        <x:v>NOT_RUN</x:v>
      </x:c>
      <x:c r="Q11" s="29" t="str">
        <x:f>IF(COUNTIF(I11:P11,"NOT_RUN")=8,"NOT_RUN",IF(AND(COUNTIF(I11:P11,"PASS")=8,R11&lt;&gt;"",T11&lt;&gt;"",U11&lt;&gt;""),"PASS","HOLD"))</x:f>
        <x:v>NOT_RUN</x:v>
      </x:c>
      <x:c r="R11" s="29" t="str"/>
      <x:c r="S11" s="29" t="str"/>
      <x:c r="T11" s="29" t="str"/>
      <x:c r="U11" s="29" t="str"/>
    </x:row>
    <x:row r="12">
      <x:c r="A12" s="29" t="str">
        <x:v>DIO-EVT-008</x:v>
      </x:c>
      <x:c r="B12" s="29" t="str">
        <x:v>1</x:v>
      </x:c>
      <x:c r="C12" s="29" t="str"/>
      <x:c r="D12" s="29" t="str"/>
      <x:c r="E12" s="29" t="str"/>
      <x:c r="F12" s="29" t="str"/>
      <x:c r="G12" s="29" t="str"/>
      <x:c r="H12" s="29" t="str"/>
      <x:c r="I12" s="29" t="str">
        <x:v>NOT_RUN</x:v>
      </x:c>
      <x:c r="J12" s="29" t="str">
        <x:v>NOT_RUN</x:v>
      </x:c>
      <x:c r="K12" s="29" t="str">
        <x:v>NOT_RUN</x:v>
      </x:c>
      <x:c r="L12" s="29" t="str">
        <x:v>NOT_RUN</x:v>
      </x:c>
      <x:c r="M12" s="29" t="str">
        <x:v>NOT_RUN</x:v>
      </x:c>
      <x:c r="N12" s="29" t="str">
        <x:v>NOT_RUN</x:v>
      </x:c>
      <x:c r="O12" s="29" t="str">
        <x:v>NOT_RUN</x:v>
      </x:c>
      <x:c r="P12" s="29" t="str">
        <x:v>NOT_RUN</x:v>
      </x:c>
      <x:c r="Q12" s="29" t="str">
        <x:f>IF(COUNTIF(I12:P12,"NOT_RUN")=8,"NOT_RUN",IF(AND(COUNTIF(I12:P12,"PASS")=8,R12&lt;&gt;"",T12&lt;&gt;"",U12&lt;&gt;""),"PASS","HOLD"))</x:f>
        <x:v>NOT_RUN</x:v>
      </x:c>
      <x:c r="R12" s="29" t="str"/>
      <x:c r="S12" s="29" t="str"/>
      <x:c r="T12" s="29" t="str"/>
      <x:c r="U12" s="29" t="str"/>
    </x:row>
    <x:row r="13">
      <x:c r="A13" s="29" t="str">
        <x:v>DIO-EVT-009</x:v>
      </x:c>
      <x:c r="B13" s="29" t="str">
        <x:v>1</x:v>
      </x:c>
      <x:c r="C13" s="29" t="str"/>
      <x:c r="D13" s="29" t="str"/>
      <x:c r="E13" s="29" t="str"/>
      <x:c r="F13" s="29" t="str"/>
      <x:c r="G13" s="29" t="str"/>
      <x:c r="H13" s="29" t="str"/>
      <x:c r="I13" s="29" t="str">
        <x:v>NOT_RUN</x:v>
      </x:c>
      <x:c r="J13" s="29" t="str">
        <x:v>NOT_RUN</x:v>
      </x:c>
      <x:c r="K13" s="29" t="str">
        <x:v>NOT_RUN</x:v>
      </x:c>
      <x:c r="L13" s="29" t="str">
        <x:v>NOT_RUN</x:v>
      </x:c>
      <x:c r="M13" s="29" t="str">
        <x:v>NOT_RUN</x:v>
      </x:c>
      <x:c r="N13" s="29" t="str">
        <x:v>NOT_RUN</x:v>
      </x:c>
      <x:c r="O13" s="29" t="str">
        <x:v>NOT_RUN</x:v>
      </x:c>
      <x:c r="P13" s="29" t="str">
        <x:v>NOT_RUN</x:v>
      </x:c>
      <x:c r="Q13" s="29" t="str">
        <x:f>IF(COUNTIF(I13:P13,"NOT_RUN")=8,"NOT_RUN",IF(AND(COUNTIF(I13:P13,"PASS")=8,R13&lt;&gt;"",T13&lt;&gt;"",U13&lt;&gt;""),"PASS","HOLD"))</x:f>
        <x:v>NOT_RUN</x:v>
      </x:c>
      <x:c r="R13" s="29" t="str"/>
      <x:c r="S13" s="29" t="str"/>
      <x:c r="T13" s="29" t="str"/>
      <x:c r="U13" s="29" t="str"/>
    </x:row>
    <x:row r="14">
      <x:c r="A14" s="29" t="str">
        <x:v>DIO-EVT-010</x:v>
      </x:c>
      <x:c r="B14" s="29" t="str">
        <x:v>1</x:v>
      </x:c>
      <x:c r="C14" s="29" t="str"/>
      <x:c r="D14" s="29" t="str"/>
      <x:c r="E14" s="29" t="str"/>
      <x:c r="F14" s="29" t="str"/>
      <x:c r="G14" s="29" t="str"/>
      <x:c r="H14" s="29" t="str"/>
      <x:c r="I14" s="29" t="str">
        <x:v>NOT_RUN</x:v>
      </x:c>
      <x:c r="J14" s="29" t="str">
        <x:v>NOT_RUN</x:v>
      </x:c>
      <x:c r="K14" s="29" t="str">
        <x:v>NOT_RUN</x:v>
      </x:c>
      <x:c r="L14" s="29" t="str">
        <x:v>NOT_RUN</x:v>
      </x:c>
      <x:c r="M14" s="29" t="str">
        <x:v>NOT_RUN</x:v>
      </x:c>
      <x:c r="N14" s="29" t="str">
        <x:v>NOT_RUN</x:v>
      </x:c>
      <x:c r="O14" s="29" t="str">
        <x:v>NOT_RUN</x:v>
      </x:c>
      <x:c r="P14" s="29" t="str">
        <x:v>NOT_RUN</x:v>
      </x:c>
      <x:c r="Q14" s="29" t="str">
        <x:f>IF(COUNTIF(I14:P14,"NOT_RUN")=8,"NOT_RUN",IF(AND(COUNTIF(I14:P14,"PASS")=8,R14&lt;&gt;"",T14&lt;&gt;"",U14&lt;&gt;""),"PASS","HOLD"))</x:f>
        <x:v>NOT_RUN</x:v>
      </x:c>
      <x:c r="R14" s="29" t="str"/>
      <x:c r="S14" s="29" t="str"/>
      <x:c r="T14" s="29" t="str"/>
      <x:c r="U14" s="29" t="str"/>
    </x:row>
    <x:row r="15">
      <x:c r="A15" s="29" t="str">
        <x:v>DIO-EVT-011</x:v>
      </x:c>
      <x:c r="B15" s="29" t="str">
        <x:v>1</x:v>
      </x:c>
      <x:c r="C15" s="29" t="str"/>
      <x:c r="D15" s="29" t="str"/>
      <x:c r="E15" s="29" t="str"/>
      <x:c r="F15" s="29" t="str"/>
      <x:c r="G15" s="29" t="str"/>
      <x:c r="H15" s="29" t="str"/>
      <x:c r="I15" s="29" t="str">
        <x:v>NOT_RUN</x:v>
      </x:c>
      <x:c r="J15" s="29" t="str">
        <x:v>NOT_RUN</x:v>
      </x:c>
      <x:c r="K15" s="29" t="str">
        <x:v>NOT_RUN</x:v>
      </x:c>
      <x:c r="L15" s="29" t="str">
        <x:v>NOT_RUN</x:v>
      </x:c>
      <x:c r="M15" s="29" t="str">
        <x:v>NOT_RUN</x:v>
      </x:c>
      <x:c r="N15" s="29" t="str">
        <x:v>NOT_RUN</x:v>
      </x:c>
      <x:c r="O15" s="29" t="str">
        <x:v>NOT_RUN</x:v>
      </x:c>
      <x:c r="P15" s="29" t="str">
        <x:v>NOT_RUN</x:v>
      </x:c>
      <x:c r="Q15" s="29" t="str">
        <x:f>IF(COUNTIF(I15:P15,"NOT_RUN")=8,"NOT_RUN",IF(AND(COUNTIF(I15:P15,"PASS")=8,R15&lt;&gt;"",T15&lt;&gt;"",U15&lt;&gt;""),"PASS","HOLD"))</x:f>
        <x:v>NOT_RUN</x:v>
      </x:c>
      <x:c r="R15" s="29" t="str"/>
      <x:c r="S15" s="29" t="str"/>
      <x:c r="T15" s="29" t="str"/>
      <x:c r="U15" s="29" t="str"/>
    </x:row>
    <x:row r="16">
      <x:c r="A16" s="29" t="str">
        <x:v>DIO-EVT-012</x:v>
      </x:c>
      <x:c r="B16" s="29" t="str">
        <x:v>1</x:v>
      </x:c>
      <x:c r="C16" s="29" t="str"/>
      <x:c r="D16" s="29" t="str"/>
      <x:c r="E16" s="29" t="str"/>
      <x:c r="F16" s="29" t="str"/>
      <x:c r="G16" s="29" t="str"/>
      <x:c r="H16" s="29" t="str"/>
      <x:c r="I16" s="29" t="str">
        <x:v>NOT_RUN</x:v>
      </x:c>
      <x:c r="J16" s="29" t="str">
        <x:v>NOT_RUN</x:v>
      </x:c>
      <x:c r="K16" s="29" t="str">
        <x:v>NOT_RUN</x:v>
      </x:c>
      <x:c r="L16" s="29" t="str">
        <x:v>NOT_RUN</x:v>
      </x:c>
      <x:c r="M16" s="29" t="str">
        <x:v>NOT_RUN</x:v>
      </x:c>
      <x:c r="N16" s="29" t="str">
        <x:v>NOT_RUN</x:v>
      </x:c>
      <x:c r="O16" s="29" t="str">
        <x:v>NOT_RUN</x:v>
      </x:c>
      <x:c r="P16" s="29" t="str">
        <x:v>NOT_RUN</x:v>
      </x:c>
      <x:c r="Q16" s="29" t="str">
        <x:f>IF(COUNTIF(I16:P16,"NOT_RUN")=8,"NOT_RUN",IF(AND(COUNTIF(I16:P16,"PASS")=8,R16&lt;&gt;"",T16&lt;&gt;"",U16&lt;&gt;""),"PASS","HOLD"))</x:f>
        <x:v>NOT_RUN</x:v>
      </x:c>
      <x:c r="R16" s="29" t="str"/>
      <x:c r="S16" s="29" t="str"/>
      <x:c r="T16" s="29" t="str"/>
      <x:c r="U16" s="29" t="str"/>
    </x:row>
    <x:row r="17">
      <x:c r="A17" s="29" t="str">
        <x:v>DIO-EVT-013</x:v>
      </x:c>
      <x:c r="B17" s="29" t="str">
        <x:v>1</x:v>
      </x:c>
      <x:c r="C17" s="29" t="str"/>
      <x:c r="D17" s="29" t="str"/>
      <x:c r="E17" s="29" t="str"/>
      <x:c r="F17" s="29" t="str"/>
      <x:c r="G17" s="29" t="str"/>
      <x:c r="H17" s="29" t="str"/>
      <x:c r="I17" s="29" t="str">
        <x:v>NOT_RUN</x:v>
      </x:c>
      <x:c r="J17" s="29" t="str">
        <x:v>NOT_RUN</x:v>
      </x:c>
      <x:c r="K17" s="29" t="str">
        <x:v>NOT_RUN</x:v>
      </x:c>
      <x:c r="L17" s="29" t="str">
        <x:v>NOT_RUN</x:v>
      </x:c>
      <x:c r="M17" s="29" t="str">
        <x:v>NOT_RUN</x:v>
      </x:c>
      <x:c r="N17" s="29" t="str">
        <x:v>NOT_RUN</x:v>
      </x:c>
      <x:c r="O17" s="29" t="str">
        <x:v>NOT_RUN</x:v>
      </x:c>
      <x:c r="P17" s="29" t="str">
        <x:v>NOT_RUN</x:v>
      </x:c>
      <x:c r="Q17" s="29" t="str">
        <x:f>IF(COUNTIF(I17:P17,"NOT_RUN")=8,"NOT_RUN",IF(AND(COUNTIF(I17:P17,"PASS")=8,R17&lt;&gt;"",T17&lt;&gt;"",U17&lt;&gt;""),"PASS","HOLD"))</x:f>
        <x:v>NOT_RUN</x:v>
      </x:c>
      <x:c r="R17" s="29" t="str"/>
      <x:c r="S17" s="29" t="str"/>
      <x:c r="T17" s="29" t="str"/>
      <x:c r="U17" s="29" t="str"/>
    </x:row>
    <x:row r="18">
      <x:c r="A18" s="29" t="str">
        <x:v>DIO-EVT-014</x:v>
      </x:c>
      <x:c r="B18" s="29" t="str">
        <x:v>1</x:v>
      </x:c>
      <x:c r="C18" s="29" t="str"/>
      <x:c r="D18" s="29" t="str"/>
      <x:c r="E18" s="29" t="str"/>
      <x:c r="F18" s="29" t="str"/>
      <x:c r="G18" s="29" t="str"/>
      <x:c r="H18" s="29" t="str"/>
      <x:c r="I18" s="29" t="str">
        <x:v>NOT_RUN</x:v>
      </x:c>
      <x:c r="J18" s="29" t="str">
        <x:v>NOT_RUN</x:v>
      </x:c>
      <x:c r="K18" s="29" t="str">
        <x:v>NOT_RUN</x:v>
      </x:c>
      <x:c r="L18" s="29" t="str">
        <x:v>NOT_RUN</x:v>
      </x:c>
      <x:c r="M18" s="29" t="str">
        <x:v>NOT_RUN</x:v>
      </x:c>
      <x:c r="N18" s="29" t="str">
        <x:v>NOT_RUN</x:v>
      </x:c>
      <x:c r="O18" s="29" t="str">
        <x:v>NOT_RUN</x:v>
      </x:c>
      <x:c r="P18" s="29" t="str">
        <x:v>NOT_RUN</x:v>
      </x:c>
      <x:c r="Q18" s="29" t="str">
        <x:f>IF(COUNTIF(I18:P18,"NOT_RUN")=8,"NOT_RUN",IF(AND(COUNTIF(I18:P18,"PASS")=8,R18&lt;&gt;"",T18&lt;&gt;"",U18&lt;&gt;""),"PASS","HOLD"))</x:f>
        <x:v>NOT_RUN</x:v>
      </x:c>
      <x:c r="R18" s="29" t="str"/>
      <x:c r="S18" s="29" t="str"/>
      <x:c r="T18" s="29" t="str"/>
      <x:c r="U18" s="29" t="str"/>
    </x:row>
    <x:row r="19">
      <x:c r="A19" s="29" t="str">
        <x:v>DIO-EVT-015</x:v>
      </x:c>
      <x:c r="B19" s="29" t="str">
        <x:v>1</x:v>
      </x:c>
      <x:c r="C19" s="29" t="str"/>
      <x:c r="D19" s="29" t="str"/>
      <x:c r="E19" s="29" t="str"/>
      <x:c r="F19" s="29" t="str"/>
      <x:c r="G19" s="29" t="str"/>
      <x:c r="H19" s="29" t="str"/>
      <x:c r="I19" s="29" t="str">
        <x:v>NOT_RUN</x:v>
      </x:c>
      <x:c r="J19" s="29" t="str">
        <x:v>NOT_RUN</x:v>
      </x:c>
      <x:c r="K19" s="29" t="str">
        <x:v>NOT_RUN</x:v>
      </x:c>
      <x:c r="L19" s="29" t="str">
        <x:v>NOT_RUN</x:v>
      </x:c>
      <x:c r="M19" s="29" t="str">
        <x:v>NOT_RUN</x:v>
      </x:c>
      <x:c r="N19" s="29" t="str">
        <x:v>NOT_RUN</x:v>
      </x:c>
      <x:c r="O19" s="29" t="str">
        <x:v>NOT_RUN</x:v>
      </x:c>
      <x:c r="P19" s="29" t="str">
        <x:v>NOT_RUN</x:v>
      </x:c>
      <x:c r="Q19" s="29" t="str">
        <x:f>IF(COUNTIF(I19:P19,"NOT_RUN")=8,"NOT_RUN",IF(AND(COUNTIF(I19:P19,"PASS")=8,R19&lt;&gt;"",T19&lt;&gt;"",U19&lt;&gt;""),"PASS","HOLD"))</x:f>
        <x:v>NOT_RUN</x:v>
      </x:c>
      <x:c r="R19" s="29" t="str"/>
      <x:c r="S19" s="29" t="str"/>
      <x:c r="T19" s="29" t="str"/>
      <x:c r="U19" s="29" t="str"/>
    </x:row>
    <x:row r="20">
      <x:c r="A20" s="29" t="str">
        <x:v>DIO-EVT-016</x:v>
      </x:c>
      <x:c r="B20" s="29" t="str">
        <x:v>1</x:v>
      </x:c>
      <x:c r="C20" s="29" t="str"/>
      <x:c r="D20" s="29" t="str"/>
      <x:c r="E20" s="29" t="str"/>
      <x:c r="F20" s="29" t="str"/>
      <x:c r="G20" s="29" t="str"/>
      <x:c r="H20" s="29" t="str"/>
      <x:c r="I20" s="29" t="str">
        <x:v>NOT_RUN</x:v>
      </x:c>
      <x:c r="J20" s="29" t="str">
        <x:v>NOT_RUN</x:v>
      </x:c>
      <x:c r="K20" s="29" t="str">
        <x:v>NOT_RUN</x:v>
      </x:c>
      <x:c r="L20" s="29" t="str">
        <x:v>NOT_RUN</x:v>
      </x:c>
      <x:c r="M20" s="29" t="str">
        <x:v>NOT_RUN</x:v>
      </x:c>
      <x:c r="N20" s="29" t="str">
        <x:v>NOT_RUN</x:v>
      </x:c>
      <x:c r="O20" s="29" t="str">
        <x:v>NOT_RUN</x:v>
      </x:c>
      <x:c r="P20" s="29" t="str">
        <x:v>NOT_RUN</x:v>
      </x:c>
      <x:c r="Q20" s="29" t="str">
        <x:f>IF(COUNTIF(I20:P20,"NOT_RUN")=8,"NOT_RUN",IF(AND(COUNTIF(I20:P20,"PASS")=8,R20&lt;&gt;"",T20&lt;&gt;"",U20&lt;&gt;""),"PASS","HOLD"))</x:f>
        <x:v>NOT_RUN</x:v>
      </x:c>
      <x:c r="R20" s="29" t="str"/>
      <x:c r="S20" s="29" t="str"/>
      <x:c r="T20" s="29" t="str"/>
      <x:c r="U20" s="29" t="str"/>
    </x:row>
    <x:row r="21">
      <x:c r="A21" s="29" t="str">
        <x:v>DIO-EVT-017</x:v>
      </x:c>
      <x:c r="B21" s="29" t="str">
        <x:v>1</x:v>
      </x:c>
      <x:c r="C21" s="29" t="str"/>
      <x:c r="D21" s="29" t="str"/>
      <x:c r="E21" s="29" t="str"/>
      <x:c r="F21" s="29" t="str"/>
      <x:c r="G21" s="29" t="str"/>
      <x:c r="H21" s="29" t="str"/>
      <x:c r="I21" s="29" t="str">
        <x:v>NOT_RUN</x:v>
      </x:c>
      <x:c r="J21" s="29" t="str">
        <x:v>NOT_RUN</x:v>
      </x:c>
      <x:c r="K21" s="29" t="str">
        <x:v>NOT_RUN</x:v>
      </x:c>
      <x:c r="L21" s="29" t="str">
        <x:v>NOT_RUN</x:v>
      </x:c>
      <x:c r="M21" s="29" t="str">
        <x:v>NOT_RUN</x:v>
      </x:c>
      <x:c r="N21" s="29" t="str">
        <x:v>NOT_RUN</x:v>
      </x:c>
      <x:c r="O21" s="29" t="str">
        <x:v>NOT_RUN</x:v>
      </x:c>
      <x:c r="P21" s="29" t="str">
        <x:v>NOT_RUN</x:v>
      </x:c>
      <x:c r="Q21" s="29" t="str">
        <x:f>IF(COUNTIF(I21:P21,"NOT_RUN")=8,"NOT_RUN",IF(AND(COUNTIF(I21:P21,"PASS")=8,R21&lt;&gt;"",T21&lt;&gt;"",U21&lt;&gt;""),"PASS","HOLD"))</x:f>
        <x:v>NOT_RUN</x:v>
      </x:c>
      <x:c r="R21" s="29" t="str"/>
      <x:c r="S21" s="29" t="str"/>
      <x:c r="T21" s="29" t="str"/>
      <x:c r="U21" s="29" t="str"/>
    </x:row>
    <x:row r="22">
      <x:c r="A22" s="29" t="str">
        <x:v>DIO-EVT-018</x:v>
      </x:c>
      <x:c r="B22" s="29" t="str">
        <x:v>1</x:v>
      </x:c>
      <x:c r="C22" s="29" t="str"/>
      <x:c r="D22" s="29" t="str"/>
      <x:c r="E22" s="29" t="str"/>
      <x:c r="F22" s="29" t="str"/>
      <x:c r="G22" s="29" t="str"/>
      <x:c r="H22" s="29" t="str"/>
      <x:c r="I22" s="29" t="str">
        <x:v>NOT_RUN</x:v>
      </x:c>
      <x:c r="J22" s="29" t="str">
        <x:v>NOT_RUN</x:v>
      </x:c>
      <x:c r="K22" s="29" t="str">
        <x:v>NOT_RUN</x:v>
      </x:c>
      <x:c r="L22" s="29" t="str">
        <x:v>NOT_RUN</x:v>
      </x:c>
      <x:c r="M22" s="29" t="str">
        <x:v>NOT_RUN</x:v>
      </x:c>
      <x:c r="N22" s="29" t="str">
        <x:v>NOT_RUN</x:v>
      </x:c>
      <x:c r="O22" s="29" t="str">
        <x:v>NOT_RUN</x:v>
      </x:c>
      <x:c r="P22" s="29" t="str">
        <x:v>NOT_RUN</x:v>
      </x:c>
      <x:c r="Q22" s="29" t="str">
        <x:f>IF(COUNTIF(I22:P22,"NOT_RUN")=8,"NOT_RUN",IF(AND(COUNTIF(I22:P22,"PASS")=8,R22&lt;&gt;"",T22&lt;&gt;"",U22&lt;&gt;""),"PASS","HOLD"))</x:f>
        <x:v>NOT_RUN</x:v>
      </x:c>
      <x:c r="R22" s="29" t="str"/>
      <x:c r="S22" s="29" t="str"/>
      <x:c r="T22" s="29" t="str"/>
      <x:c r="U22" s="29" t="str"/>
    </x:row>
    <x:row r="23">
      <x:c r="A23" s="29" t="str">
        <x:v>DIO-EVT-019</x:v>
      </x:c>
      <x:c r="B23" s="29" t="str">
        <x:v>1</x:v>
      </x:c>
      <x:c r="C23" s="29" t="str"/>
      <x:c r="D23" s="29" t="str"/>
      <x:c r="E23" s="29" t="str"/>
      <x:c r="F23" s="29" t="str"/>
      <x:c r="G23" s="29" t="str"/>
      <x:c r="H23" s="29" t="str"/>
      <x:c r="I23" s="29" t="str">
        <x:v>NOT_RUN</x:v>
      </x:c>
      <x:c r="J23" s="29" t="str">
        <x:v>NOT_RUN</x:v>
      </x:c>
      <x:c r="K23" s="29" t="str">
        <x:v>NOT_RUN</x:v>
      </x:c>
      <x:c r="L23" s="29" t="str">
        <x:v>NOT_RUN</x:v>
      </x:c>
      <x:c r="M23" s="29" t="str">
        <x:v>NOT_RUN</x:v>
      </x:c>
      <x:c r="N23" s="29" t="str">
        <x:v>NOT_RUN</x:v>
      </x:c>
      <x:c r="O23" s="29" t="str">
        <x:v>NOT_RUN</x:v>
      </x:c>
      <x:c r="P23" s="29" t="str">
        <x:v>NOT_RUN</x:v>
      </x:c>
      <x:c r="Q23" s="29" t="str">
        <x:f>IF(COUNTIF(I23:P23,"NOT_RUN")=8,"NOT_RUN",IF(AND(COUNTIF(I23:P23,"PASS")=8,R23&lt;&gt;"",T23&lt;&gt;"",U23&lt;&gt;""),"PASS","HOLD"))</x:f>
        <x:v>NOT_RUN</x:v>
      </x:c>
      <x:c r="R23" s="29" t="str"/>
      <x:c r="S23" s="29" t="str"/>
      <x:c r="T23" s="29" t="str"/>
      <x:c r="U23" s="29" t="str"/>
    </x:row>
    <x:row r="24">
      <x:c r="A24" s="29" t="str">
        <x:v>DIO-EVT-020</x:v>
      </x:c>
      <x:c r="B24" s="29" t="str">
        <x:v>1</x:v>
      </x:c>
      <x:c r="C24" s="29" t="str"/>
      <x:c r="D24" s="29" t="str"/>
      <x:c r="E24" s="29" t="str"/>
      <x:c r="F24" s="29" t="str"/>
      <x:c r="G24" s="29" t="str"/>
      <x:c r="H24" s="29" t="str"/>
      <x:c r="I24" s="29" t="str">
        <x:v>NOT_RUN</x:v>
      </x:c>
      <x:c r="J24" s="29" t="str">
        <x:v>NOT_RUN</x:v>
      </x:c>
      <x:c r="K24" s="29" t="str">
        <x:v>NOT_RUN</x:v>
      </x:c>
      <x:c r="L24" s="29" t="str">
        <x:v>NOT_RUN</x:v>
      </x:c>
      <x:c r="M24" s="29" t="str">
        <x:v>NOT_RUN</x:v>
      </x:c>
      <x:c r="N24" s="29" t="str">
        <x:v>NOT_RUN</x:v>
      </x:c>
      <x:c r="O24" s="29" t="str">
        <x:v>NOT_RUN</x:v>
      </x:c>
      <x:c r="P24" s="29" t="str">
        <x:v>NOT_RUN</x:v>
      </x:c>
      <x:c r="Q24" s="29" t="str">
        <x:f>IF(COUNTIF(I24:P24,"NOT_RUN")=8,"NOT_RUN",IF(AND(COUNTIF(I24:P24,"PASS")=8,R24&lt;&gt;"",T24&lt;&gt;"",U24&lt;&gt;""),"PASS","HOLD"))</x:f>
        <x:v>NOT_RUN</x:v>
      </x:c>
      <x:c r="R24" s="29" t="str"/>
      <x:c r="S24" s="29" t="str"/>
      <x:c r="T24" s="29" t="str"/>
      <x:c r="U24" s="29" t="str"/>
    </x:row>
    <x:row r="25">
      <x:c r="A25" s="29" t="str">
        <x:v>DIO-EVT-021</x:v>
      </x:c>
      <x:c r="B25" s="29" t="str">
        <x:v>1</x:v>
      </x:c>
      <x:c r="C25" s="29" t="str"/>
      <x:c r="D25" s="29" t="str"/>
      <x:c r="E25" s="29" t="str"/>
      <x:c r="F25" s="29" t="str"/>
      <x:c r="G25" s="29" t="str"/>
      <x:c r="H25" s="29" t="str"/>
      <x:c r="I25" s="29" t="str">
        <x:v>NOT_RUN</x:v>
      </x:c>
      <x:c r="J25" s="29" t="str">
        <x:v>NOT_RUN</x:v>
      </x:c>
      <x:c r="K25" s="29" t="str">
        <x:v>NOT_RUN</x:v>
      </x:c>
      <x:c r="L25" s="29" t="str">
        <x:v>NOT_RUN</x:v>
      </x:c>
      <x:c r="M25" s="29" t="str">
        <x:v>NOT_RUN</x:v>
      </x:c>
      <x:c r="N25" s="29" t="str">
        <x:v>NOT_RUN</x:v>
      </x:c>
      <x:c r="O25" s="29" t="str">
        <x:v>NOT_RUN</x:v>
      </x:c>
      <x:c r="P25" s="29" t="str">
        <x:v>NOT_RUN</x:v>
      </x:c>
      <x:c r="Q25" s="29" t="str">
        <x:f>IF(COUNTIF(I25:P25,"NOT_RUN")=8,"NOT_RUN",IF(AND(COUNTIF(I25:P25,"PASS")=8,R25&lt;&gt;"",T25&lt;&gt;"",U25&lt;&gt;""),"PASS","HOLD"))</x:f>
        <x:v>NOT_RUN</x:v>
      </x:c>
      <x:c r="R25" s="29" t="str"/>
      <x:c r="S25" s="29" t="str"/>
      <x:c r="T25" s="29" t="str"/>
      <x:c r="U25" s="29" t="str"/>
    </x:row>
    <x:row r="26">
      <x:c r="A26" s="29" t="str">
        <x:v>DIO-EVT-022</x:v>
      </x:c>
      <x:c r="B26" s="29" t="str">
        <x:v>1</x:v>
      </x:c>
      <x:c r="C26" s="29" t="str"/>
      <x:c r="D26" s="29" t="str"/>
      <x:c r="E26" s="29" t="str"/>
      <x:c r="F26" s="29" t="str"/>
      <x:c r="G26" s="29" t="str"/>
      <x:c r="H26" s="29" t="str"/>
      <x:c r="I26" s="29" t="str">
        <x:v>NOT_RUN</x:v>
      </x:c>
      <x:c r="J26" s="29" t="str">
        <x:v>NOT_RUN</x:v>
      </x:c>
      <x:c r="K26" s="29" t="str">
        <x:v>NOT_RUN</x:v>
      </x:c>
      <x:c r="L26" s="29" t="str">
        <x:v>NOT_RUN</x:v>
      </x:c>
      <x:c r="M26" s="29" t="str">
        <x:v>NOT_RUN</x:v>
      </x:c>
      <x:c r="N26" s="29" t="str">
        <x:v>NOT_RUN</x:v>
      </x:c>
      <x:c r="O26" s="29" t="str">
        <x:v>NOT_RUN</x:v>
      </x:c>
      <x:c r="P26" s="29" t="str">
        <x:v>NOT_RUN</x:v>
      </x:c>
      <x:c r="Q26" s="29" t="str">
        <x:f>IF(COUNTIF(I26:P26,"NOT_RUN")=8,"NOT_RUN",IF(AND(COUNTIF(I26:P26,"PASS")=8,R26&lt;&gt;"",T26&lt;&gt;"",U26&lt;&gt;""),"PASS","HOLD"))</x:f>
        <x:v>NOT_RUN</x:v>
      </x:c>
      <x:c r="R26" s="29" t="str"/>
      <x:c r="S26" s="29" t="str"/>
      <x:c r="T26" s="29" t="str"/>
      <x:c r="U26" s="29" t="str"/>
    </x:row>
    <x:row r="27">
      <x:c r="A27" s="29" t="str">
        <x:v>DIO-EVT-023</x:v>
      </x:c>
      <x:c r="B27" s="29" t="str">
        <x:v>1</x:v>
      </x:c>
      <x:c r="C27" s="29" t="str"/>
      <x:c r="D27" s="29" t="str"/>
      <x:c r="E27" s="29" t="str"/>
      <x:c r="F27" s="29" t="str"/>
      <x:c r="G27" s="29" t="str"/>
      <x:c r="H27" s="29" t="str"/>
      <x:c r="I27" s="29" t="str">
        <x:v>NOT_RUN</x:v>
      </x:c>
      <x:c r="J27" s="29" t="str">
        <x:v>NOT_RUN</x:v>
      </x:c>
      <x:c r="K27" s="29" t="str">
        <x:v>NOT_RUN</x:v>
      </x:c>
      <x:c r="L27" s="29" t="str">
        <x:v>NOT_RUN</x:v>
      </x:c>
      <x:c r="M27" s="29" t="str">
        <x:v>NOT_RUN</x:v>
      </x:c>
      <x:c r="N27" s="29" t="str">
        <x:v>NOT_RUN</x:v>
      </x:c>
      <x:c r="O27" s="29" t="str">
        <x:v>NOT_RUN</x:v>
      </x:c>
      <x:c r="P27" s="29" t="str">
        <x:v>NOT_RUN</x:v>
      </x:c>
      <x:c r="Q27" s="29" t="str">
        <x:f>IF(COUNTIF(I27:P27,"NOT_RUN")=8,"NOT_RUN",IF(AND(COUNTIF(I27:P27,"PASS")=8,R27&lt;&gt;"",T27&lt;&gt;"",U27&lt;&gt;""),"PASS","HOLD"))</x:f>
        <x:v>NOT_RUN</x:v>
      </x:c>
      <x:c r="R27" s="29" t="str"/>
      <x:c r="S27" s="29" t="str"/>
      <x:c r="T27" s="29" t="str"/>
      <x:c r="U27" s="29" t="str"/>
    </x:row>
    <x:row r="28">
      <x:c r="A28" s="29" t="str">
        <x:v>DIO-EVT-024</x:v>
      </x:c>
      <x:c r="B28" s="29" t="str">
        <x:v>1</x:v>
      </x:c>
      <x:c r="C28" s="29" t="str"/>
      <x:c r="D28" s="29" t="str"/>
      <x:c r="E28" s="29" t="str"/>
      <x:c r="F28" s="29" t="str"/>
      <x:c r="G28" s="29" t="str"/>
      <x:c r="H28" s="29" t="str"/>
      <x:c r="I28" s="29" t="str">
        <x:v>NOT_RUN</x:v>
      </x:c>
      <x:c r="J28" s="29" t="str">
        <x:v>NOT_RUN</x:v>
      </x:c>
      <x:c r="K28" s="29" t="str">
        <x:v>NOT_RUN</x:v>
      </x:c>
      <x:c r="L28" s="29" t="str">
        <x:v>NOT_RUN</x:v>
      </x:c>
      <x:c r="M28" s="29" t="str">
        <x:v>NOT_RUN</x:v>
      </x:c>
      <x:c r="N28" s="29" t="str">
        <x:v>NOT_RUN</x:v>
      </x:c>
      <x:c r="O28" s="29" t="str">
        <x:v>NOT_RUN</x:v>
      </x:c>
      <x:c r="P28" s="29" t="str">
        <x:v>NOT_RUN</x:v>
      </x:c>
      <x:c r="Q28" s="29" t="str">
        <x:f>IF(COUNTIF(I28:P28,"NOT_RUN")=8,"NOT_RUN",IF(AND(COUNTIF(I28:P28,"PASS")=8,R28&lt;&gt;"",T28&lt;&gt;"",U28&lt;&gt;""),"PASS","HOLD"))</x:f>
        <x:v>NOT_RUN</x:v>
      </x:c>
      <x:c r="R28" s="29" t="str"/>
      <x:c r="S28" s="29" t="str"/>
      <x:c r="T28" s="29" t="str"/>
      <x:c r="U28" s="29" t="str"/>
    </x:row>
    <x:row r="29">
      <x:c r="A29" s="29" t="str">
        <x:v>DIO-EVT-025</x:v>
      </x:c>
      <x:c r="B29" s="29" t="str">
        <x:v>1</x:v>
      </x:c>
      <x:c r="C29" s="29" t="str"/>
      <x:c r="D29" s="29" t="str"/>
      <x:c r="E29" s="29" t="str"/>
      <x:c r="F29" s="29" t="str"/>
      <x:c r="G29" s="29" t="str"/>
      <x:c r="H29" s="29" t="str"/>
      <x:c r="I29" s="29" t="str">
        <x:v>NOT_RUN</x:v>
      </x:c>
      <x:c r="J29" s="29" t="str">
        <x:v>NOT_RUN</x:v>
      </x:c>
      <x:c r="K29" s="29" t="str">
        <x:v>NOT_RUN</x:v>
      </x:c>
      <x:c r="L29" s="29" t="str">
        <x:v>NOT_RUN</x:v>
      </x:c>
      <x:c r="M29" s="29" t="str">
        <x:v>NOT_RUN</x:v>
      </x:c>
      <x:c r="N29" s="29" t="str">
        <x:v>NOT_RUN</x:v>
      </x:c>
      <x:c r="O29" s="29" t="str">
        <x:v>NOT_RUN</x:v>
      </x:c>
      <x:c r="P29" s="29" t="str">
        <x:v>NOT_RUN</x:v>
      </x:c>
      <x:c r="Q29" s="29" t="str">
        <x:f>IF(COUNTIF(I29:P29,"NOT_RUN")=8,"NOT_RUN",IF(AND(COUNTIF(I29:P29,"PASS")=8,R29&lt;&gt;"",T29&lt;&gt;"",U29&lt;&gt;""),"PASS","HOLD"))</x:f>
        <x:v>NOT_RUN</x:v>
      </x:c>
      <x:c r="R29" s="29" t="str"/>
      <x:c r="S29" s="29" t="str"/>
      <x:c r="T29" s="29" t="str"/>
      <x:c r="U29" s="29" t="str"/>
    </x:row>
    <x:row r="30">
      <x:c r="A30" s="29" t="str">
        <x:v>DIO-EVT-026</x:v>
      </x:c>
      <x:c r="B30" s="29" t="str">
        <x:v>1</x:v>
      </x:c>
      <x:c r="C30" s="29" t="str"/>
      <x:c r="D30" s="29" t="str"/>
      <x:c r="E30" s="29" t="str"/>
      <x:c r="F30" s="29" t="str"/>
      <x:c r="G30" s="29" t="str"/>
      <x:c r="H30" s="29" t="str"/>
      <x:c r="I30" s="29" t="str">
        <x:v>NOT_RUN</x:v>
      </x:c>
      <x:c r="J30" s="29" t="str">
        <x:v>NOT_RUN</x:v>
      </x:c>
      <x:c r="K30" s="29" t="str">
        <x:v>NOT_RUN</x:v>
      </x:c>
      <x:c r="L30" s="29" t="str">
        <x:v>NOT_RUN</x:v>
      </x:c>
      <x:c r="M30" s="29" t="str">
        <x:v>NOT_RUN</x:v>
      </x:c>
      <x:c r="N30" s="29" t="str">
        <x:v>NOT_RUN</x:v>
      </x:c>
      <x:c r="O30" s="29" t="str">
        <x:v>NOT_RUN</x:v>
      </x:c>
      <x:c r="P30" s="29" t="str">
        <x:v>NOT_RUN</x:v>
      </x:c>
      <x:c r="Q30" s="29" t="str">
        <x:f>IF(COUNTIF(I30:P30,"NOT_RUN")=8,"NOT_RUN",IF(AND(COUNTIF(I30:P30,"PASS")=8,R30&lt;&gt;"",T30&lt;&gt;"",U30&lt;&gt;""),"PASS","HOLD"))</x:f>
        <x:v>NOT_RUN</x:v>
      </x:c>
      <x:c r="R30" s="29" t="str"/>
      <x:c r="S30" s="29" t="str"/>
      <x:c r="T30" s="29" t="str"/>
      <x:c r="U30" s="29" t="str"/>
    </x:row>
    <x:row r="31">
      <x:c r="A31" s="29" t="str">
        <x:v>DIO-EVT-027</x:v>
      </x:c>
      <x:c r="B31" s="29" t="str">
        <x:v>1</x:v>
      </x:c>
      <x:c r="C31" s="29" t="str"/>
      <x:c r="D31" s="29" t="str"/>
      <x:c r="E31" s="29" t="str"/>
      <x:c r="F31" s="29" t="str"/>
      <x:c r="G31" s="29" t="str"/>
      <x:c r="H31" s="29" t="str"/>
      <x:c r="I31" s="29" t="str">
        <x:v>NOT_RUN</x:v>
      </x:c>
      <x:c r="J31" s="29" t="str">
        <x:v>NOT_RUN</x:v>
      </x:c>
      <x:c r="K31" s="29" t="str">
        <x:v>NOT_RUN</x:v>
      </x:c>
      <x:c r="L31" s="29" t="str">
        <x:v>NOT_RUN</x:v>
      </x:c>
      <x:c r="M31" s="29" t="str">
        <x:v>NOT_RUN</x:v>
      </x:c>
      <x:c r="N31" s="29" t="str">
        <x:v>NOT_RUN</x:v>
      </x:c>
      <x:c r="O31" s="29" t="str">
        <x:v>NOT_RUN</x:v>
      </x:c>
      <x:c r="P31" s="29" t="str">
        <x:v>NOT_RUN</x:v>
      </x:c>
      <x:c r="Q31" s="29" t="str">
        <x:f>IF(COUNTIF(I31:P31,"NOT_RUN")=8,"NOT_RUN",IF(AND(COUNTIF(I31:P31,"PASS")=8,R31&lt;&gt;"",T31&lt;&gt;"",U31&lt;&gt;""),"PASS","HOLD"))</x:f>
        <x:v>NOT_RUN</x:v>
      </x:c>
      <x:c r="R31" s="29" t="str"/>
      <x:c r="S31" s="29" t="str"/>
      <x:c r="T31" s="29" t="str"/>
      <x:c r="U31" s="29" t="str"/>
    </x:row>
    <x:row r="32">
      <x:c r="A32" s="29" t="str">
        <x:v>DIO-EVT-028</x:v>
      </x:c>
      <x:c r="B32" s="29" t="str">
        <x:v>1</x:v>
      </x:c>
      <x:c r="C32" s="29" t="str"/>
      <x:c r="D32" s="29" t="str"/>
      <x:c r="E32" s="29" t="str"/>
      <x:c r="F32" s="29" t="str"/>
      <x:c r="G32" s="29" t="str"/>
      <x:c r="H32" s="29" t="str"/>
      <x:c r="I32" s="29" t="str">
        <x:v>NOT_RUN</x:v>
      </x:c>
      <x:c r="J32" s="29" t="str">
        <x:v>NOT_RUN</x:v>
      </x:c>
      <x:c r="K32" s="29" t="str">
        <x:v>NOT_RUN</x:v>
      </x:c>
      <x:c r="L32" s="29" t="str">
        <x:v>NOT_RUN</x:v>
      </x:c>
      <x:c r="M32" s="29" t="str">
        <x:v>NOT_RUN</x:v>
      </x:c>
      <x:c r="N32" s="29" t="str">
        <x:v>NOT_RUN</x:v>
      </x:c>
      <x:c r="O32" s="29" t="str">
        <x:v>NOT_RUN</x:v>
      </x:c>
      <x:c r="P32" s="29" t="str">
        <x:v>NOT_RUN</x:v>
      </x:c>
      <x:c r="Q32" s="29" t="str">
        <x:f>IF(COUNTIF(I32:P32,"NOT_RUN")=8,"NOT_RUN",IF(AND(COUNTIF(I32:P32,"PASS")=8,R32&lt;&gt;"",T32&lt;&gt;"",U32&lt;&gt;""),"PASS","HOLD"))</x:f>
        <x:v>NOT_RUN</x:v>
      </x:c>
      <x:c r="R32" s="29" t="str"/>
      <x:c r="S32" s="29" t="str"/>
      <x:c r="T32" s="29" t="str"/>
      <x:c r="U32" s="29" t="str"/>
    </x:row>
    <x:row r="33">
      <x:c r="A33" s="29" t="str">
        <x:v>DIO-EVT-029</x:v>
      </x:c>
      <x:c r="B33" s="29" t="str">
        <x:v>1</x:v>
      </x:c>
      <x:c r="C33" s="29" t="str"/>
      <x:c r="D33" s="29" t="str"/>
      <x:c r="E33" s="29" t="str"/>
      <x:c r="F33" s="29" t="str"/>
      <x:c r="G33" s="29" t="str"/>
      <x:c r="H33" s="29" t="str"/>
      <x:c r="I33" s="29" t="str">
        <x:v>NOT_RUN</x:v>
      </x:c>
      <x:c r="J33" s="29" t="str">
        <x:v>NOT_RUN</x:v>
      </x:c>
      <x:c r="K33" s="29" t="str">
        <x:v>NOT_RUN</x:v>
      </x:c>
      <x:c r="L33" s="29" t="str">
        <x:v>NOT_RUN</x:v>
      </x:c>
      <x:c r="M33" s="29" t="str">
        <x:v>NOT_RUN</x:v>
      </x:c>
      <x:c r="N33" s="29" t="str">
        <x:v>NOT_RUN</x:v>
      </x:c>
      <x:c r="O33" s="29" t="str">
        <x:v>NOT_RUN</x:v>
      </x:c>
      <x:c r="P33" s="29" t="str">
        <x:v>NOT_RUN</x:v>
      </x:c>
      <x:c r="Q33" s="29" t="str">
        <x:f>IF(COUNTIF(I33:P33,"NOT_RUN")=8,"NOT_RUN",IF(AND(COUNTIF(I33:P33,"PASS")=8,R33&lt;&gt;"",T33&lt;&gt;"",U33&lt;&gt;""),"PASS","HOLD"))</x:f>
        <x:v>NOT_RUN</x:v>
      </x:c>
      <x:c r="R33" s="29" t="str"/>
      <x:c r="S33" s="29" t="str"/>
      <x:c r="T33" s="29" t="str"/>
      <x:c r="U33" s="29" t="str"/>
    </x:row>
    <x:row r="34">
      <x:c r="A34" s="29" t="str">
        <x:v>DIO-EVT-030</x:v>
      </x:c>
      <x:c r="B34" s="29" t="str">
        <x:v>1</x:v>
      </x:c>
      <x:c r="C34" s="29" t="str"/>
      <x:c r="D34" s="29" t="str"/>
      <x:c r="E34" s="29" t="str"/>
      <x:c r="F34" s="29" t="str"/>
      <x:c r="G34" s="29" t="str"/>
      <x:c r="H34" s="29" t="str"/>
      <x:c r="I34" s="29" t="str">
        <x:v>NOT_RUN</x:v>
      </x:c>
      <x:c r="J34" s="29" t="str">
        <x:v>NOT_RUN</x:v>
      </x:c>
      <x:c r="K34" s="29" t="str">
        <x:v>NOT_RUN</x:v>
      </x:c>
      <x:c r="L34" s="29" t="str">
        <x:v>NOT_RUN</x:v>
      </x:c>
      <x:c r="M34" s="29" t="str">
        <x:v>NOT_RUN</x:v>
      </x:c>
      <x:c r="N34" s="29" t="str">
        <x:v>NOT_RUN</x:v>
      </x:c>
      <x:c r="O34" s="29" t="str">
        <x:v>NOT_RUN</x:v>
      </x:c>
      <x:c r="P34" s="29" t="str">
        <x:v>NOT_RUN</x:v>
      </x:c>
      <x:c r="Q34" s="29" t="str">
        <x:f>IF(COUNTIF(I34:P34,"NOT_RUN")=8,"NOT_RUN",IF(AND(COUNTIF(I34:P34,"PASS")=8,R34&lt;&gt;"",T34&lt;&gt;"",U34&lt;&gt;""),"PASS","HOLD"))</x:f>
        <x:v>NOT_RUN</x:v>
      </x:c>
      <x:c r="R34" s="29" t="str"/>
      <x:c r="S34" s="29" t="str"/>
      <x:c r="T34" s="29" t="str"/>
      <x:c r="U34" s="29" t="str"/>
    </x:row>
    <x:row r="35">
      <x:c r="A35" s="29" t="str">
        <x:v>DIO-EVT-031</x:v>
      </x:c>
      <x:c r="B35" s="29" t="str">
        <x:v>1</x:v>
      </x:c>
      <x:c r="C35" s="29" t="str"/>
      <x:c r="D35" s="29" t="str"/>
      <x:c r="E35" s="29" t="str"/>
      <x:c r="F35" s="29" t="str"/>
      <x:c r="G35" s="29" t="str"/>
      <x:c r="H35" s="29" t="str"/>
      <x:c r="I35" s="29" t="str">
        <x:v>NOT_RUN</x:v>
      </x:c>
      <x:c r="J35" s="29" t="str">
        <x:v>NOT_RUN</x:v>
      </x:c>
      <x:c r="K35" s="29" t="str">
        <x:v>NOT_RUN</x:v>
      </x:c>
      <x:c r="L35" s="29" t="str">
        <x:v>NOT_RUN</x:v>
      </x:c>
      <x:c r="M35" s="29" t="str">
        <x:v>NOT_RUN</x:v>
      </x:c>
      <x:c r="N35" s="29" t="str">
        <x:v>NOT_RUN</x:v>
      </x:c>
      <x:c r="O35" s="29" t="str">
        <x:v>NOT_RUN</x:v>
      </x:c>
      <x:c r="P35" s="29" t="str">
        <x:v>NOT_RUN</x:v>
      </x:c>
      <x:c r="Q35" s="29" t="str">
        <x:f>IF(COUNTIF(I35:P35,"NOT_RUN")=8,"NOT_RUN",IF(AND(COUNTIF(I35:P35,"PASS")=8,R35&lt;&gt;"",T35&lt;&gt;"",U35&lt;&gt;""),"PASS","HOLD"))</x:f>
        <x:v>NOT_RUN</x:v>
      </x:c>
      <x:c r="R35" s="29" t="str"/>
      <x:c r="S35" s="29" t="str"/>
      <x:c r="T35" s="29" t="str"/>
      <x:c r="U35" s="29" t="str"/>
    </x:row>
    <x:row r="36">
      <x:c r="A36" s="29" t="str">
        <x:v>DIO-EVT-032</x:v>
      </x:c>
      <x:c r="B36" s="29" t="str">
        <x:v>1</x:v>
      </x:c>
      <x:c r="C36" s="29" t="str"/>
      <x:c r="D36" s="29" t="str"/>
      <x:c r="E36" s="29" t="str"/>
      <x:c r="F36" s="29" t="str"/>
      <x:c r="G36" s="29" t="str"/>
      <x:c r="H36" s="29" t="str"/>
      <x:c r="I36" s="29" t="str">
        <x:v>NOT_RUN</x:v>
      </x:c>
      <x:c r="J36" s="29" t="str">
        <x:v>NOT_RUN</x:v>
      </x:c>
      <x:c r="K36" s="29" t="str">
        <x:v>NOT_RUN</x:v>
      </x:c>
      <x:c r="L36" s="29" t="str">
        <x:v>NOT_RUN</x:v>
      </x:c>
      <x:c r="M36" s="29" t="str">
        <x:v>NOT_RUN</x:v>
      </x:c>
      <x:c r="N36" s="29" t="str">
        <x:v>NOT_RUN</x:v>
      </x:c>
      <x:c r="O36" s="29" t="str">
        <x:v>NOT_RUN</x:v>
      </x:c>
      <x:c r="P36" s="29" t="str">
        <x:v>NOT_RUN</x:v>
      </x:c>
      <x:c r="Q36" s="29" t="str">
        <x:f>IF(COUNTIF(I36:P36,"NOT_RUN")=8,"NOT_RUN",IF(AND(COUNTIF(I36:P36,"PASS")=8,R36&lt;&gt;"",T36&lt;&gt;"",U36&lt;&gt;""),"PASS","HOLD"))</x:f>
        <x:v>NOT_RUN</x:v>
      </x:c>
      <x:c r="R36" s="29" t="str"/>
      <x:c r="S36" s="29" t="str"/>
      <x:c r="T36" s="29" t="str"/>
      <x:c r="U36" s="29" t="str"/>
    </x:row>
    <x:row r="37">
      <x:c r="A37" s="29" t="str">
        <x:v>DIO-EVT-033</x:v>
      </x:c>
      <x:c r="B37" s="29" t="str">
        <x:v>1</x:v>
      </x:c>
      <x:c r="C37" s="29" t="str"/>
      <x:c r="D37" s="29" t="str"/>
      <x:c r="E37" s="29" t="str"/>
      <x:c r="F37" s="29" t="str"/>
      <x:c r="G37" s="29" t="str"/>
      <x:c r="H37" s="29" t="str"/>
      <x:c r="I37" s="29" t="str">
        <x:v>NOT_RUN</x:v>
      </x:c>
      <x:c r="J37" s="29" t="str">
        <x:v>NOT_RUN</x:v>
      </x:c>
      <x:c r="K37" s="29" t="str">
        <x:v>NOT_RUN</x:v>
      </x:c>
      <x:c r="L37" s="29" t="str">
        <x:v>NOT_RUN</x:v>
      </x:c>
      <x:c r="M37" s="29" t="str">
        <x:v>NOT_RUN</x:v>
      </x:c>
      <x:c r="N37" s="29" t="str">
        <x:v>NOT_RUN</x:v>
      </x:c>
      <x:c r="O37" s="29" t="str">
        <x:v>NOT_RUN</x:v>
      </x:c>
      <x:c r="P37" s="29" t="str">
        <x:v>NOT_RUN</x:v>
      </x:c>
      <x:c r="Q37" s="29" t="str">
        <x:f>IF(COUNTIF(I37:P37,"NOT_RUN")=8,"NOT_RUN",IF(AND(COUNTIF(I37:P37,"PASS")=8,R37&lt;&gt;"",T37&lt;&gt;"",U37&lt;&gt;""),"PASS","HOLD"))</x:f>
        <x:v>NOT_RUN</x:v>
      </x:c>
      <x:c r="R37" s="29" t="str"/>
      <x:c r="S37" s="29" t="str"/>
      <x:c r="T37" s="29" t="str"/>
      <x:c r="U37" s="29" t="str"/>
    </x:row>
    <x:row r="38">
      <x:c r="A38" s="29" t="str">
        <x:v>DIO-EVT-034</x:v>
      </x:c>
      <x:c r="B38" s="29" t="str">
        <x:v>1</x:v>
      </x:c>
      <x:c r="C38" s="29" t="str"/>
      <x:c r="D38" s="29" t="str"/>
      <x:c r="E38" s="29" t="str"/>
      <x:c r="F38" s="29" t="str"/>
      <x:c r="G38" s="29" t="str"/>
      <x:c r="H38" s="29" t="str"/>
      <x:c r="I38" s="29" t="str">
        <x:v>NOT_RUN</x:v>
      </x:c>
      <x:c r="J38" s="29" t="str">
        <x:v>NOT_RUN</x:v>
      </x:c>
      <x:c r="K38" s="29" t="str">
        <x:v>NOT_RUN</x:v>
      </x:c>
      <x:c r="L38" s="29" t="str">
        <x:v>NOT_RUN</x:v>
      </x:c>
      <x:c r="M38" s="29" t="str">
        <x:v>NOT_RUN</x:v>
      </x:c>
      <x:c r="N38" s="29" t="str">
        <x:v>NOT_RUN</x:v>
      </x:c>
      <x:c r="O38" s="29" t="str">
        <x:v>NOT_RUN</x:v>
      </x:c>
      <x:c r="P38" s="29" t="str">
        <x:v>NOT_RUN</x:v>
      </x:c>
      <x:c r="Q38" s="29" t="str">
        <x:f>IF(COUNTIF(I38:P38,"NOT_RUN")=8,"NOT_RUN",IF(AND(COUNTIF(I38:P38,"PASS")=8,R38&lt;&gt;"",T38&lt;&gt;"",U38&lt;&gt;""),"PASS","HOLD"))</x:f>
        <x:v>NOT_RUN</x:v>
      </x:c>
      <x:c r="R38" s="29" t="str"/>
      <x:c r="S38" s="29" t="str"/>
      <x:c r="T38" s="29" t="str"/>
      <x:c r="U38" s="29" t="str"/>
    </x:row>
    <x:row r="39">
      <x:c r="A39" s="29" t="str">
        <x:v>DIO-EVT-035</x:v>
      </x:c>
      <x:c r="B39" s="29" t="str">
        <x:v>1</x:v>
      </x:c>
      <x:c r="C39" s="29" t="str"/>
      <x:c r="D39" s="29" t="str"/>
      <x:c r="E39" s="29" t="str"/>
      <x:c r="F39" s="29" t="str"/>
      <x:c r="G39" s="29" t="str"/>
      <x:c r="H39" s="29" t="str"/>
      <x:c r="I39" s="29" t="str">
        <x:v>NOT_RUN</x:v>
      </x:c>
      <x:c r="J39" s="29" t="str">
        <x:v>NOT_RUN</x:v>
      </x:c>
      <x:c r="K39" s="29" t="str">
        <x:v>NOT_RUN</x:v>
      </x:c>
      <x:c r="L39" s="29" t="str">
        <x:v>NOT_RUN</x:v>
      </x:c>
      <x:c r="M39" s="29" t="str">
        <x:v>NOT_RUN</x:v>
      </x:c>
      <x:c r="N39" s="29" t="str">
        <x:v>NOT_RUN</x:v>
      </x:c>
      <x:c r="O39" s="29" t="str">
        <x:v>NOT_RUN</x:v>
      </x:c>
      <x:c r="P39" s="29" t="str">
        <x:v>NOT_RUN</x:v>
      </x:c>
      <x:c r="Q39" s="29" t="str">
        <x:f>IF(COUNTIF(I39:P39,"NOT_RUN")=8,"NOT_RUN",IF(AND(COUNTIF(I39:P39,"PASS")=8,R39&lt;&gt;"",T39&lt;&gt;"",U39&lt;&gt;""),"PASS","HOLD"))</x:f>
        <x:v>NOT_RUN</x:v>
      </x:c>
      <x:c r="R39" s="29" t="str"/>
      <x:c r="S39" s="29" t="str"/>
      <x:c r="T39" s="29" t="str"/>
      <x:c r="U39" s="29" t="str"/>
    </x:row>
    <x:row r="40">
      <x:c r="A40" s="29" t="str">
        <x:v>DIO-EVT-036</x:v>
      </x:c>
      <x:c r="B40" s="29" t="str">
        <x:v>1</x:v>
      </x:c>
      <x:c r="C40" s="29" t="str"/>
      <x:c r="D40" s="29" t="str"/>
      <x:c r="E40" s="29" t="str"/>
      <x:c r="F40" s="29" t="str"/>
      <x:c r="G40" s="29" t="str"/>
      <x:c r="H40" s="29" t="str"/>
      <x:c r="I40" s="29" t="str">
        <x:v>NOT_RUN</x:v>
      </x:c>
      <x:c r="J40" s="29" t="str">
        <x:v>NOT_RUN</x:v>
      </x:c>
      <x:c r="K40" s="29" t="str">
        <x:v>NOT_RUN</x:v>
      </x:c>
      <x:c r="L40" s="29" t="str">
        <x:v>NOT_RUN</x:v>
      </x:c>
      <x:c r="M40" s="29" t="str">
        <x:v>NOT_RUN</x:v>
      </x:c>
      <x:c r="N40" s="29" t="str">
        <x:v>NOT_RUN</x:v>
      </x:c>
      <x:c r="O40" s="29" t="str">
        <x:v>NOT_RUN</x:v>
      </x:c>
      <x:c r="P40" s="29" t="str">
        <x:v>NOT_RUN</x:v>
      </x:c>
      <x:c r="Q40" s="29" t="str">
        <x:f>IF(COUNTIF(I40:P40,"NOT_RUN")=8,"NOT_RUN",IF(AND(COUNTIF(I40:P40,"PASS")=8,R40&lt;&gt;"",T40&lt;&gt;"",U40&lt;&gt;""),"PASS","HOLD"))</x:f>
        <x:v>NOT_RUN</x:v>
      </x:c>
      <x:c r="R40" s="29" t="str"/>
      <x:c r="S40" s="29" t="str"/>
      <x:c r="T40" s="29" t="str"/>
      <x:c r="U40" s="29" t="str"/>
    </x:row>
    <x:row r="41">
      <x:c r="A41" s="29" t="str">
        <x:v>DIO-EVT-037</x:v>
      </x:c>
      <x:c r="B41" s="29" t="str">
        <x:v>1</x:v>
      </x:c>
      <x:c r="C41" s="29" t="str"/>
      <x:c r="D41" s="29" t="str"/>
      <x:c r="E41" s="29" t="str"/>
      <x:c r="F41" s="29" t="str"/>
      <x:c r="G41" s="29" t="str"/>
      <x:c r="H41" s="29" t="str"/>
      <x:c r="I41" s="29" t="str">
        <x:v>NOT_RUN</x:v>
      </x:c>
      <x:c r="J41" s="29" t="str">
        <x:v>NOT_RUN</x:v>
      </x:c>
      <x:c r="K41" s="29" t="str">
        <x:v>NOT_RUN</x:v>
      </x:c>
      <x:c r="L41" s="29" t="str">
        <x:v>NOT_RUN</x:v>
      </x:c>
      <x:c r="M41" s="29" t="str">
        <x:v>NOT_RUN</x:v>
      </x:c>
      <x:c r="N41" s="29" t="str">
        <x:v>NOT_RUN</x:v>
      </x:c>
      <x:c r="O41" s="29" t="str">
        <x:v>NOT_RUN</x:v>
      </x:c>
      <x:c r="P41" s="29" t="str">
        <x:v>NOT_RUN</x:v>
      </x:c>
      <x:c r="Q41" s="29" t="str">
        <x:f>IF(COUNTIF(I41:P41,"NOT_RUN")=8,"NOT_RUN",IF(AND(COUNTIF(I41:P41,"PASS")=8,R41&lt;&gt;"",T41&lt;&gt;"",U41&lt;&gt;""),"PASS","HOLD"))</x:f>
        <x:v>NOT_RUN</x:v>
      </x:c>
      <x:c r="R41" s="29" t="str"/>
      <x:c r="S41" s="29" t="str"/>
      <x:c r="T41" s="29" t="str"/>
      <x:c r="U41" s="29" t="str"/>
    </x:row>
    <x:row r="42">
      <x:c r="A42" s="29" t="str">
        <x:v>DIO-EVT-038</x:v>
      </x:c>
      <x:c r="B42" s="29" t="str">
        <x:v>1</x:v>
      </x:c>
      <x:c r="C42" s="29" t="str"/>
      <x:c r="D42" s="29" t="str"/>
      <x:c r="E42" s="29" t="str"/>
      <x:c r="F42" s="29" t="str"/>
      <x:c r="G42" s="29" t="str"/>
      <x:c r="H42" s="29" t="str"/>
      <x:c r="I42" s="29" t="str">
        <x:v>NOT_RUN</x:v>
      </x:c>
      <x:c r="J42" s="29" t="str">
        <x:v>NOT_RUN</x:v>
      </x:c>
      <x:c r="K42" s="29" t="str">
        <x:v>NOT_RUN</x:v>
      </x:c>
      <x:c r="L42" s="29" t="str">
        <x:v>NOT_RUN</x:v>
      </x:c>
      <x:c r="M42" s="29" t="str">
        <x:v>NOT_RUN</x:v>
      </x:c>
      <x:c r="N42" s="29" t="str">
        <x:v>NOT_RUN</x:v>
      </x:c>
      <x:c r="O42" s="29" t="str">
        <x:v>NOT_RUN</x:v>
      </x:c>
      <x:c r="P42" s="29" t="str">
        <x:v>NOT_RUN</x:v>
      </x:c>
      <x:c r="Q42" s="29" t="str">
        <x:f>IF(COUNTIF(I42:P42,"NOT_RUN")=8,"NOT_RUN",IF(AND(COUNTIF(I42:P42,"PASS")=8,R42&lt;&gt;"",T42&lt;&gt;"",U42&lt;&gt;""),"PASS","HOLD"))</x:f>
        <x:v>NOT_RUN</x:v>
      </x:c>
      <x:c r="R42" s="29" t="str"/>
      <x:c r="S42" s="29" t="str"/>
      <x:c r="T42" s="29" t="str"/>
      <x:c r="U42" s="29" t="str"/>
    </x:row>
    <x:row r="43">
      <x:c r="A43" s="29" t="str">
        <x:v>DIO-EVT-039</x:v>
      </x:c>
      <x:c r="B43" s="29" t="str">
        <x:v>1</x:v>
      </x:c>
      <x:c r="C43" s="29" t="str"/>
      <x:c r="D43" s="29" t="str"/>
      <x:c r="E43" s="29" t="str"/>
      <x:c r="F43" s="29" t="str"/>
      <x:c r="G43" s="29" t="str"/>
      <x:c r="H43" s="29" t="str"/>
      <x:c r="I43" s="29" t="str">
        <x:v>NOT_RUN</x:v>
      </x:c>
      <x:c r="J43" s="29" t="str">
        <x:v>NOT_RUN</x:v>
      </x:c>
      <x:c r="K43" s="29" t="str">
        <x:v>NOT_RUN</x:v>
      </x:c>
      <x:c r="L43" s="29" t="str">
        <x:v>NOT_RUN</x:v>
      </x:c>
      <x:c r="M43" s="29" t="str">
        <x:v>NOT_RUN</x:v>
      </x:c>
      <x:c r="N43" s="29" t="str">
        <x:v>NOT_RUN</x:v>
      </x:c>
      <x:c r="O43" s="29" t="str">
        <x:v>NOT_RUN</x:v>
      </x:c>
      <x:c r="P43" s="29" t="str">
        <x:v>NOT_RUN</x:v>
      </x:c>
      <x:c r="Q43" s="29" t="str">
        <x:f>IF(COUNTIF(I43:P43,"NOT_RUN")=8,"NOT_RUN",IF(AND(COUNTIF(I43:P43,"PASS")=8,R43&lt;&gt;"",T43&lt;&gt;"",U43&lt;&gt;""),"PASS","HOLD"))</x:f>
        <x:v>NOT_RUN</x:v>
      </x:c>
      <x:c r="R43" s="29" t="str"/>
      <x:c r="S43" s="29" t="str"/>
      <x:c r="T43" s="29" t="str"/>
      <x:c r="U43" s="29" t="str"/>
    </x:row>
    <x:row r="44">
      <x:c r="A44" s="29" t="str">
        <x:v>DIO-EVT-040</x:v>
      </x:c>
      <x:c r="B44" s="29" t="str">
        <x:v>1</x:v>
      </x:c>
      <x:c r="C44" s="29" t="str"/>
      <x:c r="D44" s="29" t="str"/>
      <x:c r="E44" s="29" t="str"/>
      <x:c r="F44" s="29" t="str"/>
      <x:c r="G44" s="29" t="str"/>
      <x:c r="H44" s="29" t="str"/>
      <x:c r="I44" s="29" t="str">
        <x:v>NOT_RUN</x:v>
      </x:c>
      <x:c r="J44" s="29" t="str">
        <x:v>NOT_RUN</x:v>
      </x:c>
      <x:c r="K44" s="29" t="str">
        <x:v>NOT_RUN</x:v>
      </x:c>
      <x:c r="L44" s="29" t="str">
        <x:v>NOT_RUN</x:v>
      </x:c>
      <x:c r="M44" s="29" t="str">
        <x:v>NOT_RUN</x:v>
      </x:c>
      <x:c r="N44" s="29" t="str">
        <x:v>NOT_RUN</x:v>
      </x:c>
      <x:c r="O44" s="29" t="str">
        <x:v>NOT_RUN</x:v>
      </x:c>
      <x:c r="P44" s="29" t="str">
        <x:v>NOT_RUN</x:v>
      </x:c>
      <x:c r="Q44" s="29" t="str">
        <x:f>IF(COUNTIF(I44:P44,"NOT_RUN")=8,"NOT_RUN",IF(AND(COUNTIF(I44:P44,"PASS")=8,R44&lt;&gt;"",T44&lt;&gt;"",U44&lt;&gt;""),"PASS","HOLD"))</x:f>
        <x:v>NOT_RUN</x:v>
      </x:c>
      <x:c r="R44" s="29" t="str"/>
      <x:c r="S44" s="29" t="str"/>
      <x:c r="T44" s="29" t="str"/>
      <x:c r="U44" s="29" t="str"/>
    </x:row>
    <x:row r="45">
      <x:c r="A45" s="29" t="str">
        <x:v>DIO-EVT-B01</x:v>
      </x:c>
      <x:c r="B45" s="29" t="str">
        <x:v>1</x:v>
      </x:c>
      <x:c r="C45" s="29" t="str"/>
      <x:c r="D45" s="29" t="str"/>
      <x:c r="E45" s="29" t="str"/>
      <x:c r="F45" s="29" t="str">
        <x:v>2026101601</x:v>
      </x:c>
      <x:c r="G45" s="29" t="str"/>
      <x:c r="H45" s="29" t="str"/>
      <x:c r="I45" s="29" t="str">
        <x:v>NOT_RUN</x:v>
      </x:c>
      <x:c r="J45" s="29" t="str">
        <x:v>NOT_RUN</x:v>
      </x:c>
      <x:c r="K45" s="29" t="str">
        <x:v>NOT_RUN</x:v>
      </x:c>
      <x:c r="L45" s="29" t="str">
        <x:v>NOT_RUN</x:v>
      </x:c>
      <x:c r="M45" s="29" t="str">
        <x:v>NOT_RUN</x:v>
      </x:c>
      <x:c r="N45" s="29" t="str">
        <x:v>NOT_RUN</x:v>
      </x:c>
      <x:c r="O45" s="29" t="str">
        <x:v>NOT_RUN</x:v>
      </x:c>
      <x:c r="P45" s="29" t="str">
        <x:v>NOT_RUN</x:v>
      </x:c>
      <x:c r="Q45" s="29" t="str">
        <x:f>IF(COUNTIF(I45:P45,"NOT_RUN")=8,"NOT_RUN",IF(AND(COUNTIF(I45:P45,"PASS")=8,R45&lt;&gt;"",T45&lt;&gt;"",U45&lt;&gt;""),"PASS","HOLD"))</x:f>
        <x:v>NOT_RUN</x:v>
      </x:c>
      <x:c r="R45" s="29" t="str"/>
      <x:c r="S45" s="29" t="str"/>
      <x:c r="T45" s="29" t="str"/>
      <x:c r="U45" s="29" t="str"/>
    </x:row>
  </x:sheetData>
  <x:mergeCells>
    <x:mergeCell ref="A1:U1"/>
    <x:mergeCell ref="A2:U2"/>
  </x:mergeCells>
  <x:conditionalFormatting sqref="Q5:Q45">
    <x:cfRule type="containsText" dxfId="48" priority="1" operator="containsText" text="PASS"/>
    <x:cfRule type="containsText" dxfId="49" priority="2" operator="containsText" text="READY"/>
    <x:cfRule type="containsText" dxfId="50" priority="3" operator="containsText" text="HOLD"/>
    <x:cfRule type="containsText" dxfId="51" priority="4" operator="containsText" text="OPEN"/>
    <x:cfRule type="containsText" dxfId="52" priority="5" operator="containsText" text="FAIL"/>
    <x:cfRule type="containsText" dxfId="53" priority="6" operator="containsText" text="NOT_RUN"/>
  </x:conditionalFormatting>
  <x:dataValidations count="1">
    <x:dataValidation type="list" sqref="I5:P45">
      <x:formula1>"NOT_RUN,PASS,FAIL,HOLD,N/A"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13ccf34e5042b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2" hidden="0" customWidth="1"/>
    <x:col min="14" max="14" width="12" hidden="0" customWidth="1"/>
    <x:col min="15" max="15" width="16" hidden="0" customWidth="1"/>
    <x:col min="16" max="16" width="16" hidden="0" customWidth="1"/>
    <x:col min="17" max="17" width="14" hidden="0" customWidth="1"/>
    <x:col min="18" max="18" width="15" hidden="0" customWidth="1"/>
    <x:col min="19" max="19" width="38" hidden="0" customWidth="1"/>
    <x:col min="20" max="20" width="38" hidden="0" customWidth="1"/>
    <x:col min="21" max="21" width="15" hidden="0" customWidth="1"/>
    <x:col min="22" max="22" width="18" hidden="0" customWidth="1"/>
    <x:col min="23" max="23" width="18" hidden="0" customWidth="1"/>
    <x:col min="24" max="24" width="14" hidden="0" customWidth="1"/>
  </x:cols>
  <x:sheetData>
    <x:row r="1" ht="28" customHeight="1">
      <x:c r="A1" s="2" t="str">
        <x:v>МОНТАЖ И ВВОД НА ОБЪЕКТЕ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34" customHeight="1">
      <x:c r="A2" s="5" t="str">
        <x:v>40 field units plus B01 record. B01 remains bench unless separately approved. Site parameters PAR-I01/I02/I03 are mandatory for PASS.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 ht="32" customHeight="1">
      <x:c r="A4" s="25" t="str">
        <x:v>Serial</x:v>
      </x:c>
      <x:c r="B4" s="25" t="str">
        <x:v>Site_ID</x:v>
      </x:c>
      <x:c r="C4" s="25" t="str">
        <x:v>Latitude</x:v>
      </x:c>
      <x:c r="D4" s="25" t="str">
        <x:v>Longitude</x:v>
      </x:c>
      <x:c r="E4" s="25" t="str">
        <x:v>Altitude_m</x:v>
      </x:c>
      <x:c r="F4" s="25" t="str">
        <x:v>PAR_I01_Status</x:v>
      </x:c>
      <x:c r="G4" s="25" t="str">
        <x:v>PAR_I02_Status</x:v>
      </x:c>
      <x:c r="H4" s="25" t="str">
        <x:v>PAR_I03_Status</x:v>
      </x:c>
      <x:c r="I4" s="25" t="str">
        <x:v>Site_Readiness</x:v>
      </x:c>
      <x:c r="J4" s="25" t="str">
        <x:v>Mechanical</x:v>
      </x:c>
      <x:c r="K4" s="25" t="str">
        <x:v>Grounding</x:v>
      </x:c>
      <x:c r="L4" s="25" t="str">
        <x:v>Power</x:v>
      </x:c>
      <x:c r="M4" s="25" t="str">
        <x:v>SIM1</x:v>
      </x:c>
      <x:c r="N4" s="25" t="str">
        <x:v>SIM2</x:v>
      </x:c>
      <x:c r="O4" s="25" t="str">
        <x:v>TLS_MQTT</x:v>
      </x:c>
      <x:c r="P4" s="25" t="str">
        <x:v>GNSS_Time</x:v>
      </x:c>
      <x:c r="Q4" s="25" t="str">
        <x:v>Acoustic</x:v>
      </x:c>
      <x:c r="R4" s="25" t="str">
        <x:v>Leak_Test</x:v>
      </x:c>
      <x:c r="S4" s="25" t="str">
        <x:v>Photo_Set_SHA256</x:v>
      </x:c>
      <x:c r="T4" s="25" t="str">
        <x:v>Commissioning_Log_SHA256</x:v>
      </x:c>
      <x:c r="U4" s="25" t="str">
        <x:v>NCR_ID</x:v>
      </x:c>
      <x:c r="V4" s="25" t="str">
        <x:v>Installer</x:v>
      </x:c>
      <x:c r="W4" s="25" t="str">
        <x:v>Reviewer</x:v>
      </x:c>
      <x:c r="X4" s="25" t="str">
        <x:v>Overall</x:v>
      </x:c>
    </x:row>
    <x:row r="5">
      <x:c r="A5" s="29" t="str">
        <x:v>DIO-EVT-001</x:v>
      </x:c>
      <x:c r="B5" s="29" t="str"/>
      <x:c r="C5" s="29" t="str"/>
      <x:c r="D5" s="29" t="str"/>
      <x:c r="E5" s="29" t="str"/>
      <x:c r="F5" s="29" t="str">
        <x:f>'Параметры'!F26</x:f>
        <x:v>OPEN_SITE_DESIGN</x:v>
      </x:c>
      <x:c r="G5" s="29" t="str">
        <x:f>'Параметры'!F27</x:f>
        <x:v>OPEN_SITE_DESIGN</x:v>
      </x:c>
      <x:c r="H5" s="29" t="str">
        <x:f>'Параметры'!F28</x:f>
        <x:v>OPEN_B01_FIRST_ARTICLE</x:v>
      </x:c>
      <x:c r="I5" s="29" t="str">
        <x:v>NOT_RUN</x:v>
      </x:c>
      <x:c r="J5" s="29" t="str">
        <x:v>NOT_RUN</x:v>
      </x:c>
      <x:c r="K5" s="29" t="str">
        <x:v>NOT_RUN</x:v>
      </x:c>
      <x:c r="L5" s="29" t="str">
        <x:v>NOT_RUN</x:v>
      </x:c>
      <x:c r="M5" s="29" t="str">
        <x:v>NOT_RUN</x:v>
      </x:c>
      <x:c r="N5" s="29" t="str">
        <x:v>NOT_RUN</x:v>
      </x:c>
      <x:c r="O5" s="29" t="str">
        <x:v>NOT_RUN</x:v>
      </x:c>
      <x:c r="P5" s="29" t="str">
        <x:v>NOT_RUN</x:v>
      </x:c>
      <x:c r="Q5" s="29" t="str">
        <x:v>NOT_RUN</x:v>
      </x:c>
      <x:c r="R5" s="29" t="str">
        <x:v>NOT_RUN</x:v>
      </x:c>
      <x:c r="S5" s="29" t="str"/>
      <x:c r="T5" s="29" t="str"/>
      <x:c r="U5" s="29" t="str"/>
      <x:c r="V5" s="29" t="str"/>
      <x:c r="W5" s="29" t="str"/>
      <x:c r="X5" s="29" t="str">
        <x:f>IF(COUNTIF(I5:R5,"NOT_RUN")=10,"NOT_RUN",IF(AND(F5="APPROVED",G5="APPROVED",H5="APPROVED",COUNTIF(I5:R5,"PASS")=10,S5&lt;&gt;"",T5&lt;&gt;"",V5&lt;&gt;"",W5&lt;&gt;""),"PASS","HOLD"))</x:f>
        <x:v>NOT_RUN</x:v>
      </x:c>
    </x:row>
    <x:row r="6">
      <x:c r="A6" s="29" t="str">
        <x:v>DIO-EVT-002</x:v>
      </x:c>
      <x:c r="B6" s="29" t="str"/>
      <x:c r="C6" s="29" t="str"/>
      <x:c r="D6" s="29" t="str"/>
      <x:c r="E6" s="29" t="str"/>
      <x:c r="F6" s="29" t="str">
        <x:f>'Параметры'!F26</x:f>
        <x:v>OPEN_SITE_DESIGN</x:v>
      </x:c>
      <x:c r="G6" s="29" t="str">
        <x:f>'Параметры'!F27</x:f>
        <x:v>OPEN_SITE_DESIGN</x:v>
      </x:c>
      <x:c r="H6" s="29" t="str">
        <x:f>'Параметры'!F28</x:f>
        <x:v>OPEN_B01_FIRST_ARTICLE</x:v>
      </x:c>
      <x:c r="I6" s="29" t="str">
        <x:v>NOT_RUN</x:v>
      </x:c>
      <x:c r="J6" s="29" t="str">
        <x:v>NOT_RUN</x:v>
      </x:c>
      <x:c r="K6" s="29" t="str">
        <x:v>NOT_RUN</x:v>
      </x:c>
      <x:c r="L6" s="29" t="str">
        <x:v>NOT_RUN</x:v>
      </x:c>
      <x:c r="M6" s="29" t="str">
        <x:v>NOT_RUN</x:v>
      </x:c>
      <x:c r="N6" s="29" t="str">
        <x:v>NOT_RUN</x:v>
      </x:c>
      <x:c r="O6" s="29" t="str">
        <x:v>NOT_RUN</x:v>
      </x:c>
      <x:c r="P6" s="29" t="str">
        <x:v>NOT_RUN</x:v>
      </x:c>
      <x:c r="Q6" s="29" t="str">
        <x:v>NOT_RUN</x:v>
      </x:c>
      <x:c r="R6" s="29" t="str">
        <x:v>NOT_RUN</x:v>
      </x:c>
      <x:c r="S6" s="29" t="str"/>
      <x:c r="T6" s="29" t="str"/>
      <x:c r="U6" s="29" t="str"/>
      <x:c r="V6" s="29" t="str"/>
      <x:c r="W6" s="29" t="str"/>
      <x:c r="X6" s="29" t="str">
        <x:f>IF(COUNTIF(I6:R6,"NOT_RUN")=10,"NOT_RUN",IF(AND(F6="APPROVED",G6="APPROVED",H6="APPROVED",COUNTIF(I6:R6,"PASS")=10,S6&lt;&gt;"",T6&lt;&gt;"",V6&lt;&gt;"",W6&lt;&gt;""),"PASS","HOLD"))</x:f>
        <x:v>NOT_RUN</x:v>
      </x:c>
    </x:row>
    <x:row r="7">
      <x:c r="A7" s="29" t="str">
        <x:v>DIO-EVT-003</x:v>
      </x:c>
      <x:c r="B7" s="29" t="str"/>
      <x:c r="C7" s="29" t="str"/>
      <x:c r="D7" s="29" t="str"/>
      <x:c r="E7" s="29" t="str"/>
      <x:c r="F7" s="29" t="str">
        <x:f>'Параметры'!F26</x:f>
        <x:v>OPEN_SITE_DESIGN</x:v>
      </x:c>
      <x:c r="G7" s="29" t="str">
        <x:f>'Параметры'!F27</x:f>
        <x:v>OPEN_SITE_DESIGN</x:v>
      </x:c>
      <x:c r="H7" s="29" t="str">
        <x:f>'Параметры'!F28</x:f>
        <x:v>OPEN_B01_FIRST_ARTICLE</x:v>
      </x:c>
      <x:c r="I7" s="29" t="str">
        <x:v>NOT_RUN</x:v>
      </x:c>
      <x:c r="J7" s="29" t="str">
        <x:v>NOT_RUN</x:v>
      </x:c>
      <x:c r="K7" s="29" t="str">
        <x:v>NOT_RUN</x:v>
      </x:c>
      <x:c r="L7" s="29" t="str">
        <x:v>NOT_RUN</x:v>
      </x:c>
      <x:c r="M7" s="29" t="str">
        <x:v>NOT_RUN</x:v>
      </x:c>
      <x:c r="N7" s="29" t="str">
        <x:v>NOT_RUN</x:v>
      </x:c>
      <x:c r="O7" s="29" t="str">
        <x:v>NOT_RUN</x:v>
      </x:c>
      <x:c r="P7" s="29" t="str">
        <x:v>NOT_RUN</x:v>
      </x:c>
      <x:c r="Q7" s="29" t="str">
        <x:v>NOT_RUN</x:v>
      </x:c>
      <x:c r="R7" s="29" t="str">
        <x:v>NOT_RUN</x:v>
      </x:c>
      <x:c r="S7" s="29" t="str"/>
      <x:c r="T7" s="29" t="str"/>
      <x:c r="U7" s="29" t="str"/>
      <x:c r="V7" s="29" t="str"/>
      <x:c r="W7" s="29" t="str"/>
      <x:c r="X7" s="29" t="str">
        <x:f>IF(COUNTIF(I7:R7,"NOT_RUN")=10,"NOT_RUN",IF(AND(F7="APPROVED",G7="APPROVED",H7="APPROVED",COUNTIF(I7:R7,"PASS")=10,S7&lt;&gt;"",T7&lt;&gt;"",V7&lt;&gt;"",W7&lt;&gt;""),"PASS","HOLD"))</x:f>
        <x:v>NOT_RUN</x:v>
      </x:c>
    </x:row>
    <x:row r="8">
      <x:c r="A8" s="29" t="str">
        <x:v>DIO-EVT-004</x:v>
      </x:c>
      <x:c r="B8" s="29" t="str"/>
      <x:c r="C8" s="29" t="str"/>
      <x:c r="D8" s="29" t="str"/>
      <x:c r="E8" s="29" t="str"/>
      <x:c r="F8" s="29" t="str">
        <x:f>'Параметры'!F26</x:f>
        <x:v>OPEN_SITE_DESIGN</x:v>
      </x:c>
      <x:c r="G8" s="29" t="str">
        <x:f>'Параметры'!F27</x:f>
        <x:v>OPEN_SITE_DESIGN</x:v>
      </x:c>
      <x:c r="H8" s="29" t="str">
        <x:f>'Параметры'!F28</x:f>
        <x:v>OPEN_B01_FIRST_ARTICLE</x:v>
      </x:c>
      <x:c r="I8" s="29" t="str">
        <x:v>NOT_RUN</x:v>
      </x:c>
      <x:c r="J8" s="29" t="str">
        <x:v>NOT_RUN</x:v>
      </x:c>
      <x:c r="K8" s="29" t="str">
        <x:v>NOT_RUN</x:v>
      </x:c>
      <x:c r="L8" s="29" t="str">
        <x:v>NOT_RUN</x:v>
      </x:c>
      <x:c r="M8" s="29" t="str">
        <x:v>NOT_RUN</x:v>
      </x:c>
      <x:c r="N8" s="29" t="str">
        <x:v>NOT_RUN</x:v>
      </x:c>
      <x:c r="O8" s="29" t="str">
        <x:v>NOT_RUN</x:v>
      </x:c>
      <x:c r="P8" s="29" t="str">
        <x:v>NOT_RUN</x:v>
      </x:c>
      <x:c r="Q8" s="29" t="str">
        <x:v>NOT_RUN</x:v>
      </x:c>
      <x:c r="R8" s="29" t="str">
        <x:v>NOT_RUN</x:v>
      </x:c>
      <x:c r="S8" s="29" t="str"/>
      <x:c r="T8" s="29" t="str"/>
      <x:c r="U8" s="29" t="str"/>
      <x:c r="V8" s="29" t="str"/>
      <x:c r="W8" s="29" t="str"/>
      <x:c r="X8" s="29" t="str">
        <x:f>IF(COUNTIF(I8:R8,"NOT_RUN")=10,"NOT_RUN",IF(AND(F8="APPROVED",G8="APPROVED",H8="APPROVED",COUNTIF(I8:R8,"PASS")=10,S8&lt;&gt;"",T8&lt;&gt;"",V8&lt;&gt;"",W8&lt;&gt;""),"PASS","HOLD"))</x:f>
        <x:v>NOT_RUN</x:v>
      </x:c>
    </x:row>
    <x:row r="9">
      <x:c r="A9" s="29" t="str">
        <x:v>DIO-EVT-005</x:v>
      </x:c>
      <x:c r="B9" s="29" t="str"/>
      <x:c r="C9" s="29" t="str"/>
      <x:c r="D9" s="29" t="str"/>
      <x:c r="E9" s="29" t="str"/>
      <x:c r="F9" s="29" t="str">
        <x:f>'Параметры'!F26</x:f>
        <x:v>OPEN_SITE_DESIGN</x:v>
      </x:c>
      <x:c r="G9" s="29" t="str">
        <x:f>'Параметры'!F27</x:f>
        <x:v>OPEN_SITE_DESIGN</x:v>
      </x:c>
      <x:c r="H9" s="29" t="str">
        <x:f>'Параметры'!F28</x:f>
        <x:v>OPEN_B01_FIRST_ARTICLE</x:v>
      </x:c>
      <x:c r="I9" s="29" t="str">
        <x:v>NOT_RUN</x:v>
      </x:c>
      <x:c r="J9" s="29" t="str">
        <x:v>NOT_RUN</x:v>
      </x:c>
      <x:c r="K9" s="29" t="str">
        <x:v>NOT_RUN</x:v>
      </x:c>
      <x:c r="L9" s="29" t="str">
        <x:v>NOT_RUN</x:v>
      </x:c>
      <x:c r="M9" s="29" t="str">
        <x:v>NOT_RUN</x:v>
      </x:c>
      <x:c r="N9" s="29" t="str">
        <x:v>NOT_RUN</x:v>
      </x:c>
      <x:c r="O9" s="29" t="str">
        <x:v>NOT_RUN</x:v>
      </x:c>
      <x:c r="P9" s="29" t="str">
        <x:v>NOT_RUN</x:v>
      </x:c>
      <x:c r="Q9" s="29" t="str">
        <x:v>NOT_RUN</x:v>
      </x:c>
      <x:c r="R9" s="29" t="str">
        <x:v>NOT_RUN</x:v>
      </x:c>
      <x:c r="S9" s="29" t="str"/>
      <x:c r="T9" s="29" t="str"/>
      <x:c r="U9" s="29" t="str"/>
      <x:c r="V9" s="29" t="str"/>
      <x:c r="W9" s="29" t="str"/>
      <x:c r="X9" s="29" t="str">
        <x:f>IF(COUNTIF(I9:R9,"NOT_RUN")=10,"NOT_RUN",IF(AND(F9="APPROVED",G9="APPROVED",H9="APPROVED",COUNTIF(I9:R9,"PASS")=10,S9&lt;&gt;"",T9&lt;&gt;"",V9&lt;&gt;"",W9&lt;&gt;""),"PASS","HOLD"))</x:f>
        <x:v>NOT_RUN</x:v>
      </x:c>
    </x:row>
    <x:row r="10">
      <x:c r="A10" s="29" t="str">
        <x:v>DIO-EVT-006</x:v>
      </x:c>
      <x:c r="B10" s="29" t="str"/>
      <x:c r="C10" s="29" t="str"/>
      <x:c r="D10" s="29" t="str"/>
      <x:c r="E10" s="29" t="str"/>
      <x:c r="F10" s="29" t="str">
        <x:f>'Параметры'!F26</x:f>
        <x:v>OPEN_SITE_DESIGN</x:v>
      </x:c>
      <x:c r="G10" s="29" t="str">
        <x:f>'Параметры'!F27</x:f>
        <x:v>OPEN_SITE_DESIGN</x:v>
      </x:c>
      <x:c r="H10" s="29" t="str">
        <x:f>'Параметры'!F28</x:f>
        <x:v>OPEN_B01_FIRST_ARTICLE</x:v>
      </x:c>
      <x:c r="I10" s="29" t="str">
        <x:v>NOT_RUN</x:v>
      </x:c>
      <x:c r="J10" s="29" t="str">
        <x:v>NOT_RUN</x:v>
      </x:c>
      <x:c r="K10" s="29" t="str">
        <x:v>NOT_RUN</x:v>
      </x:c>
      <x:c r="L10" s="29" t="str">
        <x:v>NOT_RUN</x:v>
      </x:c>
      <x:c r="M10" s="29" t="str">
        <x:v>NOT_RUN</x:v>
      </x:c>
      <x:c r="N10" s="29" t="str">
        <x:v>NOT_RUN</x:v>
      </x:c>
      <x:c r="O10" s="29" t="str">
        <x:v>NOT_RUN</x:v>
      </x:c>
      <x:c r="P10" s="29" t="str">
        <x:v>NOT_RUN</x:v>
      </x:c>
      <x:c r="Q10" s="29" t="str">
        <x:v>NOT_RUN</x:v>
      </x:c>
      <x:c r="R10" s="29" t="str">
        <x:v>NOT_RUN</x:v>
      </x:c>
      <x:c r="S10" s="29" t="str"/>
      <x:c r="T10" s="29" t="str"/>
      <x:c r="U10" s="29" t="str"/>
      <x:c r="V10" s="29" t="str"/>
      <x:c r="W10" s="29" t="str"/>
      <x:c r="X10" s="29" t="str">
        <x:f>IF(COUNTIF(I10:R10,"NOT_RUN")=10,"NOT_RUN",IF(AND(F10="APPROVED",G10="APPROVED",H10="APPROVED",COUNTIF(I10:R10,"PASS")=10,S10&lt;&gt;"",T10&lt;&gt;"",V10&lt;&gt;"",W10&lt;&gt;""),"PASS","HOLD"))</x:f>
        <x:v>NOT_RUN</x:v>
      </x:c>
    </x:row>
    <x:row r="11">
      <x:c r="A11" s="29" t="str">
        <x:v>DIO-EVT-007</x:v>
      </x:c>
      <x:c r="B11" s="29" t="str"/>
      <x:c r="C11" s="29" t="str"/>
      <x:c r="D11" s="29" t="str"/>
      <x:c r="E11" s="29" t="str"/>
      <x:c r="F11" s="29" t="str">
        <x:f>'Параметры'!F26</x:f>
        <x:v>OPEN_SITE_DESIGN</x:v>
      </x:c>
      <x:c r="G11" s="29" t="str">
        <x:f>'Параметры'!F27</x:f>
        <x:v>OPEN_SITE_DESIGN</x:v>
      </x:c>
      <x:c r="H11" s="29" t="str">
        <x:f>'Параметры'!F28</x:f>
        <x:v>OPEN_B01_FIRST_ARTICLE</x:v>
      </x:c>
      <x:c r="I11" s="29" t="str">
        <x:v>NOT_RUN</x:v>
      </x:c>
      <x:c r="J11" s="29" t="str">
        <x:v>NOT_RUN</x:v>
      </x:c>
      <x:c r="K11" s="29" t="str">
        <x:v>NOT_RUN</x:v>
      </x:c>
      <x:c r="L11" s="29" t="str">
        <x:v>NOT_RUN</x:v>
      </x:c>
      <x:c r="M11" s="29" t="str">
        <x:v>NOT_RUN</x:v>
      </x:c>
      <x:c r="N11" s="29" t="str">
        <x:v>NOT_RUN</x:v>
      </x:c>
      <x:c r="O11" s="29" t="str">
        <x:v>NOT_RUN</x:v>
      </x:c>
      <x:c r="P11" s="29" t="str">
        <x:v>NOT_RUN</x:v>
      </x:c>
      <x:c r="Q11" s="29" t="str">
        <x:v>NOT_RUN</x:v>
      </x:c>
      <x:c r="R11" s="29" t="str">
        <x:v>NOT_RUN</x:v>
      </x:c>
      <x:c r="S11" s="29" t="str"/>
      <x:c r="T11" s="29" t="str"/>
      <x:c r="U11" s="29" t="str"/>
      <x:c r="V11" s="29" t="str"/>
      <x:c r="W11" s="29" t="str"/>
      <x:c r="X11" s="29" t="str">
        <x:f>IF(COUNTIF(I11:R11,"NOT_RUN")=10,"NOT_RUN",IF(AND(F11="APPROVED",G11="APPROVED",H11="APPROVED",COUNTIF(I11:R11,"PASS")=10,S11&lt;&gt;"",T11&lt;&gt;"",V11&lt;&gt;"",W11&lt;&gt;""),"PASS","HOLD"))</x:f>
        <x:v>NOT_RUN</x:v>
      </x:c>
    </x:row>
    <x:row r="12">
      <x:c r="A12" s="29" t="str">
        <x:v>DIO-EVT-008</x:v>
      </x:c>
      <x:c r="B12" s="29" t="str"/>
      <x:c r="C12" s="29" t="str"/>
      <x:c r="D12" s="29" t="str"/>
      <x:c r="E12" s="29" t="str"/>
      <x:c r="F12" s="29" t="str">
        <x:f>'Параметры'!F26</x:f>
        <x:v>OPEN_SITE_DESIGN</x:v>
      </x:c>
      <x:c r="G12" s="29" t="str">
        <x:f>'Параметры'!F27</x:f>
        <x:v>OPEN_SITE_DESIGN</x:v>
      </x:c>
      <x:c r="H12" s="29" t="str">
        <x:f>'Параметры'!F28</x:f>
        <x:v>OPEN_B01_FIRST_ARTICLE</x:v>
      </x:c>
      <x:c r="I12" s="29" t="str">
        <x:v>NOT_RUN</x:v>
      </x:c>
      <x:c r="J12" s="29" t="str">
        <x:v>NOT_RUN</x:v>
      </x:c>
      <x:c r="K12" s="29" t="str">
        <x:v>NOT_RUN</x:v>
      </x:c>
      <x:c r="L12" s="29" t="str">
        <x:v>NOT_RUN</x:v>
      </x:c>
      <x:c r="M12" s="29" t="str">
        <x:v>NOT_RUN</x:v>
      </x:c>
      <x:c r="N12" s="29" t="str">
        <x:v>NOT_RUN</x:v>
      </x:c>
      <x:c r="O12" s="29" t="str">
        <x:v>NOT_RUN</x:v>
      </x:c>
      <x:c r="P12" s="29" t="str">
        <x:v>NOT_RUN</x:v>
      </x:c>
      <x:c r="Q12" s="29" t="str">
        <x:v>NOT_RUN</x:v>
      </x:c>
      <x:c r="R12" s="29" t="str">
        <x:v>NOT_RUN</x:v>
      </x:c>
      <x:c r="S12" s="29" t="str"/>
      <x:c r="T12" s="29" t="str"/>
      <x:c r="U12" s="29" t="str"/>
      <x:c r="V12" s="29" t="str"/>
      <x:c r="W12" s="29" t="str"/>
      <x:c r="X12" s="29" t="str">
        <x:f>IF(COUNTIF(I12:R12,"NOT_RUN")=10,"NOT_RUN",IF(AND(F12="APPROVED",G12="APPROVED",H12="APPROVED",COUNTIF(I12:R12,"PASS")=10,S12&lt;&gt;"",T12&lt;&gt;"",V12&lt;&gt;"",W12&lt;&gt;""),"PASS","HOLD"))</x:f>
        <x:v>NOT_RUN</x:v>
      </x:c>
    </x:row>
    <x:row r="13">
      <x:c r="A13" s="29" t="str">
        <x:v>DIO-EVT-009</x:v>
      </x:c>
      <x:c r="B13" s="29" t="str"/>
      <x:c r="C13" s="29" t="str"/>
      <x:c r="D13" s="29" t="str"/>
      <x:c r="E13" s="29" t="str"/>
      <x:c r="F13" s="29" t="str">
        <x:f>'Параметры'!F26</x:f>
        <x:v>OPEN_SITE_DESIGN</x:v>
      </x:c>
      <x:c r="G13" s="29" t="str">
        <x:f>'Параметры'!F27</x:f>
        <x:v>OPEN_SITE_DESIGN</x:v>
      </x:c>
      <x:c r="H13" s="29" t="str">
        <x:f>'Параметры'!F28</x:f>
        <x:v>OPEN_B01_FIRST_ARTICLE</x:v>
      </x:c>
      <x:c r="I13" s="29" t="str">
        <x:v>NOT_RUN</x:v>
      </x:c>
      <x:c r="J13" s="29" t="str">
        <x:v>NOT_RUN</x:v>
      </x:c>
      <x:c r="K13" s="29" t="str">
        <x:v>NOT_RUN</x:v>
      </x:c>
      <x:c r="L13" s="29" t="str">
        <x:v>NOT_RUN</x:v>
      </x:c>
      <x:c r="M13" s="29" t="str">
        <x:v>NOT_RUN</x:v>
      </x:c>
      <x:c r="N13" s="29" t="str">
        <x:v>NOT_RUN</x:v>
      </x:c>
      <x:c r="O13" s="29" t="str">
        <x:v>NOT_RUN</x:v>
      </x:c>
      <x:c r="P13" s="29" t="str">
        <x:v>NOT_RUN</x:v>
      </x:c>
      <x:c r="Q13" s="29" t="str">
        <x:v>NOT_RUN</x:v>
      </x:c>
      <x:c r="R13" s="29" t="str">
        <x:v>NOT_RUN</x:v>
      </x:c>
      <x:c r="S13" s="29" t="str"/>
      <x:c r="T13" s="29" t="str"/>
      <x:c r="U13" s="29" t="str"/>
      <x:c r="V13" s="29" t="str"/>
      <x:c r="W13" s="29" t="str"/>
      <x:c r="X13" s="29" t="str">
        <x:f>IF(COUNTIF(I13:R13,"NOT_RUN")=10,"NOT_RUN",IF(AND(F13="APPROVED",G13="APPROVED",H13="APPROVED",COUNTIF(I13:R13,"PASS")=10,S13&lt;&gt;"",T13&lt;&gt;"",V13&lt;&gt;"",W13&lt;&gt;""),"PASS","HOLD"))</x:f>
        <x:v>NOT_RUN</x:v>
      </x:c>
    </x:row>
    <x:row r="14">
      <x:c r="A14" s="29" t="str">
        <x:v>DIO-EVT-010</x:v>
      </x:c>
      <x:c r="B14" s="29" t="str"/>
      <x:c r="C14" s="29" t="str"/>
      <x:c r="D14" s="29" t="str"/>
      <x:c r="E14" s="29" t="str"/>
      <x:c r="F14" s="29" t="str">
        <x:f>'Параметры'!F26</x:f>
        <x:v>OPEN_SITE_DESIGN</x:v>
      </x:c>
      <x:c r="G14" s="29" t="str">
        <x:f>'Параметры'!F27</x:f>
        <x:v>OPEN_SITE_DESIGN</x:v>
      </x:c>
      <x:c r="H14" s="29" t="str">
        <x:f>'Параметры'!F28</x:f>
        <x:v>OPEN_B01_FIRST_ARTICLE</x:v>
      </x:c>
      <x:c r="I14" s="29" t="str">
        <x:v>NOT_RUN</x:v>
      </x:c>
      <x:c r="J14" s="29" t="str">
        <x:v>NOT_RUN</x:v>
      </x:c>
      <x:c r="K14" s="29" t="str">
        <x:v>NOT_RUN</x:v>
      </x:c>
      <x:c r="L14" s="29" t="str">
        <x:v>NOT_RUN</x:v>
      </x:c>
      <x:c r="M14" s="29" t="str">
        <x:v>NOT_RUN</x:v>
      </x:c>
      <x:c r="N14" s="29" t="str">
        <x:v>NOT_RUN</x:v>
      </x:c>
      <x:c r="O14" s="29" t="str">
        <x:v>NOT_RUN</x:v>
      </x:c>
      <x:c r="P14" s="29" t="str">
        <x:v>NOT_RUN</x:v>
      </x:c>
      <x:c r="Q14" s="29" t="str">
        <x:v>NOT_RUN</x:v>
      </x:c>
      <x:c r="R14" s="29" t="str">
        <x:v>NOT_RUN</x:v>
      </x:c>
      <x:c r="S14" s="29" t="str"/>
      <x:c r="T14" s="29" t="str"/>
      <x:c r="U14" s="29" t="str"/>
      <x:c r="V14" s="29" t="str"/>
      <x:c r="W14" s="29" t="str"/>
      <x:c r="X14" s="29" t="str">
        <x:f>IF(COUNTIF(I14:R14,"NOT_RUN")=10,"NOT_RUN",IF(AND(F14="APPROVED",G14="APPROVED",H14="APPROVED",COUNTIF(I14:R14,"PASS")=10,S14&lt;&gt;"",T14&lt;&gt;"",V14&lt;&gt;"",W14&lt;&gt;""),"PASS","HOLD"))</x:f>
        <x:v>NOT_RUN</x:v>
      </x:c>
    </x:row>
    <x:row r="15">
      <x:c r="A15" s="29" t="str">
        <x:v>DIO-EVT-011</x:v>
      </x:c>
      <x:c r="B15" s="29" t="str"/>
      <x:c r="C15" s="29" t="str"/>
      <x:c r="D15" s="29" t="str"/>
      <x:c r="E15" s="29" t="str"/>
      <x:c r="F15" s="29" t="str">
        <x:f>'Параметры'!F26</x:f>
        <x:v>OPEN_SITE_DESIGN</x:v>
      </x:c>
      <x:c r="G15" s="29" t="str">
        <x:f>'Параметры'!F27</x:f>
        <x:v>OPEN_SITE_DESIGN</x:v>
      </x:c>
      <x:c r="H15" s="29" t="str">
        <x:f>'Параметры'!F28</x:f>
        <x:v>OPEN_B01_FIRST_ARTICLE</x:v>
      </x:c>
      <x:c r="I15" s="29" t="str">
        <x:v>NOT_RUN</x:v>
      </x:c>
      <x:c r="J15" s="29" t="str">
        <x:v>NOT_RUN</x:v>
      </x:c>
      <x:c r="K15" s="29" t="str">
        <x:v>NOT_RUN</x:v>
      </x:c>
      <x:c r="L15" s="29" t="str">
        <x:v>NOT_RUN</x:v>
      </x:c>
      <x:c r="M15" s="29" t="str">
        <x:v>NOT_RUN</x:v>
      </x:c>
      <x:c r="N15" s="29" t="str">
        <x:v>NOT_RUN</x:v>
      </x:c>
      <x:c r="O15" s="29" t="str">
        <x:v>NOT_RUN</x:v>
      </x:c>
      <x:c r="P15" s="29" t="str">
        <x:v>NOT_RUN</x:v>
      </x:c>
      <x:c r="Q15" s="29" t="str">
        <x:v>NOT_RUN</x:v>
      </x:c>
      <x:c r="R15" s="29" t="str">
        <x:v>NOT_RUN</x:v>
      </x:c>
      <x:c r="S15" s="29" t="str"/>
      <x:c r="T15" s="29" t="str"/>
      <x:c r="U15" s="29" t="str"/>
      <x:c r="V15" s="29" t="str"/>
      <x:c r="W15" s="29" t="str"/>
      <x:c r="X15" s="29" t="str">
        <x:f>IF(COUNTIF(I15:R15,"NOT_RUN")=10,"NOT_RUN",IF(AND(F15="APPROVED",G15="APPROVED",H15="APPROVED",COUNTIF(I15:R15,"PASS")=10,S15&lt;&gt;"",T15&lt;&gt;"",V15&lt;&gt;"",W15&lt;&gt;""),"PASS","HOLD"))</x:f>
        <x:v>NOT_RUN</x:v>
      </x:c>
    </x:row>
    <x:row r="16">
      <x:c r="A16" s="29" t="str">
        <x:v>DIO-EVT-012</x:v>
      </x:c>
      <x:c r="B16" s="29" t="str"/>
      <x:c r="C16" s="29" t="str"/>
      <x:c r="D16" s="29" t="str"/>
      <x:c r="E16" s="29" t="str"/>
      <x:c r="F16" s="29" t="str">
        <x:f>'Параметры'!F26</x:f>
        <x:v>OPEN_SITE_DESIGN</x:v>
      </x:c>
      <x:c r="G16" s="29" t="str">
        <x:f>'Параметры'!F27</x:f>
        <x:v>OPEN_SITE_DESIGN</x:v>
      </x:c>
      <x:c r="H16" s="29" t="str">
        <x:f>'Параметры'!F28</x:f>
        <x:v>OPEN_B01_FIRST_ARTICLE</x:v>
      </x:c>
      <x:c r="I16" s="29" t="str">
        <x:v>NOT_RUN</x:v>
      </x:c>
      <x:c r="J16" s="29" t="str">
        <x:v>NOT_RUN</x:v>
      </x:c>
      <x:c r="K16" s="29" t="str">
        <x:v>NOT_RUN</x:v>
      </x:c>
      <x:c r="L16" s="29" t="str">
        <x:v>NOT_RUN</x:v>
      </x:c>
      <x:c r="M16" s="29" t="str">
        <x:v>NOT_RUN</x:v>
      </x:c>
      <x:c r="N16" s="29" t="str">
        <x:v>NOT_RUN</x:v>
      </x:c>
      <x:c r="O16" s="29" t="str">
        <x:v>NOT_RUN</x:v>
      </x:c>
      <x:c r="P16" s="29" t="str">
        <x:v>NOT_RUN</x:v>
      </x:c>
      <x:c r="Q16" s="29" t="str">
        <x:v>NOT_RUN</x:v>
      </x:c>
      <x:c r="R16" s="29" t="str">
        <x:v>NOT_RUN</x:v>
      </x:c>
      <x:c r="S16" s="29" t="str"/>
      <x:c r="T16" s="29" t="str"/>
      <x:c r="U16" s="29" t="str"/>
      <x:c r="V16" s="29" t="str"/>
      <x:c r="W16" s="29" t="str"/>
      <x:c r="X16" s="29" t="str">
        <x:f>IF(COUNTIF(I16:R16,"NOT_RUN")=10,"NOT_RUN",IF(AND(F16="APPROVED",G16="APPROVED",H16="APPROVED",COUNTIF(I16:R16,"PASS")=10,S16&lt;&gt;"",T16&lt;&gt;"",V16&lt;&gt;"",W16&lt;&gt;""),"PASS","HOLD"))</x:f>
        <x:v>NOT_RUN</x:v>
      </x:c>
    </x:row>
    <x:row r="17">
      <x:c r="A17" s="29" t="str">
        <x:v>DIO-EVT-013</x:v>
      </x:c>
      <x:c r="B17" s="29" t="str"/>
      <x:c r="C17" s="29" t="str"/>
      <x:c r="D17" s="29" t="str"/>
      <x:c r="E17" s="29" t="str"/>
      <x:c r="F17" s="29" t="str">
        <x:f>'Параметры'!F26</x:f>
        <x:v>OPEN_SITE_DESIGN</x:v>
      </x:c>
      <x:c r="G17" s="29" t="str">
        <x:f>'Параметры'!F27</x:f>
        <x:v>OPEN_SITE_DESIGN</x:v>
      </x:c>
      <x:c r="H17" s="29" t="str">
        <x:f>'Параметры'!F28</x:f>
        <x:v>OPEN_B01_FIRST_ARTICLE</x:v>
      </x:c>
      <x:c r="I17" s="29" t="str">
        <x:v>NOT_RUN</x:v>
      </x:c>
      <x:c r="J17" s="29" t="str">
        <x:v>NOT_RUN</x:v>
      </x:c>
      <x:c r="K17" s="29" t="str">
        <x:v>NOT_RUN</x:v>
      </x:c>
      <x:c r="L17" s="29" t="str">
        <x:v>NOT_RUN</x:v>
      </x:c>
      <x:c r="M17" s="29" t="str">
        <x:v>NOT_RUN</x:v>
      </x:c>
      <x:c r="N17" s="29" t="str">
        <x:v>NOT_RUN</x:v>
      </x:c>
      <x:c r="O17" s="29" t="str">
        <x:v>NOT_RUN</x:v>
      </x:c>
      <x:c r="P17" s="29" t="str">
        <x:v>NOT_RUN</x:v>
      </x:c>
      <x:c r="Q17" s="29" t="str">
        <x:v>NOT_RUN</x:v>
      </x:c>
      <x:c r="R17" s="29" t="str">
        <x:v>NOT_RUN</x:v>
      </x:c>
      <x:c r="S17" s="29" t="str"/>
      <x:c r="T17" s="29" t="str"/>
      <x:c r="U17" s="29" t="str"/>
      <x:c r="V17" s="29" t="str"/>
      <x:c r="W17" s="29" t="str"/>
      <x:c r="X17" s="29" t="str">
        <x:f>IF(COUNTIF(I17:R17,"NOT_RUN")=10,"NOT_RUN",IF(AND(F17="APPROVED",G17="APPROVED",H17="APPROVED",COUNTIF(I17:R17,"PASS")=10,S17&lt;&gt;"",T17&lt;&gt;"",V17&lt;&gt;"",W17&lt;&gt;""),"PASS","HOLD"))</x:f>
        <x:v>NOT_RUN</x:v>
      </x:c>
    </x:row>
    <x:row r="18">
      <x:c r="A18" s="29" t="str">
        <x:v>DIO-EVT-014</x:v>
      </x:c>
      <x:c r="B18" s="29" t="str"/>
      <x:c r="C18" s="29" t="str"/>
      <x:c r="D18" s="29" t="str"/>
      <x:c r="E18" s="29" t="str"/>
      <x:c r="F18" s="29" t="str">
        <x:f>'Параметры'!F26</x:f>
        <x:v>OPEN_SITE_DESIGN</x:v>
      </x:c>
      <x:c r="G18" s="29" t="str">
        <x:f>'Параметры'!F27</x:f>
        <x:v>OPEN_SITE_DESIGN</x:v>
      </x:c>
      <x:c r="H18" s="29" t="str">
        <x:f>'Параметры'!F28</x:f>
        <x:v>OPEN_B01_FIRST_ARTICLE</x:v>
      </x:c>
      <x:c r="I18" s="29" t="str">
        <x:v>NOT_RUN</x:v>
      </x:c>
      <x:c r="J18" s="29" t="str">
        <x:v>NOT_RUN</x:v>
      </x:c>
      <x:c r="K18" s="29" t="str">
        <x:v>NOT_RUN</x:v>
      </x:c>
      <x:c r="L18" s="29" t="str">
        <x:v>NOT_RUN</x:v>
      </x:c>
      <x:c r="M18" s="29" t="str">
        <x:v>NOT_RUN</x:v>
      </x:c>
      <x:c r="N18" s="29" t="str">
        <x:v>NOT_RUN</x:v>
      </x:c>
      <x:c r="O18" s="29" t="str">
        <x:v>NOT_RUN</x:v>
      </x:c>
      <x:c r="P18" s="29" t="str">
        <x:v>NOT_RUN</x:v>
      </x:c>
      <x:c r="Q18" s="29" t="str">
        <x:v>NOT_RUN</x:v>
      </x:c>
      <x:c r="R18" s="29" t="str">
        <x:v>NOT_RUN</x:v>
      </x:c>
      <x:c r="S18" s="29" t="str"/>
      <x:c r="T18" s="29" t="str"/>
      <x:c r="U18" s="29" t="str"/>
      <x:c r="V18" s="29" t="str"/>
      <x:c r="W18" s="29" t="str"/>
      <x:c r="X18" s="29" t="str">
        <x:f>IF(COUNTIF(I18:R18,"NOT_RUN")=10,"NOT_RUN",IF(AND(F18="APPROVED",G18="APPROVED",H18="APPROVED",COUNTIF(I18:R18,"PASS")=10,S18&lt;&gt;"",T18&lt;&gt;"",V18&lt;&gt;"",W18&lt;&gt;""),"PASS","HOLD"))</x:f>
        <x:v>NOT_RUN</x:v>
      </x:c>
    </x:row>
    <x:row r="19">
      <x:c r="A19" s="29" t="str">
        <x:v>DIO-EVT-015</x:v>
      </x:c>
      <x:c r="B19" s="29" t="str"/>
      <x:c r="C19" s="29" t="str"/>
      <x:c r="D19" s="29" t="str"/>
      <x:c r="E19" s="29" t="str"/>
      <x:c r="F19" s="29" t="str">
        <x:f>'Параметры'!F26</x:f>
        <x:v>OPEN_SITE_DESIGN</x:v>
      </x:c>
      <x:c r="G19" s="29" t="str">
        <x:f>'Параметры'!F27</x:f>
        <x:v>OPEN_SITE_DESIGN</x:v>
      </x:c>
      <x:c r="H19" s="29" t="str">
        <x:f>'Параметры'!F28</x:f>
        <x:v>OPEN_B01_FIRST_ARTICLE</x:v>
      </x:c>
      <x:c r="I19" s="29" t="str">
        <x:v>NOT_RUN</x:v>
      </x:c>
      <x:c r="J19" s="29" t="str">
        <x:v>NOT_RUN</x:v>
      </x:c>
      <x:c r="K19" s="29" t="str">
        <x:v>NOT_RUN</x:v>
      </x:c>
      <x:c r="L19" s="29" t="str">
        <x:v>NOT_RUN</x:v>
      </x:c>
      <x:c r="M19" s="29" t="str">
        <x:v>NOT_RUN</x:v>
      </x:c>
      <x:c r="N19" s="29" t="str">
        <x:v>NOT_RUN</x:v>
      </x:c>
      <x:c r="O19" s="29" t="str">
        <x:v>NOT_RUN</x:v>
      </x:c>
      <x:c r="P19" s="29" t="str">
        <x:v>NOT_RUN</x:v>
      </x:c>
      <x:c r="Q19" s="29" t="str">
        <x:v>NOT_RUN</x:v>
      </x:c>
      <x:c r="R19" s="29" t="str">
        <x:v>NOT_RUN</x:v>
      </x:c>
      <x:c r="S19" s="29" t="str"/>
      <x:c r="T19" s="29" t="str"/>
      <x:c r="U19" s="29" t="str"/>
      <x:c r="V19" s="29" t="str"/>
      <x:c r="W19" s="29" t="str"/>
      <x:c r="X19" s="29" t="str">
        <x:f>IF(COUNTIF(I19:R19,"NOT_RUN")=10,"NOT_RUN",IF(AND(F19="APPROVED",G19="APPROVED",H19="APPROVED",COUNTIF(I19:R19,"PASS")=10,S19&lt;&gt;"",T19&lt;&gt;"",V19&lt;&gt;"",W19&lt;&gt;""),"PASS","HOLD"))</x:f>
        <x:v>NOT_RUN</x:v>
      </x:c>
    </x:row>
    <x:row r="20">
      <x:c r="A20" s="29" t="str">
        <x:v>DIO-EVT-016</x:v>
      </x:c>
      <x:c r="B20" s="29" t="str"/>
      <x:c r="C20" s="29" t="str"/>
      <x:c r="D20" s="29" t="str"/>
      <x:c r="E20" s="29" t="str"/>
      <x:c r="F20" s="29" t="str">
        <x:f>'Параметры'!F26</x:f>
        <x:v>OPEN_SITE_DESIGN</x:v>
      </x:c>
      <x:c r="G20" s="29" t="str">
        <x:f>'Параметры'!F27</x:f>
        <x:v>OPEN_SITE_DESIGN</x:v>
      </x:c>
      <x:c r="H20" s="29" t="str">
        <x:f>'Параметры'!F28</x:f>
        <x:v>OPEN_B01_FIRST_ARTICLE</x:v>
      </x:c>
      <x:c r="I20" s="29" t="str">
        <x:v>NOT_RUN</x:v>
      </x:c>
      <x:c r="J20" s="29" t="str">
        <x:v>NOT_RUN</x:v>
      </x:c>
      <x:c r="K20" s="29" t="str">
        <x:v>NOT_RUN</x:v>
      </x:c>
      <x:c r="L20" s="29" t="str">
        <x:v>NOT_RUN</x:v>
      </x:c>
      <x:c r="M20" s="29" t="str">
        <x:v>NOT_RUN</x:v>
      </x:c>
      <x:c r="N20" s="29" t="str">
        <x:v>NOT_RUN</x:v>
      </x:c>
      <x:c r="O20" s="29" t="str">
        <x:v>NOT_RUN</x:v>
      </x:c>
      <x:c r="P20" s="29" t="str">
        <x:v>NOT_RUN</x:v>
      </x:c>
      <x:c r="Q20" s="29" t="str">
        <x:v>NOT_RUN</x:v>
      </x:c>
      <x:c r="R20" s="29" t="str">
        <x:v>NOT_RUN</x:v>
      </x:c>
      <x:c r="S20" s="29" t="str"/>
      <x:c r="T20" s="29" t="str"/>
      <x:c r="U20" s="29" t="str"/>
      <x:c r="V20" s="29" t="str"/>
      <x:c r="W20" s="29" t="str"/>
      <x:c r="X20" s="29" t="str">
        <x:f>IF(COUNTIF(I20:R20,"NOT_RUN")=10,"NOT_RUN",IF(AND(F20="APPROVED",G20="APPROVED",H20="APPROVED",COUNTIF(I20:R20,"PASS")=10,S20&lt;&gt;"",T20&lt;&gt;"",V20&lt;&gt;"",W20&lt;&gt;""),"PASS","HOLD"))</x:f>
        <x:v>NOT_RUN</x:v>
      </x:c>
    </x:row>
    <x:row r="21">
      <x:c r="A21" s="29" t="str">
        <x:v>DIO-EVT-017</x:v>
      </x:c>
      <x:c r="B21" s="29" t="str"/>
      <x:c r="C21" s="29" t="str"/>
      <x:c r="D21" s="29" t="str"/>
      <x:c r="E21" s="29" t="str"/>
      <x:c r="F21" s="29" t="str">
        <x:f>'Параметры'!F26</x:f>
        <x:v>OPEN_SITE_DESIGN</x:v>
      </x:c>
      <x:c r="G21" s="29" t="str">
        <x:f>'Параметры'!F27</x:f>
        <x:v>OPEN_SITE_DESIGN</x:v>
      </x:c>
      <x:c r="H21" s="29" t="str">
        <x:f>'Параметры'!F28</x:f>
        <x:v>OPEN_B01_FIRST_ARTICLE</x:v>
      </x:c>
      <x:c r="I21" s="29" t="str">
        <x:v>NOT_RUN</x:v>
      </x:c>
      <x:c r="J21" s="29" t="str">
        <x:v>NOT_RUN</x:v>
      </x:c>
      <x:c r="K21" s="29" t="str">
        <x:v>NOT_RUN</x:v>
      </x:c>
      <x:c r="L21" s="29" t="str">
        <x:v>NOT_RUN</x:v>
      </x:c>
      <x:c r="M21" s="29" t="str">
        <x:v>NOT_RUN</x:v>
      </x:c>
      <x:c r="N21" s="29" t="str">
        <x:v>NOT_RUN</x:v>
      </x:c>
      <x:c r="O21" s="29" t="str">
        <x:v>NOT_RUN</x:v>
      </x:c>
      <x:c r="P21" s="29" t="str">
        <x:v>NOT_RUN</x:v>
      </x:c>
      <x:c r="Q21" s="29" t="str">
        <x:v>NOT_RUN</x:v>
      </x:c>
      <x:c r="R21" s="29" t="str">
        <x:v>NOT_RUN</x:v>
      </x:c>
      <x:c r="S21" s="29" t="str"/>
      <x:c r="T21" s="29" t="str"/>
      <x:c r="U21" s="29" t="str"/>
      <x:c r="V21" s="29" t="str"/>
      <x:c r="W21" s="29" t="str"/>
      <x:c r="X21" s="29" t="str">
        <x:f>IF(COUNTIF(I21:R21,"NOT_RUN")=10,"NOT_RUN",IF(AND(F21="APPROVED",G21="APPROVED",H21="APPROVED",COUNTIF(I21:R21,"PASS")=10,S21&lt;&gt;"",T21&lt;&gt;"",V21&lt;&gt;"",W21&lt;&gt;""),"PASS","HOLD"))</x:f>
        <x:v>NOT_RUN</x:v>
      </x:c>
    </x:row>
    <x:row r="22">
      <x:c r="A22" s="29" t="str">
        <x:v>DIO-EVT-018</x:v>
      </x:c>
      <x:c r="B22" s="29" t="str"/>
      <x:c r="C22" s="29" t="str"/>
      <x:c r="D22" s="29" t="str"/>
      <x:c r="E22" s="29" t="str"/>
      <x:c r="F22" s="29" t="str">
        <x:f>'Параметры'!F26</x:f>
        <x:v>OPEN_SITE_DESIGN</x:v>
      </x:c>
      <x:c r="G22" s="29" t="str">
        <x:f>'Параметры'!F27</x:f>
        <x:v>OPEN_SITE_DESIGN</x:v>
      </x:c>
      <x:c r="H22" s="29" t="str">
        <x:f>'Параметры'!F28</x:f>
        <x:v>OPEN_B01_FIRST_ARTICLE</x:v>
      </x:c>
      <x:c r="I22" s="29" t="str">
        <x:v>NOT_RUN</x:v>
      </x:c>
      <x:c r="J22" s="29" t="str">
        <x:v>NOT_RUN</x:v>
      </x:c>
      <x:c r="K22" s="29" t="str">
        <x:v>NOT_RUN</x:v>
      </x:c>
      <x:c r="L22" s="29" t="str">
        <x:v>NOT_RUN</x:v>
      </x:c>
      <x:c r="M22" s="29" t="str">
        <x:v>NOT_RUN</x:v>
      </x:c>
      <x:c r="N22" s="29" t="str">
        <x:v>NOT_RUN</x:v>
      </x:c>
      <x:c r="O22" s="29" t="str">
        <x:v>NOT_RUN</x:v>
      </x:c>
      <x:c r="P22" s="29" t="str">
        <x:v>NOT_RUN</x:v>
      </x:c>
      <x:c r="Q22" s="29" t="str">
        <x:v>NOT_RUN</x:v>
      </x:c>
      <x:c r="R22" s="29" t="str">
        <x:v>NOT_RUN</x:v>
      </x:c>
      <x:c r="S22" s="29" t="str"/>
      <x:c r="T22" s="29" t="str"/>
      <x:c r="U22" s="29" t="str"/>
      <x:c r="V22" s="29" t="str"/>
      <x:c r="W22" s="29" t="str"/>
      <x:c r="X22" s="29" t="str">
        <x:f>IF(COUNTIF(I22:R22,"NOT_RUN")=10,"NOT_RUN",IF(AND(F22="APPROVED",G22="APPROVED",H22="APPROVED",COUNTIF(I22:R22,"PASS")=10,S22&lt;&gt;"",T22&lt;&gt;"",V22&lt;&gt;"",W22&lt;&gt;""),"PASS","HOLD"))</x:f>
        <x:v>NOT_RUN</x:v>
      </x:c>
    </x:row>
    <x:row r="23">
      <x:c r="A23" s="29" t="str">
        <x:v>DIO-EVT-019</x:v>
      </x:c>
      <x:c r="B23" s="29" t="str"/>
      <x:c r="C23" s="29" t="str"/>
      <x:c r="D23" s="29" t="str"/>
      <x:c r="E23" s="29" t="str"/>
      <x:c r="F23" s="29" t="str">
        <x:f>'Параметры'!F26</x:f>
        <x:v>OPEN_SITE_DESIGN</x:v>
      </x:c>
      <x:c r="G23" s="29" t="str">
        <x:f>'Параметры'!F27</x:f>
        <x:v>OPEN_SITE_DESIGN</x:v>
      </x:c>
      <x:c r="H23" s="29" t="str">
        <x:f>'Параметры'!F28</x:f>
        <x:v>OPEN_B01_FIRST_ARTICLE</x:v>
      </x:c>
      <x:c r="I23" s="29" t="str">
        <x:v>NOT_RUN</x:v>
      </x:c>
      <x:c r="J23" s="29" t="str">
        <x:v>NOT_RUN</x:v>
      </x:c>
      <x:c r="K23" s="29" t="str">
        <x:v>NOT_RUN</x:v>
      </x:c>
      <x:c r="L23" s="29" t="str">
        <x:v>NOT_RUN</x:v>
      </x:c>
      <x:c r="M23" s="29" t="str">
        <x:v>NOT_RUN</x:v>
      </x:c>
      <x:c r="N23" s="29" t="str">
        <x:v>NOT_RUN</x:v>
      </x:c>
      <x:c r="O23" s="29" t="str">
        <x:v>NOT_RUN</x:v>
      </x:c>
      <x:c r="P23" s="29" t="str">
        <x:v>NOT_RUN</x:v>
      </x:c>
      <x:c r="Q23" s="29" t="str">
        <x:v>NOT_RUN</x:v>
      </x:c>
      <x:c r="R23" s="29" t="str">
        <x:v>NOT_RUN</x:v>
      </x:c>
      <x:c r="S23" s="29" t="str"/>
      <x:c r="T23" s="29" t="str"/>
      <x:c r="U23" s="29" t="str"/>
      <x:c r="V23" s="29" t="str"/>
      <x:c r="W23" s="29" t="str"/>
      <x:c r="X23" s="29" t="str">
        <x:f>IF(COUNTIF(I23:R23,"NOT_RUN")=10,"NOT_RUN",IF(AND(F23="APPROVED",G23="APPROVED",H23="APPROVED",COUNTIF(I23:R23,"PASS")=10,S23&lt;&gt;"",T23&lt;&gt;"",V23&lt;&gt;"",W23&lt;&gt;""),"PASS","HOLD"))</x:f>
        <x:v>NOT_RUN</x:v>
      </x:c>
    </x:row>
    <x:row r="24">
      <x:c r="A24" s="29" t="str">
        <x:v>DIO-EVT-020</x:v>
      </x:c>
      <x:c r="B24" s="29" t="str"/>
      <x:c r="C24" s="29" t="str"/>
      <x:c r="D24" s="29" t="str"/>
      <x:c r="E24" s="29" t="str"/>
      <x:c r="F24" s="29" t="str">
        <x:f>'Параметры'!F26</x:f>
        <x:v>OPEN_SITE_DESIGN</x:v>
      </x:c>
      <x:c r="G24" s="29" t="str">
        <x:f>'Параметры'!F27</x:f>
        <x:v>OPEN_SITE_DESIGN</x:v>
      </x:c>
      <x:c r="H24" s="29" t="str">
        <x:f>'Параметры'!F28</x:f>
        <x:v>OPEN_B01_FIRST_ARTICLE</x:v>
      </x:c>
      <x:c r="I24" s="29" t="str">
        <x:v>NOT_RUN</x:v>
      </x:c>
      <x:c r="J24" s="29" t="str">
        <x:v>NOT_RUN</x:v>
      </x:c>
      <x:c r="K24" s="29" t="str">
        <x:v>NOT_RUN</x:v>
      </x:c>
      <x:c r="L24" s="29" t="str">
        <x:v>NOT_RUN</x:v>
      </x:c>
      <x:c r="M24" s="29" t="str">
        <x:v>NOT_RUN</x:v>
      </x:c>
      <x:c r="N24" s="29" t="str">
        <x:v>NOT_RUN</x:v>
      </x:c>
      <x:c r="O24" s="29" t="str">
        <x:v>NOT_RUN</x:v>
      </x:c>
      <x:c r="P24" s="29" t="str">
        <x:v>NOT_RUN</x:v>
      </x:c>
      <x:c r="Q24" s="29" t="str">
        <x:v>NOT_RUN</x:v>
      </x:c>
      <x:c r="R24" s="29" t="str">
        <x:v>NOT_RUN</x:v>
      </x:c>
      <x:c r="S24" s="29" t="str"/>
      <x:c r="T24" s="29" t="str"/>
      <x:c r="U24" s="29" t="str"/>
      <x:c r="V24" s="29" t="str"/>
      <x:c r="W24" s="29" t="str"/>
      <x:c r="X24" s="29" t="str">
        <x:f>IF(COUNTIF(I24:R24,"NOT_RUN")=10,"NOT_RUN",IF(AND(F24="APPROVED",G24="APPROVED",H24="APPROVED",COUNTIF(I24:R24,"PASS")=10,S24&lt;&gt;"",T24&lt;&gt;"",V24&lt;&gt;"",W24&lt;&gt;""),"PASS","HOLD"))</x:f>
        <x:v>NOT_RUN</x:v>
      </x:c>
    </x:row>
    <x:row r="25">
      <x:c r="A25" s="29" t="str">
        <x:v>DIO-EVT-021</x:v>
      </x:c>
      <x:c r="B25" s="29" t="str"/>
      <x:c r="C25" s="29" t="str"/>
      <x:c r="D25" s="29" t="str"/>
      <x:c r="E25" s="29" t="str"/>
      <x:c r="F25" s="29" t="str">
        <x:f>'Параметры'!F26</x:f>
        <x:v>OPEN_SITE_DESIGN</x:v>
      </x:c>
      <x:c r="G25" s="29" t="str">
        <x:f>'Параметры'!F27</x:f>
        <x:v>OPEN_SITE_DESIGN</x:v>
      </x:c>
      <x:c r="H25" s="29" t="str">
        <x:f>'Параметры'!F28</x:f>
        <x:v>OPEN_B01_FIRST_ARTICLE</x:v>
      </x:c>
      <x:c r="I25" s="29" t="str">
        <x:v>NOT_RUN</x:v>
      </x:c>
      <x:c r="J25" s="29" t="str">
        <x:v>NOT_RUN</x:v>
      </x:c>
      <x:c r="K25" s="29" t="str">
        <x:v>NOT_RUN</x:v>
      </x:c>
      <x:c r="L25" s="29" t="str">
        <x:v>NOT_RUN</x:v>
      </x:c>
      <x:c r="M25" s="29" t="str">
        <x:v>NOT_RUN</x:v>
      </x:c>
      <x:c r="N25" s="29" t="str">
        <x:v>NOT_RUN</x:v>
      </x:c>
      <x:c r="O25" s="29" t="str">
        <x:v>NOT_RUN</x:v>
      </x:c>
      <x:c r="P25" s="29" t="str">
        <x:v>NOT_RUN</x:v>
      </x:c>
      <x:c r="Q25" s="29" t="str">
        <x:v>NOT_RUN</x:v>
      </x:c>
      <x:c r="R25" s="29" t="str">
        <x:v>NOT_RUN</x:v>
      </x:c>
      <x:c r="S25" s="29" t="str"/>
      <x:c r="T25" s="29" t="str"/>
      <x:c r="U25" s="29" t="str"/>
      <x:c r="V25" s="29" t="str"/>
      <x:c r="W25" s="29" t="str"/>
      <x:c r="X25" s="29" t="str">
        <x:f>IF(COUNTIF(I25:R25,"NOT_RUN")=10,"NOT_RUN",IF(AND(F25="APPROVED",G25="APPROVED",H25="APPROVED",COUNTIF(I25:R25,"PASS")=10,S25&lt;&gt;"",T25&lt;&gt;"",V25&lt;&gt;"",W25&lt;&gt;""),"PASS","HOLD"))</x:f>
        <x:v>NOT_RUN</x:v>
      </x:c>
    </x:row>
    <x:row r="26">
      <x:c r="A26" s="29" t="str">
        <x:v>DIO-EVT-022</x:v>
      </x:c>
      <x:c r="B26" s="29" t="str"/>
      <x:c r="C26" s="29" t="str"/>
      <x:c r="D26" s="29" t="str"/>
      <x:c r="E26" s="29" t="str"/>
      <x:c r="F26" s="29" t="str">
        <x:f>'Параметры'!F26</x:f>
        <x:v>OPEN_SITE_DESIGN</x:v>
      </x:c>
      <x:c r="G26" s="29" t="str">
        <x:f>'Параметры'!F27</x:f>
        <x:v>OPEN_SITE_DESIGN</x:v>
      </x:c>
      <x:c r="H26" s="29" t="str">
        <x:f>'Параметры'!F28</x:f>
        <x:v>OPEN_B01_FIRST_ARTICLE</x:v>
      </x:c>
      <x:c r="I26" s="29" t="str">
        <x:v>NOT_RUN</x:v>
      </x:c>
      <x:c r="J26" s="29" t="str">
        <x:v>NOT_RUN</x:v>
      </x:c>
      <x:c r="K26" s="29" t="str">
        <x:v>NOT_RUN</x:v>
      </x:c>
      <x:c r="L26" s="29" t="str">
        <x:v>NOT_RUN</x:v>
      </x:c>
      <x:c r="M26" s="29" t="str">
        <x:v>NOT_RUN</x:v>
      </x:c>
      <x:c r="N26" s="29" t="str">
        <x:v>NOT_RUN</x:v>
      </x:c>
      <x:c r="O26" s="29" t="str">
        <x:v>NOT_RUN</x:v>
      </x:c>
      <x:c r="P26" s="29" t="str">
        <x:v>NOT_RUN</x:v>
      </x:c>
      <x:c r="Q26" s="29" t="str">
        <x:v>NOT_RUN</x:v>
      </x:c>
      <x:c r="R26" s="29" t="str">
        <x:v>NOT_RUN</x:v>
      </x:c>
      <x:c r="S26" s="29" t="str"/>
      <x:c r="T26" s="29" t="str"/>
      <x:c r="U26" s="29" t="str"/>
      <x:c r="V26" s="29" t="str"/>
      <x:c r="W26" s="29" t="str"/>
      <x:c r="X26" s="29" t="str">
        <x:f>IF(COUNTIF(I26:R26,"NOT_RUN")=10,"NOT_RUN",IF(AND(F26="APPROVED",G26="APPROVED",H26="APPROVED",COUNTIF(I26:R26,"PASS")=10,S26&lt;&gt;"",T26&lt;&gt;"",V26&lt;&gt;"",W26&lt;&gt;""),"PASS","HOLD"))</x:f>
        <x:v>NOT_RUN</x:v>
      </x:c>
    </x:row>
    <x:row r="27">
      <x:c r="A27" s="29" t="str">
        <x:v>DIO-EVT-023</x:v>
      </x:c>
      <x:c r="B27" s="29" t="str"/>
      <x:c r="C27" s="29" t="str"/>
      <x:c r="D27" s="29" t="str"/>
      <x:c r="E27" s="29" t="str"/>
      <x:c r="F27" s="29" t="str">
        <x:f>'Параметры'!F26</x:f>
        <x:v>OPEN_SITE_DESIGN</x:v>
      </x:c>
      <x:c r="G27" s="29" t="str">
        <x:f>'Параметры'!F27</x:f>
        <x:v>OPEN_SITE_DESIGN</x:v>
      </x:c>
      <x:c r="H27" s="29" t="str">
        <x:f>'Параметры'!F28</x:f>
        <x:v>OPEN_B01_FIRST_ARTICLE</x:v>
      </x:c>
      <x:c r="I27" s="29" t="str">
        <x:v>NOT_RUN</x:v>
      </x:c>
      <x:c r="J27" s="29" t="str">
        <x:v>NOT_RUN</x:v>
      </x:c>
      <x:c r="K27" s="29" t="str">
        <x:v>NOT_RUN</x:v>
      </x:c>
      <x:c r="L27" s="29" t="str">
        <x:v>NOT_RUN</x:v>
      </x:c>
      <x:c r="M27" s="29" t="str">
        <x:v>NOT_RUN</x:v>
      </x:c>
      <x:c r="N27" s="29" t="str">
        <x:v>NOT_RUN</x:v>
      </x:c>
      <x:c r="O27" s="29" t="str">
        <x:v>NOT_RUN</x:v>
      </x:c>
      <x:c r="P27" s="29" t="str">
        <x:v>NOT_RUN</x:v>
      </x:c>
      <x:c r="Q27" s="29" t="str">
        <x:v>NOT_RUN</x:v>
      </x:c>
      <x:c r="R27" s="29" t="str">
        <x:v>NOT_RUN</x:v>
      </x:c>
      <x:c r="S27" s="29" t="str"/>
      <x:c r="T27" s="29" t="str"/>
      <x:c r="U27" s="29" t="str"/>
      <x:c r="V27" s="29" t="str"/>
      <x:c r="W27" s="29" t="str"/>
      <x:c r="X27" s="29" t="str">
        <x:f>IF(COUNTIF(I27:R27,"NOT_RUN")=10,"NOT_RUN",IF(AND(F27="APPROVED",G27="APPROVED",H27="APPROVED",COUNTIF(I27:R27,"PASS")=10,S27&lt;&gt;"",T27&lt;&gt;"",V27&lt;&gt;"",W27&lt;&gt;""),"PASS","HOLD"))</x:f>
        <x:v>NOT_RUN</x:v>
      </x:c>
    </x:row>
    <x:row r="28">
      <x:c r="A28" s="29" t="str">
        <x:v>DIO-EVT-024</x:v>
      </x:c>
      <x:c r="B28" s="29" t="str"/>
      <x:c r="C28" s="29" t="str"/>
      <x:c r="D28" s="29" t="str"/>
      <x:c r="E28" s="29" t="str"/>
      <x:c r="F28" s="29" t="str">
        <x:f>'Параметры'!F26</x:f>
        <x:v>OPEN_SITE_DESIGN</x:v>
      </x:c>
      <x:c r="G28" s="29" t="str">
        <x:f>'Параметры'!F27</x:f>
        <x:v>OPEN_SITE_DESIGN</x:v>
      </x:c>
      <x:c r="H28" s="29" t="str">
        <x:f>'Параметры'!F28</x:f>
        <x:v>OPEN_B01_FIRST_ARTICLE</x:v>
      </x:c>
      <x:c r="I28" s="29" t="str">
        <x:v>NOT_RUN</x:v>
      </x:c>
      <x:c r="J28" s="29" t="str">
        <x:v>NOT_RUN</x:v>
      </x:c>
      <x:c r="K28" s="29" t="str">
        <x:v>NOT_RUN</x:v>
      </x:c>
      <x:c r="L28" s="29" t="str">
        <x:v>NOT_RUN</x:v>
      </x:c>
      <x:c r="M28" s="29" t="str">
        <x:v>NOT_RUN</x:v>
      </x:c>
      <x:c r="N28" s="29" t="str">
        <x:v>NOT_RUN</x:v>
      </x:c>
      <x:c r="O28" s="29" t="str">
        <x:v>NOT_RUN</x:v>
      </x:c>
      <x:c r="P28" s="29" t="str">
        <x:v>NOT_RUN</x:v>
      </x:c>
      <x:c r="Q28" s="29" t="str">
        <x:v>NOT_RUN</x:v>
      </x:c>
      <x:c r="R28" s="29" t="str">
        <x:v>NOT_RUN</x:v>
      </x:c>
      <x:c r="S28" s="29" t="str"/>
      <x:c r="T28" s="29" t="str"/>
      <x:c r="U28" s="29" t="str"/>
      <x:c r="V28" s="29" t="str"/>
      <x:c r="W28" s="29" t="str"/>
      <x:c r="X28" s="29" t="str">
        <x:f>IF(COUNTIF(I28:R28,"NOT_RUN")=10,"NOT_RUN",IF(AND(F28="APPROVED",G28="APPROVED",H28="APPROVED",COUNTIF(I28:R28,"PASS")=10,S28&lt;&gt;"",T28&lt;&gt;"",V28&lt;&gt;"",W28&lt;&gt;""),"PASS","HOLD"))</x:f>
        <x:v>NOT_RUN</x:v>
      </x:c>
    </x:row>
    <x:row r="29">
      <x:c r="A29" s="29" t="str">
        <x:v>DIO-EVT-025</x:v>
      </x:c>
      <x:c r="B29" s="29" t="str"/>
      <x:c r="C29" s="29" t="str"/>
      <x:c r="D29" s="29" t="str"/>
      <x:c r="E29" s="29" t="str"/>
      <x:c r="F29" s="29" t="str">
        <x:f>'Параметры'!F26</x:f>
        <x:v>OPEN_SITE_DESIGN</x:v>
      </x:c>
      <x:c r="G29" s="29" t="str">
        <x:f>'Параметры'!F27</x:f>
        <x:v>OPEN_SITE_DESIGN</x:v>
      </x:c>
      <x:c r="H29" s="29" t="str">
        <x:f>'Параметры'!F28</x:f>
        <x:v>OPEN_B01_FIRST_ARTICLE</x:v>
      </x:c>
      <x:c r="I29" s="29" t="str">
        <x:v>NOT_RUN</x:v>
      </x:c>
      <x:c r="J29" s="29" t="str">
        <x:v>NOT_RUN</x:v>
      </x:c>
      <x:c r="K29" s="29" t="str">
        <x:v>NOT_RUN</x:v>
      </x:c>
      <x:c r="L29" s="29" t="str">
        <x:v>NOT_RUN</x:v>
      </x:c>
      <x:c r="M29" s="29" t="str">
        <x:v>NOT_RUN</x:v>
      </x:c>
      <x:c r="N29" s="29" t="str">
        <x:v>NOT_RUN</x:v>
      </x:c>
      <x:c r="O29" s="29" t="str">
        <x:v>NOT_RUN</x:v>
      </x:c>
      <x:c r="P29" s="29" t="str">
        <x:v>NOT_RUN</x:v>
      </x:c>
      <x:c r="Q29" s="29" t="str">
        <x:v>NOT_RUN</x:v>
      </x:c>
      <x:c r="R29" s="29" t="str">
        <x:v>NOT_RUN</x:v>
      </x:c>
      <x:c r="S29" s="29" t="str"/>
      <x:c r="T29" s="29" t="str"/>
      <x:c r="U29" s="29" t="str"/>
      <x:c r="V29" s="29" t="str"/>
      <x:c r="W29" s="29" t="str"/>
      <x:c r="X29" s="29" t="str">
        <x:f>IF(COUNTIF(I29:R29,"NOT_RUN")=10,"NOT_RUN",IF(AND(F29="APPROVED",G29="APPROVED",H29="APPROVED",COUNTIF(I29:R29,"PASS")=10,S29&lt;&gt;"",T29&lt;&gt;"",V29&lt;&gt;"",W29&lt;&gt;""),"PASS","HOLD"))</x:f>
        <x:v>NOT_RUN</x:v>
      </x:c>
    </x:row>
    <x:row r="30">
      <x:c r="A30" s="29" t="str">
        <x:v>DIO-EVT-026</x:v>
      </x:c>
      <x:c r="B30" s="29" t="str"/>
      <x:c r="C30" s="29" t="str"/>
      <x:c r="D30" s="29" t="str"/>
      <x:c r="E30" s="29" t="str"/>
      <x:c r="F30" s="29" t="str">
        <x:f>'Параметры'!F26</x:f>
        <x:v>OPEN_SITE_DESIGN</x:v>
      </x:c>
      <x:c r="G30" s="29" t="str">
        <x:f>'Параметры'!F27</x:f>
        <x:v>OPEN_SITE_DESIGN</x:v>
      </x:c>
      <x:c r="H30" s="29" t="str">
        <x:f>'Параметры'!F28</x:f>
        <x:v>OPEN_B01_FIRST_ARTICLE</x:v>
      </x:c>
      <x:c r="I30" s="29" t="str">
        <x:v>NOT_RUN</x:v>
      </x:c>
      <x:c r="J30" s="29" t="str">
        <x:v>NOT_RUN</x:v>
      </x:c>
      <x:c r="K30" s="29" t="str">
        <x:v>NOT_RUN</x:v>
      </x:c>
      <x:c r="L30" s="29" t="str">
        <x:v>NOT_RUN</x:v>
      </x:c>
      <x:c r="M30" s="29" t="str">
        <x:v>NOT_RUN</x:v>
      </x:c>
      <x:c r="N30" s="29" t="str">
        <x:v>NOT_RUN</x:v>
      </x:c>
      <x:c r="O30" s="29" t="str">
        <x:v>NOT_RUN</x:v>
      </x:c>
      <x:c r="P30" s="29" t="str">
        <x:v>NOT_RUN</x:v>
      </x:c>
      <x:c r="Q30" s="29" t="str">
        <x:v>NOT_RUN</x:v>
      </x:c>
      <x:c r="R30" s="29" t="str">
        <x:v>NOT_RUN</x:v>
      </x:c>
      <x:c r="S30" s="29" t="str"/>
      <x:c r="T30" s="29" t="str"/>
      <x:c r="U30" s="29" t="str"/>
      <x:c r="V30" s="29" t="str"/>
      <x:c r="W30" s="29" t="str"/>
      <x:c r="X30" s="29" t="str">
        <x:f>IF(COUNTIF(I30:R30,"NOT_RUN")=10,"NOT_RUN",IF(AND(F30="APPROVED",G30="APPROVED",H30="APPROVED",COUNTIF(I30:R30,"PASS")=10,S30&lt;&gt;"",T30&lt;&gt;"",V30&lt;&gt;"",W30&lt;&gt;""),"PASS","HOLD"))</x:f>
        <x:v>NOT_RUN</x:v>
      </x:c>
    </x:row>
    <x:row r="31">
      <x:c r="A31" s="29" t="str">
        <x:v>DIO-EVT-027</x:v>
      </x:c>
      <x:c r="B31" s="29" t="str"/>
      <x:c r="C31" s="29" t="str"/>
      <x:c r="D31" s="29" t="str"/>
      <x:c r="E31" s="29" t="str"/>
      <x:c r="F31" s="29" t="str">
        <x:f>'Параметры'!F26</x:f>
        <x:v>OPEN_SITE_DESIGN</x:v>
      </x:c>
      <x:c r="G31" s="29" t="str">
        <x:f>'Параметры'!F27</x:f>
        <x:v>OPEN_SITE_DESIGN</x:v>
      </x:c>
      <x:c r="H31" s="29" t="str">
        <x:f>'Параметры'!F28</x:f>
        <x:v>OPEN_B01_FIRST_ARTICLE</x:v>
      </x:c>
      <x:c r="I31" s="29" t="str">
        <x:v>NOT_RUN</x:v>
      </x:c>
      <x:c r="J31" s="29" t="str">
        <x:v>NOT_RUN</x:v>
      </x:c>
      <x:c r="K31" s="29" t="str">
        <x:v>NOT_RUN</x:v>
      </x:c>
      <x:c r="L31" s="29" t="str">
        <x:v>NOT_RUN</x:v>
      </x:c>
      <x:c r="M31" s="29" t="str">
        <x:v>NOT_RUN</x:v>
      </x:c>
      <x:c r="N31" s="29" t="str">
        <x:v>NOT_RUN</x:v>
      </x:c>
      <x:c r="O31" s="29" t="str">
        <x:v>NOT_RUN</x:v>
      </x:c>
      <x:c r="P31" s="29" t="str">
        <x:v>NOT_RUN</x:v>
      </x:c>
      <x:c r="Q31" s="29" t="str">
        <x:v>NOT_RUN</x:v>
      </x:c>
      <x:c r="R31" s="29" t="str">
        <x:v>NOT_RUN</x:v>
      </x:c>
      <x:c r="S31" s="29" t="str"/>
      <x:c r="T31" s="29" t="str"/>
      <x:c r="U31" s="29" t="str"/>
      <x:c r="V31" s="29" t="str"/>
      <x:c r="W31" s="29" t="str"/>
      <x:c r="X31" s="29" t="str">
        <x:f>IF(COUNTIF(I31:R31,"NOT_RUN")=10,"NOT_RUN",IF(AND(F31="APPROVED",G31="APPROVED",H31="APPROVED",COUNTIF(I31:R31,"PASS")=10,S31&lt;&gt;"",T31&lt;&gt;"",V31&lt;&gt;"",W31&lt;&gt;""),"PASS","HOLD"))</x:f>
        <x:v>NOT_RUN</x:v>
      </x:c>
    </x:row>
    <x:row r="32">
      <x:c r="A32" s="29" t="str">
        <x:v>DIO-EVT-028</x:v>
      </x:c>
      <x:c r="B32" s="29" t="str"/>
      <x:c r="C32" s="29" t="str"/>
      <x:c r="D32" s="29" t="str"/>
      <x:c r="E32" s="29" t="str"/>
      <x:c r="F32" s="29" t="str">
        <x:f>'Параметры'!F26</x:f>
        <x:v>OPEN_SITE_DESIGN</x:v>
      </x:c>
      <x:c r="G32" s="29" t="str">
        <x:f>'Параметры'!F27</x:f>
        <x:v>OPEN_SITE_DESIGN</x:v>
      </x:c>
      <x:c r="H32" s="29" t="str">
        <x:f>'Параметры'!F28</x:f>
        <x:v>OPEN_B01_FIRST_ARTICLE</x:v>
      </x:c>
      <x:c r="I32" s="29" t="str">
        <x:v>NOT_RUN</x:v>
      </x:c>
      <x:c r="J32" s="29" t="str">
        <x:v>NOT_RUN</x:v>
      </x:c>
      <x:c r="K32" s="29" t="str">
        <x:v>NOT_RUN</x:v>
      </x:c>
      <x:c r="L32" s="29" t="str">
        <x:v>NOT_RUN</x:v>
      </x:c>
      <x:c r="M32" s="29" t="str">
        <x:v>NOT_RUN</x:v>
      </x:c>
      <x:c r="N32" s="29" t="str">
        <x:v>NOT_RUN</x:v>
      </x:c>
      <x:c r="O32" s="29" t="str">
        <x:v>NOT_RUN</x:v>
      </x:c>
      <x:c r="P32" s="29" t="str">
        <x:v>NOT_RUN</x:v>
      </x:c>
      <x:c r="Q32" s="29" t="str">
        <x:v>NOT_RUN</x:v>
      </x:c>
      <x:c r="R32" s="29" t="str">
        <x:v>NOT_RUN</x:v>
      </x:c>
      <x:c r="S32" s="29" t="str"/>
      <x:c r="T32" s="29" t="str"/>
      <x:c r="U32" s="29" t="str"/>
      <x:c r="V32" s="29" t="str"/>
      <x:c r="W32" s="29" t="str"/>
      <x:c r="X32" s="29" t="str">
        <x:f>IF(COUNTIF(I32:R32,"NOT_RUN")=10,"NOT_RUN",IF(AND(F32="APPROVED",G32="APPROVED",H32="APPROVED",COUNTIF(I32:R32,"PASS")=10,S32&lt;&gt;"",T32&lt;&gt;"",V32&lt;&gt;"",W32&lt;&gt;""),"PASS","HOLD"))</x:f>
        <x:v>NOT_RUN</x:v>
      </x:c>
    </x:row>
    <x:row r="33">
      <x:c r="A33" s="29" t="str">
        <x:v>DIO-EVT-029</x:v>
      </x:c>
      <x:c r="B33" s="29" t="str"/>
      <x:c r="C33" s="29" t="str"/>
      <x:c r="D33" s="29" t="str"/>
      <x:c r="E33" s="29" t="str"/>
      <x:c r="F33" s="29" t="str">
        <x:f>'Параметры'!F26</x:f>
        <x:v>OPEN_SITE_DESIGN</x:v>
      </x:c>
      <x:c r="G33" s="29" t="str">
        <x:f>'Параметры'!F27</x:f>
        <x:v>OPEN_SITE_DESIGN</x:v>
      </x:c>
      <x:c r="H33" s="29" t="str">
        <x:f>'Параметры'!F28</x:f>
        <x:v>OPEN_B01_FIRST_ARTICLE</x:v>
      </x:c>
      <x:c r="I33" s="29" t="str">
        <x:v>NOT_RUN</x:v>
      </x:c>
      <x:c r="J33" s="29" t="str">
        <x:v>NOT_RUN</x:v>
      </x:c>
      <x:c r="K33" s="29" t="str">
        <x:v>NOT_RUN</x:v>
      </x:c>
      <x:c r="L33" s="29" t="str">
        <x:v>NOT_RUN</x:v>
      </x:c>
      <x:c r="M33" s="29" t="str">
        <x:v>NOT_RUN</x:v>
      </x:c>
      <x:c r="N33" s="29" t="str">
        <x:v>NOT_RUN</x:v>
      </x:c>
      <x:c r="O33" s="29" t="str">
        <x:v>NOT_RUN</x:v>
      </x:c>
      <x:c r="P33" s="29" t="str">
        <x:v>NOT_RUN</x:v>
      </x:c>
      <x:c r="Q33" s="29" t="str">
        <x:v>NOT_RUN</x:v>
      </x:c>
      <x:c r="R33" s="29" t="str">
        <x:v>NOT_RUN</x:v>
      </x:c>
      <x:c r="S33" s="29" t="str"/>
      <x:c r="T33" s="29" t="str"/>
      <x:c r="U33" s="29" t="str"/>
      <x:c r="V33" s="29" t="str"/>
      <x:c r="W33" s="29" t="str"/>
      <x:c r="X33" s="29" t="str">
        <x:f>IF(COUNTIF(I33:R33,"NOT_RUN")=10,"NOT_RUN",IF(AND(F33="APPROVED",G33="APPROVED",H33="APPROVED",COUNTIF(I33:R33,"PASS")=10,S33&lt;&gt;"",T33&lt;&gt;"",V33&lt;&gt;"",W33&lt;&gt;""),"PASS","HOLD"))</x:f>
        <x:v>NOT_RUN</x:v>
      </x:c>
    </x:row>
    <x:row r="34">
      <x:c r="A34" s="29" t="str">
        <x:v>DIO-EVT-030</x:v>
      </x:c>
      <x:c r="B34" s="29" t="str"/>
      <x:c r="C34" s="29" t="str"/>
      <x:c r="D34" s="29" t="str"/>
      <x:c r="E34" s="29" t="str"/>
      <x:c r="F34" s="29" t="str">
        <x:f>'Параметры'!F26</x:f>
        <x:v>OPEN_SITE_DESIGN</x:v>
      </x:c>
      <x:c r="G34" s="29" t="str">
        <x:f>'Параметры'!F27</x:f>
        <x:v>OPEN_SITE_DESIGN</x:v>
      </x:c>
      <x:c r="H34" s="29" t="str">
        <x:f>'Параметры'!F28</x:f>
        <x:v>OPEN_B01_FIRST_ARTICLE</x:v>
      </x:c>
      <x:c r="I34" s="29" t="str">
        <x:v>NOT_RUN</x:v>
      </x:c>
      <x:c r="J34" s="29" t="str">
        <x:v>NOT_RUN</x:v>
      </x:c>
      <x:c r="K34" s="29" t="str">
        <x:v>NOT_RUN</x:v>
      </x:c>
      <x:c r="L34" s="29" t="str">
        <x:v>NOT_RUN</x:v>
      </x:c>
      <x:c r="M34" s="29" t="str">
        <x:v>NOT_RUN</x:v>
      </x:c>
      <x:c r="N34" s="29" t="str">
        <x:v>NOT_RUN</x:v>
      </x:c>
      <x:c r="O34" s="29" t="str">
        <x:v>NOT_RUN</x:v>
      </x:c>
      <x:c r="P34" s="29" t="str">
        <x:v>NOT_RUN</x:v>
      </x:c>
      <x:c r="Q34" s="29" t="str">
        <x:v>NOT_RUN</x:v>
      </x:c>
      <x:c r="R34" s="29" t="str">
        <x:v>NOT_RUN</x:v>
      </x:c>
      <x:c r="S34" s="29" t="str"/>
      <x:c r="T34" s="29" t="str"/>
      <x:c r="U34" s="29" t="str"/>
      <x:c r="V34" s="29" t="str"/>
      <x:c r="W34" s="29" t="str"/>
      <x:c r="X34" s="29" t="str">
        <x:f>IF(COUNTIF(I34:R34,"NOT_RUN")=10,"NOT_RUN",IF(AND(F34="APPROVED",G34="APPROVED",H34="APPROVED",COUNTIF(I34:R34,"PASS")=10,S34&lt;&gt;"",T34&lt;&gt;"",V34&lt;&gt;"",W34&lt;&gt;""),"PASS","HOLD"))</x:f>
        <x:v>NOT_RUN</x:v>
      </x:c>
    </x:row>
    <x:row r="35">
      <x:c r="A35" s="29" t="str">
        <x:v>DIO-EVT-031</x:v>
      </x:c>
      <x:c r="B35" s="29" t="str"/>
      <x:c r="C35" s="29" t="str"/>
      <x:c r="D35" s="29" t="str"/>
      <x:c r="E35" s="29" t="str"/>
      <x:c r="F35" s="29" t="str">
        <x:f>'Параметры'!F26</x:f>
        <x:v>OPEN_SITE_DESIGN</x:v>
      </x:c>
      <x:c r="G35" s="29" t="str">
        <x:f>'Параметры'!F27</x:f>
        <x:v>OPEN_SITE_DESIGN</x:v>
      </x:c>
      <x:c r="H35" s="29" t="str">
        <x:f>'Параметры'!F28</x:f>
        <x:v>OPEN_B01_FIRST_ARTICLE</x:v>
      </x:c>
      <x:c r="I35" s="29" t="str">
        <x:v>NOT_RUN</x:v>
      </x:c>
      <x:c r="J35" s="29" t="str">
        <x:v>NOT_RUN</x:v>
      </x:c>
      <x:c r="K35" s="29" t="str">
        <x:v>NOT_RUN</x:v>
      </x:c>
      <x:c r="L35" s="29" t="str">
        <x:v>NOT_RUN</x:v>
      </x:c>
      <x:c r="M35" s="29" t="str">
        <x:v>NOT_RUN</x:v>
      </x:c>
      <x:c r="N35" s="29" t="str">
        <x:v>NOT_RUN</x:v>
      </x:c>
      <x:c r="O35" s="29" t="str">
        <x:v>NOT_RUN</x:v>
      </x:c>
      <x:c r="P35" s="29" t="str">
        <x:v>NOT_RUN</x:v>
      </x:c>
      <x:c r="Q35" s="29" t="str">
        <x:v>NOT_RUN</x:v>
      </x:c>
      <x:c r="R35" s="29" t="str">
        <x:v>NOT_RUN</x:v>
      </x:c>
      <x:c r="S35" s="29" t="str"/>
      <x:c r="T35" s="29" t="str"/>
      <x:c r="U35" s="29" t="str"/>
      <x:c r="V35" s="29" t="str"/>
      <x:c r="W35" s="29" t="str"/>
      <x:c r="X35" s="29" t="str">
        <x:f>IF(COUNTIF(I35:R35,"NOT_RUN")=10,"NOT_RUN",IF(AND(F35="APPROVED",G35="APPROVED",H35="APPROVED",COUNTIF(I35:R35,"PASS")=10,S35&lt;&gt;"",T35&lt;&gt;"",V35&lt;&gt;"",W35&lt;&gt;""),"PASS","HOLD"))</x:f>
        <x:v>NOT_RUN</x:v>
      </x:c>
    </x:row>
    <x:row r="36">
      <x:c r="A36" s="29" t="str">
        <x:v>DIO-EVT-032</x:v>
      </x:c>
      <x:c r="B36" s="29" t="str"/>
      <x:c r="C36" s="29" t="str"/>
      <x:c r="D36" s="29" t="str"/>
      <x:c r="E36" s="29" t="str"/>
      <x:c r="F36" s="29" t="str">
        <x:f>'Параметры'!F26</x:f>
        <x:v>OPEN_SITE_DESIGN</x:v>
      </x:c>
      <x:c r="G36" s="29" t="str">
        <x:f>'Параметры'!F27</x:f>
        <x:v>OPEN_SITE_DESIGN</x:v>
      </x:c>
      <x:c r="H36" s="29" t="str">
        <x:f>'Параметры'!F28</x:f>
        <x:v>OPEN_B01_FIRST_ARTICLE</x:v>
      </x:c>
      <x:c r="I36" s="29" t="str">
        <x:v>NOT_RUN</x:v>
      </x:c>
      <x:c r="J36" s="29" t="str">
        <x:v>NOT_RUN</x:v>
      </x:c>
      <x:c r="K36" s="29" t="str">
        <x:v>NOT_RUN</x:v>
      </x:c>
      <x:c r="L36" s="29" t="str">
        <x:v>NOT_RUN</x:v>
      </x:c>
      <x:c r="M36" s="29" t="str">
        <x:v>NOT_RUN</x:v>
      </x:c>
      <x:c r="N36" s="29" t="str">
        <x:v>NOT_RUN</x:v>
      </x:c>
      <x:c r="O36" s="29" t="str">
        <x:v>NOT_RUN</x:v>
      </x:c>
      <x:c r="P36" s="29" t="str">
        <x:v>NOT_RUN</x:v>
      </x:c>
      <x:c r="Q36" s="29" t="str">
        <x:v>NOT_RUN</x:v>
      </x:c>
      <x:c r="R36" s="29" t="str">
        <x:v>NOT_RUN</x:v>
      </x:c>
      <x:c r="S36" s="29" t="str"/>
      <x:c r="T36" s="29" t="str"/>
      <x:c r="U36" s="29" t="str"/>
      <x:c r="V36" s="29" t="str"/>
      <x:c r="W36" s="29" t="str"/>
      <x:c r="X36" s="29" t="str">
        <x:f>IF(COUNTIF(I36:R36,"NOT_RUN")=10,"NOT_RUN",IF(AND(F36="APPROVED",G36="APPROVED",H36="APPROVED",COUNTIF(I36:R36,"PASS")=10,S36&lt;&gt;"",T36&lt;&gt;"",V36&lt;&gt;"",W36&lt;&gt;""),"PASS","HOLD"))</x:f>
        <x:v>NOT_RUN</x:v>
      </x:c>
    </x:row>
    <x:row r="37">
      <x:c r="A37" s="29" t="str">
        <x:v>DIO-EVT-033</x:v>
      </x:c>
      <x:c r="B37" s="29" t="str"/>
      <x:c r="C37" s="29" t="str"/>
      <x:c r="D37" s="29" t="str"/>
      <x:c r="E37" s="29" t="str"/>
      <x:c r="F37" s="29" t="str">
        <x:f>'Параметры'!F26</x:f>
        <x:v>OPEN_SITE_DESIGN</x:v>
      </x:c>
      <x:c r="G37" s="29" t="str">
        <x:f>'Параметры'!F27</x:f>
        <x:v>OPEN_SITE_DESIGN</x:v>
      </x:c>
      <x:c r="H37" s="29" t="str">
        <x:f>'Параметры'!F28</x:f>
        <x:v>OPEN_B01_FIRST_ARTICLE</x:v>
      </x:c>
      <x:c r="I37" s="29" t="str">
        <x:v>NOT_RUN</x:v>
      </x:c>
      <x:c r="J37" s="29" t="str">
        <x:v>NOT_RUN</x:v>
      </x:c>
      <x:c r="K37" s="29" t="str">
        <x:v>NOT_RUN</x:v>
      </x:c>
      <x:c r="L37" s="29" t="str">
        <x:v>NOT_RUN</x:v>
      </x:c>
      <x:c r="M37" s="29" t="str">
        <x:v>NOT_RUN</x:v>
      </x:c>
      <x:c r="N37" s="29" t="str">
        <x:v>NOT_RUN</x:v>
      </x:c>
      <x:c r="O37" s="29" t="str">
        <x:v>NOT_RUN</x:v>
      </x:c>
      <x:c r="P37" s="29" t="str">
        <x:v>NOT_RUN</x:v>
      </x:c>
      <x:c r="Q37" s="29" t="str">
        <x:v>NOT_RUN</x:v>
      </x:c>
      <x:c r="R37" s="29" t="str">
        <x:v>NOT_RUN</x:v>
      </x:c>
      <x:c r="S37" s="29" t="str"/>
      <x:c r="T37" s="29" t="str"/>
      <x:c r="U37" s="29" t="str"/>
      <x:c r="V37" s="29" t="str"/>
      <x:c r="W37" s="29" t="str"/>
      <x:c r="X37" s="29" t="str">
        <x:f>IF(COUNTIF(I37:R37,"NOT_RUN")=10,"NOT_RUN",IF(AND(F37="APPROVED",G37="APPROVED",H37="APPROVED",COUNTIF(I37:R37,"PASS")=10,S37&lt;&gt;"",T37&lt;&gt;"",V37&lt;&gt;"",W37&lt;&gt;""),"PASS","HOLD"))</x:f>
        <x:v>NOT_RUN</x:v>
      </x:c>
    </x:row>
    <x:row r="38">
      <x:c r="A38" s="29" t="str">
        <x:v>DIO-EVT-034</x:v>
      </x:c>
      <x:c r="B38" s="29" t="str"/>
      <x:c r="C38" s="29" t="str"/>
      <x:c r="D38" s="29" t="str"/>
      <x:c r="E38" s="29" t="str"/>
      <x:c r="F38" s="29" t="str">
        <x:f>'Параметры'!F26</x:f>
        <x:v>OPEN_SITE_DESIGN</x:v>
      </x:c>
      <x:c r="G38" s="29" t="str">
        <x:f>'Параметры'!F27</x:f>
        <x:v>OPEN_SITE_DESIGN</x:v>
      </x:c>
      <x:c r="H38" s="29" t="str">
        <x:f>'Параметры'!F28</x:f>
        <x:v>OPEN_B01_FIRST_ARTICLE</x:v>
      </x:c>
      <x:c r="I38" s="29" t="str">
        <x:v>NOT_RUN</x:v>
      </x:c>
      <x:c r="J38" s="29" t="str">
        <x:v>NOT_RUN</x:v>
      </x:c>
      <x:c r="K38" s="29" t="str">
        <x:v>NOT_RUN</x:v>
      </x:c>
      <x:c r="L38" s="29" t="str">
        <x:v>NOT_RUN</x:v>
      </x:c>
      <x:c r="M38" s="29" t="str">
        <x:v>NOT_RUN</x:v>
      </x:c>
      <x:c r="N38" s="29" t="str">
        <x:v>NOT_RUN</x:v>
      </x:c>
      <x:c r="O38" s="29" t="str">
        <x:v>NOT_RUN</x:v>
      </x:c>
      <x:c r="P38" s="29" t="str">
        <x:v>NOT_RUN</x:v>
      </x:c>
      <x:c r="Q38" s="29" t="str">
        <x:v>NOT_RUN</x:v>
      </x:c>
      <x:c r="R38" s="29" t="str">
        <x:v>NOT_RUN</x:v>
      </x:c>
      <x:c r="S38" s="29" t="str"/>
      <x:c r="T38" s="29" t="str"/>
      <x:c r="U38" s="29" t="str"/>
      <x:c r="V38" s="29" t="str"/>
      <x:c r="W38" s="29" t="str"/>
      <x:c r="X38" s="29" t="str">
        <x:f>IF(COUNTIF(I38:R38,"NOT_RUN")=10,"NOT_RUN",IF(AND(F38="APPROVED",G38="APPROVED",H38="APPROVED",COUNTIF(I38:R38,"PASS")=10,S38&lt;&gt;"",T38&lt;&gt;"",V38&lt;&gt;"",W38&lt;&gt;""),"PASS","HOLD"))</x:f>
        <x:v>NOT_RUN</x:v>
      </x:c>
    </x:row>
    <x:row r="39">
      <x:c r="A39" s="29" t="str">
        <x:v>DIO-EVT-035</x:v>
      </x:c>
      <x:c r="B39" s="29" t="str"/>
      <x:c r="C39" s="29" t="str"/>
      <x:c r="D39" s="29" t="str"/>
      <x:c r="E39" s="29" t="str"/>
      <x:c r="F39" s="29" t="str">
        <x:f>'Параметры'!F26</x:f>
        <x:v>OPEN_SITE_DESIGN</x:v>
      </x:c>
      <x:c r="G39" s="29" t="str">
        <x:f>'Параметры'!F27</x:f>
        <x:v>OPEN_SITE_DESIGN</x:v>
      </x:c>
      <x:c r="H39" s="29" t="str">
        <x:f>'Параметры'!F28</x:f>
        <x:v>OPEN_B01_FIRST_ARTICLE</x:v>
      </x:c>
      <x:c r="I39" s="29" t="str">
        <x:v>NOT_RUN</x:v>
      </x:c>
      <x:c r="J39" s="29" t="str">
        <x:v>NOT_RUN</x:v>
      </x:c>
      <x:c r="K39" s="29" t="str">
        <x:v>NOT_RUN</x:v>
      </x:c>
      <x:c r="L39" s="29" t="str">
        <x:v>NOT_RUN</x:v>
      </x:c>
      <x:c r="M39" s="29" t="str">
        <x:v>NOT_RUN</x:v>
      </x:c>
      <x:c r="N39" s="29" t="str">
        <x:v>NOT_RUN</x:v>
      </x:c>
      <x:c r="O39" s="29" t="str">
        <x:v>NOT_RUN</x:v>
      </x:c>
      <x:c r="P39" s="29" t="str">
        <x:v>NOT_RUN</x:v>
      </x:c>
      <x:c r="Q39" s="29" t="str">
        <x:v>NOT_RUN</x:v>
      </x:c>
      <x:c r="R39" s="29" t="str">
        <x:v>NOT_RUN</x:v>
      </x:c>
      <x:c r="S39" s="29" t="str"/>
      <x:c r="T39" s="29" t="str"/>
      <x:c r="U39" s="29" t="str"/>
      <x:c r="V39" s="29" t="str"/>
      <x:c r="W39" s="29" t="str"/>
      <x:c r="X39" s="29" t="str">
        <x:f>IF(COUNTIF(I39:R39,"NOT_RUN")=10,"NOT_RUN",IF(AND(F39="APPROVED",G39="APPROVED",H39="APPROVED",COUNTIF(I39:R39,"PASS")=10,S39&lt;&gt;"",T39&lt;&gt;"",V39&lt;&gt;"",W39&lt;&gt;""),"PASS","HOLD"))</x:f>
        <x:v>NOT_RUN</x:v>
      </x:c>
    </x:row>
    <x:row r="40">
      <x:c r="A40" s="29" t="str">
        <x:v>DIO-EVT-036</x:v>
      </x:c>
      <x:c r="B40" s="29" t="str"/>
      <x:c r="C40" s="29" t="str"/>
      <x:c r="D40" s="29" t="str"/>
      <x:c r="E40" s="29" t="str"/>
      <x:c r="F40" s="29" t="str">
        <x:f>'Параметры'!F26</x:f>
        <x:v>OPEN_SITE_DESIGN</x:v>
      </x:c>
      <x:c r="G40" s="29" t="str">
        <x:f>'Параметры'!F27</x:f>
        <x:v>OPEN_SITE_DESIGN</x:v>
      </x:c>
      <x:c r="H40" s="29" t="str">
        <x:f>'Параметры'!F28</x:f>
        <x:v>OPEN_B01_FIRST_ARTICLE</x:v>
      </x:c>
      <x:c r="I40" s="29" t="str">
        <x:v>NOT_RUN</x:v>
      </x:c>
      <x:c r="J40" s="29" t="str">
        <x:v>NOT_RUN</x:v>
      </x:c>
      <x:c r="K40" s="29" t="str">
        <x:v>NOT_RUN</x:v>
      </x:c>
      <x:c r="L40" s="29" t="str">
        <x:v>NOT_RUN</x:v>
      </x:c>
      <x:c r="M40" s="29" t="str">
        <x:v>NOT_RUN</x:v>
      </x:c>
      <x:c r="N40" s="29" t="str">
        <x:v>NOT_RUN</x:v>
      </x:c>
      <x:c r="O40" s="29" t="str">
        <x:v>NOT_RUN</x:v>
      </x:c>
      <x:c r="P40" s="29" t="str">
        <x:v>NOT_RUN</x:v>
      </x:c>
      <x:c r="Q40" s="29" t="str">
        <x:v>NOT_RUN</x:v>
      </x:c>
      <x:c r="R40" s="29" t="str">
        <x:v>NOT_RUN</x:v>
      </x:c>
      <x:c r="S40" s="29" t="str"/>
      <x:c r="T40" s="29" t="str"/>
      <x:c r="U40" s="29" t="str"/>
      <x:c r="V40" s="29" t="str"/>
      <x:c r="W40" s="29" t="str"/>
      <x:c r="X40" s="29" t="str">
        <x:f>IF(COUNTIF(I40:R40,"NOT_RUN")=10,"NOT_RUN",IF(AND(F40="APPROVED",G40="APPROVED",H40="APPROVED",COUNTIF(I40:R40,"PASS")=10,S40&lt;&gt;"",T40&lt;&gt;"",V40&lt;&gt;"",W40&lt;&gt;""),"PASS","HOLD"))</x:f>
        <x:v>NOT_RUN</x:v>
      </x:c>
    </x:row>
    <x:row r="41">
      <x:c r="A41" s="29" t="str">
        <x:v>DIO-EVT-037</x:v>
      </x:c>
      <x:c r="B41" s="29" t="str"/>
      <x:c r="C41" s="29" t="str"/>
      <x:c r="D41" s="29" t="str"/>
      <x:c r="E41" s="29" t="str"/>
      <x:c r="F41" s="29" t="str">
        <x:f>'Параметры'!F26</x:f>
        <x:v>OPEN_SITE_DESIGN</x:v>
      </x:c>
      <x:c r="G41" s="29" t="str">
        <x:f>'Параметры'!F27</x:f>
        <x:v>OPEN_SITE_DESIGN</x:v>
      </x:c>
      <x:c r="H41" s="29" t="str">
        <x:f>'Параметры'!F28</x:f>
        <x:v>OPEN_B01_FIRST_ARTICLE</x:v>
      </x:c>
      <x:c r="I41" s="29" t="str">
        <x:v>NOT_RUN</x:v>
      </x:c>
      <x:c r="J41" s="29" t="str">
        <x:v>NOT_RUN</x:v>
      </x:c>
      <x:c r="K41" s="29" t="str">
        <x:v>NOT_RUN</x:v>
      </x:c>
      <x:c r="L41" s="29" t="str">
        <x:v>NOT_RUN</x:v>
      </x:c>
      <x:c r="M41" s="29" t="str">
        <x:v>NOT_RUN</x:v>
      </x:c>
      <x:c r="N41" s="29" t="str">
        <x:v>NOT_RUN</x:v>
      </x:c>
      <x:c r="O41" s="29" t="str">
        <x:v>NOT_RUN</x:v>
      </x:c>
      <x:c r="P41" s="29" t="str">
        <x:v>NOT_RUN</x:v>
      </x:c>
      <x:c r="Q41" s="29" t="str">
        <x:v>NOT_RUN</x:v>
      </x:c>
      <x:c r="R41" s="29" t="str">
        <x:v>NOT_RUN</x:v>
      </x:c>
      <x:c r="S41" s="29" t="str"/>
      <x:c r="T41" s="29" t="str"/>
      <x:c r="U41" s="29" t="str"/>
      <x:c r="V41" s="29" t="str"/>
      <x:c r="W41" s="29" t="str"/>
      <x:c r="X41" s="29" t="str">
        <x:f>IF(COUNTIF(I41:R41,"NOT_RUN")=10,"NOT_RUN",IF(AND(F41="APPROVED",G41="APPROVED",H41="APPROVED",COUNTIF(I41:R41,"PASS")=10,S41&lt;&gt;"",T41&lt;&gt;"",V41&lt;&gt;"",W41&lt;&gt;""),"PASS","HOLD"))</x:f>
        <x:v>NOT_RUN</x:v>
      </x:c>
    </x:row>
    <x:row r="42">
      <x:c r="A42" s="29" t="str">
        <x:v>DIO-EVT-038</x:v>
      </x:c>
      <x:c r="B42" s="29" t="str"/>
      <x:c r="C42" s="29" t="str"/>
      <x:c r="D42" s="29" t="str"/>
      <x:c r="E42" s="29" t="str"/>
      <x:c r="F42" s="29" t="str">
        <x:f>'Параметры'!F26</x:f>
        <x:v>OPEN_SITE_DESIGN</x:v>
      </x:c>
      <x:c r="G42" s="29" t="str">
        <x:f>'Параметры'!F27</x:f>
        <x:v>OPEN_SITE_DESIGN</x:v>
      </x:c>
      <x:c r="H42" s="29" t="str">
        <x:f>'Параметры'!F28</x:f>
        <x:v>OPEN_B01_FIRST_ARTICLE</x:v>
      </x:c>
      <x:c r="I42" s="29" t="str">
        <x:v>NOT_RUN</x:v>
      </x:c>
      <x:c r="J42" s="29" t="str">
        <x:v>NOT_RUN</x:v>
      </x:c>
      <x:c r="K42" s="29" t="str">
        <x:v>NOT_RUN</x:v>
      </x:c>
      <x:c r="L42" s="29" t="str">
        <x:v>NOT_RUN</x:v>
      </x:c>
      <x:c r="M42" s="29" t="str">
        <x:v>NOT_RUN</x:v>
      </x:c>
      <x:c r="N42" s="29" t="str">
        <x:v>NOT_RUN</x:v>
      </x:c>
      <x:c r="O42" s="29" t="str">
        <x:v>NOT_RUN</x:v>
      </x:c>
      <x:c r="P42" s="29" t="str">
        <x:v>NOT_RUN</x:v>
      </x:c>
      <x:c r="Q42" s="29" t="str">
        <x:v>NOT_RUN</x:v>
      </x:c>
      <x:c r="R42" s="29" t="str">
        <x:v>NOT_RUN</x:v>
      </x:c>
      <x:c r="S42" s="29" t="str"/>
      <x:c r="T42" s="29" t="str"/>
      <x:c r="U42" s="29" t="str"/>
      <x:c r="V42" s="29" t="str"/>
      <x:c r="W42" s="29" t="str"/>
      <x:c r="X42" s="29" t="str">
        <x:f>IF(COUNTIF(I42:R42,"NOT_RUN")=10,"NOT_RUN",IF(AND(F42="APPROVED",G42="APPROVED",H42="APPROVED",COUNTIF(I42:R42,"PASS")=10,S42&lt;&gt;"",T42&lt;&gt;"",V42&lt;&gt;"",W42&lt;&gt;""),"PASS","HOLD"))</x:f>
        <x:v>NOT_RUN</x:v>
      </x:c>
    </x:row>
    <x:row r="43">
      <x:c r="A43" s="29" t="str">
        <x:v>DIO-EVT-039</x:v>
      </x:c>
      <x:c r="B43" s="29" t="str"/>
      <x:c r="C43" s="29" t="str"/>
      <x:c r="D43" s="29" t="str"/>
      <x:c r="E43" s="29" t="str"/>
      <x:c r="F43" s="29" t="str">
        <x:f>'Параметры'!F26</x:f>
        <x:v>OPEN_SITE_DESIGN</x:v>
      </x:c>
      <x:c r="G43" s="29" t="str">
        <x:f>'Параметры'!F27</x:f>
        <x:v>OPEN_SITE_DESIGN</x:v>
      </x:c>
      <x:c r="H43" s="29" t="str">
        <x:f>'Параметры'!F28</x:f>
        <x:v>OPEN_B01_FIRST_ARTICLE</x:v>
      </x:c>
      <x:c r="I43" s="29" t="str">
        <x:v>NOT_RUN</x:v>
      </x:c>
      <x:c r="J43" s="29" t="str">
        <x:v>NOT_RUN</x:v>
      </x:c>
      <x:c r="K43" s="29" t="str">
        <x:v>NOT_RUN</x:v>
      </x:c>
      <x:c r="L43" s="29" t="str">
        <x:v>NOT_RUN</x:v>
      </x:c>
      <x:c r="M43" s="29" t="str">
        <x:v>NOT_RUN</x:v>
      </x:c>
      <x:c r="N43" s="29" t="str">
        <x:v>NOT_RUN</x:v>
      </x:c>
      <x:c r="O43" s="29" t="str">
        <x:v>NOT_RUN</x:v>
      </x:c>
      <x:c r="P43" s="29" t="str">
        <x:v>NOT_RUN</x:v>
      </x:c>
      <x:c r="Q43" s="29" t="str">
        <x:v>NOT_RUN</x:v>
      </x:c>
      <x:c r="R43" s="29" t="str">
        <x:v>NOT_RUN</x:v>
      </x:c>
      <x:c r="S43" s="29" t="str"/>
      <x:c r="T43" s="29" t="str"/>
      <x:c r="U43" s="29" t="str"/>
      <x:c r="V43" s="29" t="str"/>
      <x:c r="W43" s="29" t="str"/>
      <x:c r="X43" s="29" t="str">
        <x:f>IF(COUNTIF(I43:R43,"NOT_RUN")=10,"NOT_RUN",IF(AND(F43="APPROVED",G43="APPROVED",H43="APPROVED",COUNTIF(I43:R43,"PASS")=10,S43&lt;&gt;"",T43&lt;&gt;"",V43&lt;&gt;"",W43&lt;&gt;""),"PASS","HOLD"))</x:f>
        <x:v>NOT_RUN</x:v>
      </x:c>
    </x:row>
    <x:row r="44">
      <x:c r="A44" s="29" t="str">
        <x:v>DIO-EVT-040</x:v>
      </x:c>
      <x:c r="B44" s="29" t="str"/>
      <x:c r="C44" s="29" t="str"/>
      <x:c r="D44" s="29" t="str"/>
      <x:c r="E44" s="29" t="str"/>
      <x:c r="F44" s="29" t="str">
        <x:f>'Параметры'!F26</x:f>
        <x:v>OPEN_SITE_DESIGN</x:v>
      </x:c>
      <x:c r="G44" s="29" t="str">
        <x:f>'Параметры'!F27</x:f>
        <x:v>OPEN_SITE_DESIGN</x:v>
      </x:c>
      <x:c r="H44" s="29" t="str">
        <x:f>'Параметры'!F28</x:f>
        <x:v>OPEN_B01_FIRST_ARTICLE</x:v>
      </x:c>
      <x:c r="I44" s="29" t="str">
        <x:v>NOT_RUN</x:v>
      </x:c>
      <x:c r="J44" s="29" t="str">
        <x:v>NOT_RUN</x:v>
      </x:c>
      <x:c r="K44" s="29" t="str">
        <x:v>NOT_RUN</x:v>
      </x:c>
      <x:c r="L44" s="29" t="str">
        <x:v>NOT_RUN</x:v>
      </x:c>
      <x:c r="M44" s="29" t="str">
        <x:v>NOT_RUN</x:v>
      </x:c>
      <x:c r="N44" s="29" t="str">
        <x:v>NOT_RUN</x:v>
      </x:c>
      <x:c r="O44" s="29" t="str">
        <x:v>NOT_RUN</x:v>
      </x:c>
      <x:c r="P44" s="29" t="str">
        <x:v>NOT_RUN</x:v>
      </x:c>
      <x:c r="Q44" s="29" t="str">
        <x:v>NOT_RUN</x:v>
      </x:c>
      <x:c r="R44" s="29" t="str">
        <x:v>NOT_RUN</x:v>
      </x:c>
      <x:c r="S44" s="29" t="str"/>
      <x:c r="T44" s="29" t="str"/>
      <x:c r="U44" s="29" t="str"/>
      <x:c r="V44" s="29" t="str"/>
      <x:c r="W44" s="29" t="str"/>
      <x:c r="X44" s="29" t="str">
        <x:f>IF(COUNTIF(I44:R44,"NOT_RUN")=10,"NOT_RUN",IF(AND(F44="APPROVED",G44="APPROVED",H44="APPROVED",COUNTIF(I44:R44,"PASS")=10,S44&lt;&gt;"",T44&lt;&gt;"",V44&lt;&gt;"",W44&lt;&gt;""),"PASS","HOLD"))</x:f>
        <x:v>NOT_RUN</x:v>
      </x:c>
    </x:row>
    <x:row r="45">
      <x:c r="A45" s="29" t="str">
        <x:v>DIO-EVT-B01</x:v>
      </x:c>
      <x:c r="B45" s="29" t="str"/>
      <x:c r="C45" s="29" t="str"/>
      <x:c r="D45" s="29" t="str"/>
      <x:c r="E45" s="29" t="str"/>
      <x:c r="F45" s="29" t="str">
        <x:f>'Параметры'!F26</x:f>
        <x:v>OPEN_SITE_DESIGN</x:v>
      </x:c>
      <x:c r="G45" s="29" t="str">
        <x:f>'Параметры'!F27</x:f>
        <x:v>OPEN_SITE_DESIGN</x:v>
      </x:c>
      <x:c r="H45" s="29" t="str">
        <x:f>'Параметры'!F28</x:f>
        <x:v>OPEN_B01_FIRST_ARTICLE</x:v>
      </x:c>
      <x:c r="I45" s="29" t="str">
        <x:v>NOT_RUN</x:v>
      </x:c>
      <x:c r="J45" s="29" t="str">
        <x:v>NOT_RUN</x:v>
      </x:c>
      <x:c r="K45" s="29" t="str">
        <x:v>NOT_RUN</x:v>
      </x:c>
      <x:c r="L45" s="29" t="str">
        <x:v>NOT_RUN</x:v>
      </x:c>
      <x:c r="M45" s="29" t="str">
        <x:v>NOT_RUN</x:v>
      </x:c>
      <x:c r="N45" s="29" t="str">
        <x:v>NOT_RUN</x:v>
      </x:c>
      <x:c r="O45" s="29" t="str">
        <x:v>NOT_RUN</x:v>
      </x:c>
      <x:c r="P45" s="29" t="str">
        <x:v>NOT_RUN</x:v>
      </x:c>
      <x:c r="Q45" s="29" t="str">
        <x:v>NOT_RUN</x:v>
      </x:c>
      <x:c r="R45" s="29" t="str">
        <x:v>NOT_RUN</x:v>
      </x:c>
      <x:c r="S45" s="29" t="str"/>
      <x:c r="T45" s="29" t="str"/>
      <x:c r="U45" s="29" t="str"/>
      <x:c r="V45" s="29" t="str"/>
      <x:c r="W45" s="29" t="str"/>
      <x:c r="X45" s="29" t="str">
        <x:f>IF(COUNTIF(I45:R45,"NOT_RUN")=10,"NOT_RUN",IF(AND(F45="APPROVED",G45="APPROVED",H45="APPROVED",COUNTIF(I45:R45,"PASS")=10,S45&lt;&gt;"",T45&lt;&gt;"",V45&lt;&gt;"",W45&lt;&gt;""),"PASS","HOLD"))</x:f>
        <x:v>NOT_RUN</x:v>
      </x:c>
    </x:row>
  </x:sheetData>
  <x:mergeCells>
    <x:mergeCell ref="A1:X1"/>
    <x:mergeCell ref="A2:X2"/>
  </x:mergeCells>
  <x:conditionalFormatting sqref="X5:X45">
    <x:cfRule type="containsText" dxfId="54" priority="1" operator="containsText" text="PASS"/>
    <x:cfRule type="containsText" dxfId="55" priority="2" operator="containsText" text="READY"/>
    <x:cfRule type="containsText" dxfId="56" priority="3" operator="containsText" text="HOLD"/>
    <x:cfRule type="containsText" dxfId="57" priority="4" operator="containsText" text="OPEN"/>
    <x:cfRule type="containsText" dxfId="58" priority="5" operator="containsText" text="FAIL"/>
    <x:cfRule type="containsText" dxfId="59" priority="6" operator="containsText" text="NOT_RUN"/>
  </x:conditionalFormatting>
  <x:dataValidations count="1">
    <x:dataValidation type="list" sqref="I5:R45">
      <x:formula1>"NOT_RUN,PASS,FAIL,HOLD,N/A"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463598a0a545b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4" hidden="0" customWidth="1"/>
    <x:col min="15" max="15" width="38" hidden="0" customWidth="1"/>
    <x:col min="16" max="16" width="18" hidden="0" customWidth="1"/>
    <x:col min="17" max="17" width="14" hidden="0" customWidth="1"/>
  </x:cols>
  <x:sheetData>
    <x:row r="1" ht="28" customHeight="1">
      <x:c r="A1" s="2" t="str">
        <x:v>СКВОЗНОЙ РЕЕСТР 41 СТАНЦИИ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4" customHeight="1">
      <x:c r="A2" s="5" t="str">
        <x:v>The register tracks every identity across procurement, PCBA, harnesses, assembly, first power, provisioning, EOL, installation and passport closure.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4" ht="32" customHeight="1">
      <x:c r="A4" s="25" t="str">
        <x:v>Serial</x:v>
      </x:c>
      <x:c r="B4" s="25" t="str">
        <x:v>Lot</x:v>
      </x:c>
      <x:c r="C4" s="25" t="str">
        <x:v>Traveller_ID</x:v>
      </x:c>
      <x:c r="D4" s="25" t="str">
        <x:v>Procurement_Selected</x:v>
      </x:c>
      <x:c r="E4" s="25" t="str">
        <x:v>PCBA</x:v>
      </x:c>
      <x:c r="F4" s="25" t="str">
        <x:v>Harnesses</x:v>
      </x:c>
      <x:c r="G4" s="25" t="str">
        <x:v>Assembly</x:v>
      </x:c>
      <x:c r="H4" s="25" t="str">
        <x:v>First_Power</x:v>
      </x:c>
      <x:c r="I4" s="25" t="str">
        <x:v>Provisioning</x:v>
      </x:c>
      <x:c r="J4" s="25" t="str">
        <x:v>EOL</x:v>
      </x:c>
      <x:c r="K4" s="25" t="str">
        <x:v>Leak_Test</x:v>
      </x:c>
      <x:c r="L4" s="25" t="str">
        <x:v>Installation</x:v>
      </x:c>
      <x:c r="M4" s="25" t="str">
        <x:v>Unit_Passport</x:v>
      </x:c>
      <x:c r="N4" s="25" t="str">
        <x:v>Open_NCR_Count</x:v>
      </x:c>
      <x:c r="O4" s="25" t="str">
        <x:v>Evidence_Root_SHA256</x:v>
      </x:c>
      <x:c r="P4" s="25" t="str">
        <x:v>QA_Reviewer</x:v>
      </x:c>
      <x:c r="Q4" s="25" t="str">
        <x:v>Overall</x:v>
      </x:c>
    </x:row>
    <x:row r="5">
      <x:c r="A5" s="29" t="str">
        <x:v>DIO-EVT-001</x:v>
      </x:c>
      <x:c r="B5" s="29" t="str">
        <x:v>LOT-1</x:v>
      </x:c>
      <x:c r="C5" s="29" t="str">
        <x:v>TRV-DIO-EVT-001</x:v>
      </x:c>
      <x:c r="D5" s="29" t="str">
        <x:v>NOT_RUN</x:v>
      </x:c>
      <x:c r="E5" s="29" t="str">
        <x:v>NOT_RUN</x:v>
      </x:c>
      <x:c r="F5" s="29" t="str">
        <x:v>NOT_RUN</x:v>
      </x:c>
      <x:c r="G5" s="29" t="str">
        <x:v>NOT_RUN</x:v>
      </x:c>
      <x:c r="H5" s="29" t="str">
        <x:v>NOT_RUN</x:v>
      </x:c>
      <x:c r="I5" s="29" t="str">
        <x:v>NOT_RUN</x:v>
      </x:c>
      <x:c r="J5" s="29" t="str">
        <x:v>NOT_RUN</x:v>
      </x:c>
      <x:c r="K5" s="29" t="str">
        <x:v>NOT_RUN</x:v>
      </x:c>
      <x:c r="L5" s="29" t="str">
        <x:v>NOT_RUN</x:v>
      </x:c>
      <x:c r="M5" s="29" t="str">
        <x:v>NOT_RUN</x:v>
      </x:c>
      <x:c r="N5" s="29" t="n">
        <x:v>0</x:v>
      </x:c>
      <x:c r="O5" s="29" t="str"/>
      <x:c r="P5" s="29" t="str"/>
      <x:c r="Q5" s="29" t="str">
        <x:f>IF(COUNTIF(D5:M5,"NOT_RUN")=10,"NOT_RUN",IF(AND(COUNTIF(D5:M5,"PASS")=10,N5=0,O5&lt;&gt;"",P5&lt;&gt;""),"PASS","HOLD"))</x:f>
        <x:v>NOT_RUN</x:v>
      </x:c>
    </x:row>
    <x:row r="6">
      <x:c r="A6" s="29" t="str">
        <x:v>DIO-EVT-002</x:v>
      </x:c>
      <x:c r="B6" s="29" t="str">
        <x:v>LOT-1</x:v>
      </x:c>
      <x:c r="C6" s="29" t="str">
        <x:v>TRV-DIO-EVT-002</x:v>
      </x:c>
      <x:c r="D6" s="29" t="str">
        <x:v>NOT_RUN</x:v>
      </x:c>
      <x:c r="E6" s="29" t="str">
        <x:v>NOT_RUN</x:v>
      </x:c>
      <x:c r="F6" s="29" t="str">
        <x:v>NOT_RUN</x:v>
      </x:c>
      <x:c r="G6" s="29" t="str">
        <x:v>NOT_RUN</x:v>
      </x:c>
      <x:c r="H6" s="29" t="str">
        <x:v>NOT_RUN</x:v>
      </x:c>
      <x:c r="I6" s="29" t="str">
        <x:v>NOT_RUN</x:v>
      </x:c>
      <x:c r="J6" s="29" t="str">
        <x:v>NOT_RUN</x:v>
      </x:c>
      <x:c r="K6" s="29" t="str">
        <x:v>NOT_RUN</x:v>
      </x:c>
      <x:c r="L6" s="29" t="str">
        <x:v>NOT_RUN</x:v>
      </x:c>
      <x:c r="M6" s="29" t="str">
        <x:v>NOT_RUN</x:v>
      </x:c>
      <x:c r="N6" s="29" t="n">
        <x:v>0</x:v>
      </x:c>
      <x:c r="O6" s="29" t="str"/>
      <x:c r="P6" s="29" t="str"/>
      <x:c r="Q6" s="29" t="str">
        <x:f>IF(COUNTIF(D6:M6,"NOT_RUN")=10,"NOT_RUN",IF(AND(COUNTIF(D6:M6,"PASS")=10,N6=0,O6&lt;&gt;"",P6&lt;&gt;""),"PASS","HOLD"))</x:f>
        <x:v>NOT_RUN</x:v>
      </x:c>
    </x:row>
    <x:row r="7">
      <x:c r="A7" s="29" t="str">
        <x:v>DIO-EVT-003</x:v>
      </x:c>
      <x:c r="B7" s="29" t="str">
        <x:v>LOT-1</x:v>
      </x:c>
      <x:c r="C7" s="29" t="str">
        <x:v>TRV-DIO-EVT-003</x:v>
      </x:c>
      <x:c r="D7" s="29" t="str">
        <x:v>NOT_RUN</x:v>
      </x:c>
      <x:c r="E7" s="29" t="str">
        <x:v>NOT_RUN</x:v>
      </x:c>
      <x:c r="F7" s="29" t="str">
        <x:v>NOT_RUN</x:v>
      </x:c>
      <x:c r="G7" s="29" t="str">
        <x:v>NOT_RUN</x:v>
      </x:c>
      <x:c r="H7" s="29" t="str">
        <x:v>NOT_RUN</x:v>
      </x:c>
      <x:c r="I7" s="29" t="str">
        <x:v>NOT_RUN</x:v>
      </x:c>
      <x:c r="J7" s="29" t="str">
        <x:v>NOT_RUN</x:v>
      </x:c>
      <x:c r="K7" s="29" t="str">
        <x:v>NOT_RUN</x:v>
      </x:c>
      <x:c r="L7" s="29" t="str">
        <x:v>NOT_RUN</x:v>
      </x:c>
      <x:c r="M7" s="29" t="str">
        <x:v>NOT_RUN</x:v>
      </x:c>
      <x:c r="N7" s="29" t="n">
        <x:v>0</x:v>
      </x:c>
      <x:c r="O7" s="29" t="str"/>
      <x:c r="P7" s="29" t="str"/>
      <x:c r="Q7" s="29" t="str">
        <x:f>IF(COUNTIF(D7:M7,"NOT_RUN")=10,"NOT_RUN",IF(AND(COUNTIF(D7:M7,"PASS")=10,N7=0,O7&lt;&gt;"",P7&lt;&gt;""),"PASS","HOLD"))</x:f>
        <x:v>NOT_RUN</x:v>
      </x:c>
    </x:row>
    <x:row r="8">
      <x:c r="A8" s="29" t="str">
        <x:v>DIO-EVT-004</x:v>
      </x:c>
      <x:c r="B8" s="29" t="str">
        <x:v>LOT-1</x:v>
      </x:c>
      <x:c r="C8" s="29" t="str">
        <x:v>TRV-DIO-EVT-004</x:v>
      </x:c>
      <x:c r="D8" s="29" t="str">
        <x:v>NOT_RUN</x:v>
      </x:c>
      <x:c r="E8" s="29" t="str">
        <x:v>NOT_RUN</x:v>
      </x:c>
      <x:c r="F8" s="29" t="str">
        <x:v>NOT_RUN</x:v>
      </x:c>
      <x:c r="G8" s="29" t="str">
        <x:v>NOT_RUN</x:v>
      </x:c>
      <x:c r="H8" s="29" t="str">
        <x:v>NOT_RUN</x:v>
      </x:c>
      <x:c r="I8" s="29" t="str">
        <x:v>NOT_RUN</x:v>
      </x:c>
      <x:c r="J8" s="29" t="str">
        <x:v>NOT_RUN</x:v>
      </x:c>
      <x:c r="K8" s="29" t="str">
        <x:v>NOT_RUN</x:v>
      </x:c>
      <x:c r="L8" s="29" t="str">
        <x:v>NOT_RUN</x:v>
      </x:c>
      <x:c r="M8" s="29" t="str">
        <x:v>NOT_RUN</x:v>
      </x:c>
      <x:c r="N8" s="29" t="n">
        <x:v>0</x:v>
      </x:c>
      <x:c r="O8" s="29" t="str"/>
      <x:c r="P8" s="29" t="str"/>
      <x:c r="Q8" s="29" t="str">
        <x:f>IF(COUNTIF(D8:M8,"NOT_RUN")=10,"NOT_RUN",IF(AND(COUNTIF(D8:M8,"PASS")=10,N8=0,O8&lt;&gt;"",P8&lt;&gt;""),"PASS","HOLD"))</x:f>
        <x:v>NOT_RUN</x:v>
      </x:c>
    </x:row>
    <x:row r="9">
      <x:c r="A9" s="29" t="str">
        <x:v>DIO-EVT-005</x:v>
      </x:c>
      <x:c r="B9" s="29" t="str">
        <x:v>LOT-1</x:v>
      </x:c>
      <x:c r="C9" s="29" t="str">
        <x:v>TRV-DIO-EVT-005</x:v>
      </x:c>
      <x:c r="D9" s="29" t="str">
        <x:v>NOT_RUN</x:v>
      </x:c>
      <x:c r="E9" s="29" t="str">
        <x:v>NOT_RUN</x:v>
      </x:c>
      <x:c r="F9" s="29" t="str">
        <x:v>NOT_RUN</x:v>
      </x:c>
      <x:c r="G9" s="29" t="str">
        <x:v>NOT_RUN</x:v>
      </x:c>
      <x:c r="H9" s="29" t="str">
        <x:v>NOT_RUN</x:v>
      </x:c>
      <x:c r="I9" s="29" t="str">
        <x:v>NOT_RUN</x:v>
      </x:c>
      <x:c r="J9" s="29" t="str">
        <x:v>NOT_RUN</x:v>
      </x:c>
      <x:c r="K9" s="29" t="str">
        <x:v>NOT_RUN</x:v>
      </x:c>
      <x:c r="L9" s="29" t="str">
        <x:v>NOT_RUN</x:v>
      </x:c>
      <x:c r="M9" s="29" t="str">
        <x:v>NOT_RUN</x:v>
      </x:c>
      <x:c r="N9" s="29" t="n">
        <x:v>0</x:v>
      </x:c>
      <x:c r="O9" s="29" t="str"/>
      <x:c r="P9" s="29" t="str"/>
      <x:c r="Q9" s="29" t="str">
        <x:f>IF(COUNTIF(D9:M9,"NOT_RUN")=10,"NOT_RUN",IF(AND(COUNTIF(D9:M9,"PASS")=10,N9=0,O9&lt;&gt;"",P9&lt;&gt;""),"PASS","HOLD"))</x:f>
        <x:v>NOT_RUN</x:v>
      </x:c>
    </x:row>
    <x:row r="10">
      <x:c r="A10" s="29" t="str">
        <x:v>DIO-EVT-006</x:v>
      </x:c>
      <x:c r="B10" s="29" t="str">
        <x:v>LOT-1</x:v>
      </x:c>
      <x:c r="C10" s="29" t="str">
        <x:v>TRV-DIO-EVT-006</x:v>
      </x:c>
      <x:c r="D10" s="29" t="str">
        <x:v>NOT_RUN</x:v>
      </x:c>
      <x:c r="E10" s="29" t="str">
        <x:v>NOT_RUN</x:v>
      </x:c>
      <x:c r="F10" s="29" t="str">
        <x:v>NOT_RUN</x:v>
      </x:c>
      <x:c r="G10" s="29" t="str">
        <x:v>NOT_RUN</x:v>
      </x:c>
      <x:c r="H10" s="29" t="str">
        <x:v>NOT_RUN</x:v>
      </x:c>
      <x:c r="I10" s="29" t="str">
        <x:v>NOT_RUN</x:v>
      </x:c>
      <x:c r="J10" s="29" t="str">
        <x:v>NOT_RUN</x:v>
      </x:c>
      <x:c r="K10" s="29" t="str">
        <x:v>NOT_RUN</x:v>
      </x:c>
      <x:c r="L10" s="29" t="str">
        <x:v>NOT_RUN</x:v>
      </x:c>
      <x:c r="M10" s="29" t="str">
        <x:v>NOT_RUN</x:v>
      </x:c>
      <x:c r="N10" s="29" t="n">
        <x:v>0</x:v>
      </x:c>
      <x:c r="O10" s="29" t="str"/>
      <x:c r="P10" s="29" t="str"/>
      <x:c r="Q10" s="29" t="str">
        <x:f>IF(COUNTIF(D10:M10,"NOT_RUN")=10,"NOT_RUN",IF(AND(COUNTIF(D10:M10,"PASS")=10,N10=0,O10&lt;&gt;"",P10&lt;&gt;""),"PASS","HOLD"))</x:f>
        <x:v>NOT_RUN</x:v>
      </x:c>
    </x:row>
    <x:row r="11">
      <x:c r="A11" s="29" t="str">
        <x:v>DIO-EVT-007</x:v>
      </x:c>
      <x:c r="B11" s="29" t="str">
        <x:v>LOT-1</x:v>
      </x:c>
      <x:c r="C11" s="29" t="str">
        <x:v>TRV-DIO-EVT-007</x:v>
      </x:c>
      <x:c r="D11" s="29" t="str">
        <x:v>NOT_RUN</x:v>
      </x:c>
      <x:c r="E11" s="29" t="str">
        <x:v>NOT_RUN</x:v>
      </x:c>
      <x:c r="F11" s="29" t="str">
        <x:v>NOT_RUN</x:v>
      </x:c>
      <x:c r="G11" s="29" t="str">
        <x:v>NOT_RUN</x:v>
      </x:c>
      <x:c r="H11" s="29" t="str">
        <x:v>NOT_RUN</x:v>
      </x:c>
      <x:c r="I11" s="29" t="str">
        <x:v>NOT_RUN</x:v>
      </x:c>
      <x:c r="J11" s="29" t="str">
        <x:v>NOT_RUN</x:v>
      </x:c>
      <x:c r="K11" s="29" t="str">
        <x:v>NOT_RUN</x:v>
      </x:c>
      <x:c r="L11" s="29" t="str">
        <x:v>NOT_RUN</x:v>
      </x:c>
      <x:c r="M11" s="29" t="str">
        <x:v>NOT_RUN</x:v>
      </x:c>
      <x:c r="N11" s="29" t="n">
        <x:v>0</x:v>
      </x:c>
      <x:c r="O11" s="29" t="str"/>
      <x:c r="P11" s="29" t="str"/>
      <x:c r="Q11" s="29" t="str">
        <x:f>IF(COUNTIF(D11:M11,"NOT_RUN")=10,"NOT_RUN",IF(AND(COUNTIF(D11:M11,"PASS")=10,N11=0,O11&lt;&gt;"",P11&lt;&gt;""),"PASS","HOLD"))</x:f>
        <x:v>NOT_RUN</x:v>
      </x:c>
    </x:row>
    <x:row r="12">
      <x:c r="A12" s="29" t="str">
        <x:v>DIO-EVT-008</x:v>
      </x:c>
      <x:c r="B12" s="29" t="str">
        <x:v>LOT-1</x:v>
      </x:c>
      <x:c r="C12" s="29" t="str">
        <x:v>TRV-DIO-EVT-008</x:v>
      </x:c>
      <x:c r="D12" s="29" t="str">
        <x:v>NOT_RUN</x:v>
      </x:c>
      <x:c r="E12" s="29" t="str">
        <x:v>NOT_RUN</x:v>
      </x:c>
      <x:c r="F12" s="29" t="str">
        <x:v>NOT_RUN</x:v>
      </x:c>
      <x:c r="G12" s="29" t="str">
        <x:v>NOT_RUN</x:v>
      </x:c>
      <x:c r="H12" s="29" t="str">
        <x:v>NOT_RUN</x:v>
      </x:c>
      <x:c r="I12" s="29" t="str">
        <x:v>NOT_RUN</x:v>
      </x:c>
      <x:c r="J12" s="29" t="str">
        <x:v>NOT_RUN</x:v>
      </x:c>
      <x:c r="K12" s="29" t="str">
        <x:v>NOT_RUN</x:v>
      </x:c>
      <x:c r="L12" s="29" t="str">
        <x:v>NOT_RUN</x:v>
      </x:c>
      <x:c r="M12" s="29" t="str">
        <x:v>NOT_RUN</x:v>
      </x:c>
      <x:c r="N12" s="29" t="n">
        <x:v>0</x:v>
      </x:c>
      <x:c r="O12" s="29" t="str"/>
      <x:c r="P12" s="29" t="str"/>
      <x:c r="Q12" s="29" t="str">
        <x:f>IF(COUNTIF(D12:M12,"NOT_RUN")=10,"NOT_RUN",IF(AND(COUNTIF(D12:M12,"PASS")=10,N12=0,O12&lt;&gt;"",P12&lt;&gt;""),"PASS","HOLD"))</x:f>
        <x:v>NOT_RUN</x:v>
      </x:c>
    </x:row>
    <x:row r="13">
      <x:c r="A13" s="29" t="str">
        <x:v>DIO-EVT-009</x:v>
      </x:c>
      <x:c r="B13" s="29" t="str">
        <x:v>LOT-1</x:v>
      </x:c>
      <x:c r="C13" s="29" t="str">
        <x:v>TRV-DIO-EVT-009</x:v>
      </x:c>
      <x:c r="D13" s="29" t="str">
        <x:v>NOT_RUN</x:v>
      </x:c>
      <x:c r="E13" s="29" t="str">
        <x:v>NOT_RUN</x:v>
      </x:c>
      <x:c r="F13" s="29" t="str">
        <x:v>NOT_RUN</x:v>
      </x:c>
      <x:c r="G13" s="29" t="str">
        <x:v>NOT_RUN</x:v>
      </x:c>
      <x:c r="H13" s="29" t="str">
        <x:v>NOT_RUN</x:v>
      </x:c>
      <x:c r="I13" s="29" t="str">
        <x:v>NOT_RUN</x:v>
      </x:c>
      <x:c r="J13" s="29" t="str">
        <x:v>NOT_RUN</x:v>
      </x:c>
      <x:c r="K13" s="29" t="str">
        <x:v>NOT_RUN</x:v>
      </x:c>
      <x:c r="L13" s="29" t="str">
        <x:v>NOT_RUN</x:v>
      </x:c>
      <x:c r="M13" s="29" t="str">
        <x:v>NOT_RUN</x:v>
      </x:c>
      <x:c r="N13" s="29" t="n">
        <x:v>0</x:v>
      </x:c>
      <x:c r="O13" s="29" t="str"/>
      <x:c r="P13" s="29" t="str"/>
      <x:c r="Q13" s="29" t="str">
        <x:f>IF(COUNTIF(D13:M13,"NOT_RUN")=10,"NOT_RUN",IF(AND(COUNTIF(D13:M13,"PASS")=10,N13=0,O13&lt;&gt;"",P13&lt;&gt;""),"PASS","HOLD"))</x:f>
        <x:v>NOT_RUN</x:v>
      </x:c>
    </x:row>
    <x:row r="14">
      <x:c r="A14" s="29" t="str">
        <x:v>DIO-EVT-010</x:v>
      </x:c>
      <x:c r="B14" s="29" t="str">
        <x:v>LOT-1</x:v>
      </x:c>
      <x:c r="C14" s="29" t="str">
        <x:v>TRV-DIO-EVT-010</x:v>
      </x:c>
      <x:c r="D14" s="29" t="str">
        <x:v>NOT_RUN</x:v>
      </x:c>
      <x:c r="E14" s="29" t="str">
        <x:v>NOT_RUN</x:v>
      </x:c>
      <x:c r="F14" s="29" t="str">
        <x:v>NOT_RUN</x:v>
      </x:c>
      <x:c r="G14" s="29" t="str">
        <x:v>NOT_RUN</x:v>
      </x:c>
      <x:c r="H14" s="29" t="str">
        <x:v>NOT_RUN</x:v>
      </x:c>
      <x:c r="I14" s="29" t="str">
        <x:v>NOT_RUN</x:v>
      </x:c>
      <x:c r="J14" s="29" t="str">
        <x:v>NOT_RUN</x:v>
      </x:c>
      <x:c r="K14" s="29" t="str">
        <x:v>NOT_RUN</x:v>
      </x:c>
      <x:c r="L14" s="29" t="str">
        <x:v>NOT_RUN</x:v>
      </x:c>
      <x:c r="M14" s="29" t="str">
        <x:v>NOT_RUN</x:v>
      </x:c>
      <x:c r="N14" s="29" t="n">
        <x:v>0</x:v>
      </x:c>
      <x:c r="O14" s="29" t="str"/>
      <x:c r="P14" s="29" t="str"/>
      <x:c r="Q14" s="29" t="str">
        <x:f>IF(COUNTIF(D14:M14,"NOT_RUN")=10,"NOT_RUN",IF(AND(COUNTIF(D14:M14,"PASS")=10,N14=0,O14&lt;&gt;"",P14&lt;&gt;""),"PASS","HOLD"))</x:f>
        <x:v>NOT_RUN</x:v>
      </x:c>
    </x:row>
    <x:row r="15">
      <x:c r="A15" s="29" t="str">
        <x:v>DIO-EVT-011</x:v>
      </x:c>
      <x:c r="B15" s="29" t="str">
        <x:v>LOT-1</x:v>
      </x:c>
      <x:c r="C15" s="29" t="str">
        <x:v>TRV-DIO-EVT-011</x:v>
      </x:c>
      <x:c r="D15" s="29" t="str">
        <x:v>NOT_RUN</x:v>
      </x:c>
      <x:c r="E15" s="29" t="str">
        <x:v>NOT_RUN</x:v>
      </x:c>
      <x:c r="F15" s="29" t="str">
        <x:v>NOT_RUN</x:v>
      </x:c>
      <x:c r="G15" s="29" t="str">
        <x:v>NOT_RUN</x:v>
      </x:c>
      <x:c r="H15" s="29" t="str">
        <x:v>NOT_RUN</x:v>
      </x:c>
      <x:c r="I15" s="29" t="str">
        <x:v>NOT_RUN</x:v>
      </x:c>
      <x:c r="J15" s="29" t="str">
        <x:v>NOT_RUN</x:v>
      </x:c>
      <x:c r="K15" s="29" t="str">
        <x:v>NOT_RUN</x:v>
      </x:c>
      <x:c r="L15" s="29" t="str">
        <x:v>NOT_RUN</x:v>
      </x:c>
      <x:c r="M15" s="29" t="str">
        <x:v>NOT_RUN</x:v>
      </x:c>
      <x:c r="N15" s="29" t="n">
        <x:v>0</x:v>
      </x:c>
      <x:c r="O15" s="29" t="str"/>
      <x:c r="P15" s="29" t="str"/>
      <x:c r="Q15" s="29" t="str">
        <x:f>IF(COUNTIF(D15:M15,"NOT_RUN")=10,"NOT_RUN",IF(AND(COUNTIF(D15:M15,"PASS")=10,N15=0,O15&lt;&gt;"",P15&lt;&gt;""),"PASS","HOLD"))</x:f>
        <x:v>NOT_RUN</x:v>
      </x:c>
    </x:row>
    <x:row r="16">
      <x:c r="A16" s="29" t="str">
        <x:v>DIO-EVT-012</x:v>
      </x:c>
      <x:c r="B16" s="29" t="str">
        <x:v>LOT-1</x:v>
      </x:c>
      <x:c r="C16" s="29" t="str">
        <x:v>TRV-DIO-EVT-012</x:v>
      </x:c>
      <x:c r="D16" s="29" t="str">
        <x:v>NOT_RUN</x:v>
      </x:c>
      <x:c r="E16" s="29" t="str">
        <x:v>NOT_RUN</x:v>
      </x:c>
      <x:c r="F16" s="29" t="str">
        <x:v>NOT_RUN</x:v>
      </x:c>
      <x:c r="G16" s="29" t="str">
        <x:v>NOT_RUN</x:v>
      </x:c>
      <x:c r="H16" s="29" t="str">
        <x:v>NOT_RUN</x:v>
      </x:c>
      <x:c r="I16" s="29" t="str">
        <x:v>NOT_RUN</x:v>
      </x:c>
      <x:c r="J16" s="29" t="str">
        <x:v>NOT_RUN</x:v>
      </x:c>
      <x:c r="K16" s="29" t="str">
        <x:v>NOT_RUN</x:v>
      </x:c>
      <x:c r="L16" s="29" t="str">
        <x:v>NOT_RUN</x:v>
      </x:c>
      <x:c r="M16" s="29" t="str">
        <x:v>NOT_RUN</x:v>
      </x:c>
      <x:c r="N16" s="29" t="n">
        <x:v>0</x:v>
      </x:c>
      <x:c r="O16" s="29" t="str"/>
      <x:c r="P16" s="29" t="str"/>
      <x:c r="Q16" s="29" t="str">
        <x:f>IF(COUNTIF(D16:M16,"NOT_RUN")=10,"NOT_RUN",IF(AND(COUNTIF(D16:M16,"PASS")=10,N16=0,O16&lt;&gt;"",P16&lt;&gt;""),"PASS","HOLD"))</x:f>
        <x:v>NOT_RUN</x:v>
      </x:c>
    </x:row>
    <x:row r="17">
      <x:c r="A17" s="29" t="str">
        <x:v>DIO-EVT-013</x:v>
      </x:c>
      <x:c r="B17" s="29" t="str">
        <x:v>LOT-1</x:v>
      </x:c>
      <x:c r="C17" s="29" t="str">
        <x:v>TRV-DIO-EVT-013</x:v>
      </x:c>
      <x:c r="D17" s="29" t="str">
        <x:v>NOT_RUN</x:v>
      </x:c>
      <x:c r="E17" s="29" t="str">
        <x:v>NOT_RUN</x:v>
      </x:c>
      <x:c r="F17" s="29" t="str">
        <x:v>NOT_RUN</x:v>
      </x:c>
      <x:c r="G17" s="29" t="str">
        <x:v>NOT_RUN</x:v>
      </x:c>
      <x:c r="H17" s="29" t="str">
        <x:v>NOT_RUN</x:v>
      </x:c>
      <x:c r="I17" s="29" t="str">
        <x:v>NOT_RUN</x:v>
      </x:c>
      <x:c r="J17" s="29" t="str">
        <x:v>NOT_RUN</x:v>
      </x:c>
      <x:c r="K17" s="29" t="str">
        <x:v>NOT_RUN</x:v>
      </x:c>
      <x:c r="L17" s="29" t="str">
        <x:v>NOT_RUN</x:v>
      </x:c>
      <x:c r="M17" s="29" t="str">
        <x:v>NOT_RUN</x:v>
      </x:c>
      <x:c r="N17" s="29" t="n">
        <x:v>0</x:v>
      </x:c>
      <x:c r="O17" s="29" t="str"/>
      <x:c r="P17" s="29" t="str"/>
      <x:c r="Q17" s="29" t="str">
        <x:f>IF(COUNTIF(D17:M17,"NOT_RUN")=10,"NOT_RUN",IF(AND(COUNTIF(D17:M17,"PASS")=10,N17=0,O17&lt;&gt;"",P17&lt;&gt;""),"PASS","HOLD"))</x:f>
        <x:v>NOT_RUN</x:v>
      </x:c>
    </x:row>
    <x:row r="18">
      <x:c r="A18" s="29" t="str">
        <x:v>DIO-EVT-014</x:v>
      </x:c>
      <x:c r="B18" s="29" t="str">
        <x:v>LOT-1</x:v>
      </x:c>
      <x:c r="C18" s="29" t="str">
        <x:v>TRV-DIO-EVT-014</x:v>
      </x:c>
      <x:c r="D18" s="29" t="str">
        <x:v>NOT_RUN</x:v>
      </x:c>
      <x:c r="E18" s="29" t="str">
        <x:v>NOT_RUN</x:v>
      </x:c>
      <x:c r="F18" s="29" t="str">
        <x:v>NOT_RUN</x:v>
      </x:c>
      <x:c r="G18" s="29" t="str">
        <x:v>NOT_RUN</x:v>
      </x:c>
      <x:c r="H18" s="29" t="str">
        <x:v>NOT_RUN</x:v>
      </x:c>
      <x:c r="I18" s="29" t="str">
        <x:v>NOT_RUN</x:v>
      </x:c>
      <x:c r="J18" s="29" t="str">
        <x:v>NOT_RUN</x:v>
      </x:c>
      <x:c r="K18" s="29" t="str">
        <x:v>NOT_RUN</x:v>
      </x:c>
      <x:c r="L18" s="29" t="str">
        <x:v>NOT_RUN</x:v>
      </x:c>
      <x:c r="M18" s="29" t="str">
        <x:v>NOT_RUN</x:v>
      </x:c>
      <x:c r="N18" s="29" t="n">
        <x:v>0</x:v>
      </x:c>
      <x:c r="O18" s="29" t="str"/>
      <x:c r="P18" s="29" t="str"/>
      <x:c r="Q18" s="29" t="str">
        <x:f>IF(COUNTIF(D18:M18,"NOT_RUN")=10,"NOT_RUN",IF(AND(COUNTIF(D18:M18,"PASS")=10,N18=0,O18&lt;&gt;"",P18&lt;&gt;""),"PASS","HOLD"))</x:f>
        <x:v>NOT_RUN</x:v>
      </x:c>
    </x:row>
    <x:row r="19">
      <x:c r="A19" s="29" t="str">
        <x:v>DIO-EVT-015</x:v>
      </x:c>
      <x:c r="B19" s="29" t="str">
        <x:v>LOT-1</x:v>
      </x:c>
      <x:c r="C19" s="29" t="str">
        <x:v>TRV-DIO-EVT-015</x:v>
      </x:c>
      <x:c r="D19" s="29" t="str">
        <x:v>NOT_RUN</x:v>
      </x:c>
      <x:c r="E19" s="29" t="str">
        <x:v>NOT_RUN</x:v>
      </x:c>
      <x:c r="F19" s="29" t="str">
        <x:v>NOT_RUN</x:v>
      </x:c>
      <x:c r="G19" s="29" t="str">
        <x:v>NOT_RUN</x:v>
      </x:c>
      <x:c r="H19" s="29" t="str">
        <x:v>NOT_RUN</x:v>
      </x:c>
      <x:c r="I19" s="29" t="str">
        <x:v>NOT_RUN</x:v>
      </x:c>
      <x:c r="J19" s="29" t="str">
        <x:v>NOT_RUN</x:v>
      </x:c>
      <x:c r="K19" s="29" t="str">
        <x:v>NOT_RUN</x:v>
      </x:c>
      <x:c r="L19" s="29" t="str">
        <x:v>NOT_RUN</x:v>
      </x:c>
      <x:c r="M19" s="29" t="str">
        <x:v>NOT_RUN</x:v>
      </x:c>
      <x:c r="N19" s="29" t="n">
        <x:v>0</x:v>
      </x:c>
      <x:c r="O19" s="29" t="str"/>
      <x:c r="P19" s="29" t="str"/>
      <x:c r="Q19" s="29" t="str">
        <x:f>IF(COUNTIF(D19:M19,"NOT_RUN")=10,"NOT_RUN",IF(AND(COUNTIF(D19:M19,"PASS")=10,N19=0,O19&lt;&gt;"",P19&lt;&gt;""),"PASS","HOLD"))</x:f>
        <x:v>NOT_RUN</x:v>
      </x:c>
    </x:row>
    <x:row r="20">
      <x:c r="A20" s="29" t="str">
        <x:v>DIO-EVT-016</x:v>
      </x:c>
      <x:c r="B20" s="29" t="str">
        <x:v>LOT-1</x:v>
      </x:c>
      <x:c r="C20" s="29" t="str">
        <x:v>TRV-DIO-EVT-016</x:v>
      </x:c>
      <x:c r="D20" s="29" t="str">
        <x:v>NOT_RUN</x:v>
      </x:c>
      <x:c r="E20" s="29" t="str">
        <x:v>NOT_RUN</x:v>
      </x:c>
      <x:c r="F20" s="29" t="str">
        <x:v>NOT_RUN</x:v>
      </x:c>
      <x:c r="G20" s="29" t="str">
        <x:v>NOT_RUN</x:v>
      </x:c>
      <x:c r="H20" s="29" t="str">
        <x:v>NOT_RUN</x:v>
      </x:c>
      <x:c r="I20" s="29" t="str">
        <x:v>NOT_RUN</x:v>
      </x:c>
      <x:c r="J20" s="29" t="str">
        <x:v>NOT_RUN</x:v>
      </x:c>
      <x:c r="K20" s="29" t="str">
        <x:v>NOT_RUN</x:v>
      </x:c>
      <x:c r="L20" s="29" t="str">
        <x:v>NOT_RUN</x:v>
      </x:c>
      <x:c r="M20" s="29" t="str">
        <x:v>NOT_RUN</x:v>
      </x:c>
      <x:c r="N20" s="29" t="n">
        <x:v>0</x:v>
      </x:c>
      <x:c r="O20" s="29" t="str"/>
      <x:c r="P20" s="29" t="str"/>
      <x:c r="Q20" s="29" t="str">
        <x:f>IF(COUNTIF(D20:M20,"NOT_RUN")=10,"NOT_RUN",IF(AND(COUNTIF(D20:M20,"PASS")=10,N20=0,O20&lt;&gt;"",P20&lt;&gt;""),"PASS","HOLD"))</x:f>
        <x:v>NOT_RUN</x:v>
      </x:c>
    </x:row>
    <x:row r="21">
      <x:c r="A21" s="29" t="str">
        <x:v>DIO-EVT-017</x:v>
      </x:c>
      <x:c r="B21" s="29" t="str">
        <x:v>LOT-1</x:v>
      </x:c>
      <x:c r="C21" s="29" t="str">
        <x:v>TRV-DIO-EVT-017</x:v>
      </x:c>
      <x:c r="D21" s="29" t="str">
        <x:v>NOT_RUN</x:v>
      </x:c>
      <x:c r="E21" s="29" t="str">
        <x:v>NOT_RUN</x:v>
      </x:c>
      <x:c r="F21" s="29" t="str">
        <x:v>NOT_RUN</x:v>
      </x:c>
      <x:c r="G21" s="29" t="str">
        <x:v>NOT_RUN</x:v>
      </x:c>
      <x:c r="H21" s="29" t="str">
        <x:v>NOT_RUN</x:v>
      </x:c>
      <x:c r="I21" s="29" t="str">
        <x:v>NOT_RUN</x:v>
      </x:c>
      <x:c r="J21" s="29" t="str">
        <x:v>NOT_RUN</x:v>
      </x:c>
      <x:c r="K21" s="29" t="str">
        <x:v>NOT_RUN</x:v>
      </x:c>
      <x:c r="L21" s="29" t="str">
        <x:v>NOT_RUN</x:v>
      </x:c>
      <x:c r="M21" s="29" t="str">
        <x:v>NOT_RUN</x:v>
      </x:c>
      <x:c r="N21" s="29" t="n">
        <x:v>0</x:v>
      </x:c>
      <x:c r="O21" s="29" t="str"/>
      <x:c r="P21" s="29" t="str"/>
      <x:c r="Q21" s="29" t="str">
        <x:f>IF(COUNTIF(D21:M21,"NOT_RUN")=10,"NOT_RUN",IF(AND(COUNTIF(D21:M21,"PASS")=10,N21=0,O21&lt;&gt;"",P21&lt;&gt;""),"PASS","HOLD"))</x:f>
        <x:v>NOT_RUN</x:v>
      </x:c>
    </x:row>
    <x:row r="22">
      <x:c r="A22" s="29" t="str">
        <x:v>DIO-EVT-018</x:v>
      </x:c>
      <x:c r="B22" s="29" t="str">
        <x:v>LOT-1</x:v>
      </x:c>
      <x:c r="C22" s="29" t="str">
        <x:v>TRV-DIO-EVT-018</x:v>
      </x:c>
      <x:c r="D22" s="29" t="str">
        <x:v>NOT_RUN</x:v>
      </x:c>
      <x:c r="E22" s="29" t="str">
        <x:v>NOT_RUN</x:v>
      </x:c>
      <x:c r="F22" s="29" t="str">
        <x:v>NOT_RUN</x:v>
      </x:c>
      <x:c r="G22" s="29" t="str">
        <x:v>NOT_RUN</x:v>
      </x:c>
      <x:c r="H22" s="29" t="str">
        <x:v>NOT_RUN</x:v>
      </x:c>
      <x:c r="I22" s="29" t="str">
        <x:v>NOT_RUN</x:v>
      </x:c>
      <x:c r="J22" s="29" t="str">
        <x:v>NOT_RUN</x:v>
      </x:c>
      <x:c r="K22" s="29" t="str">
        <x:v>NOT_RUN</x:v>
      </x:c>
      <x:c r="L22" s="29" t="str">
        <x:v>NOT_RUN</x:v>
      </x:c>
      <x:c r="M22" s="29" t="str">
        <x:v>NOT_RUN</x:v>
      </x:c>
      <x:c r="N22" s="29" t="n">
        <x:v>0</x:v>
      </x:c>
      <x:c r="O22" s="29" t="str"/>
      <x:c r="P22" s="29" t="str"/>
      <x:c r="Q22" s="29" t="str">
        <x:f>IF(COUNTIF(D22:M22,"NOT_RUN")=10,"NOT_RUN",IF(AND(COUNTIF(D22:M22,"PASS")=10,N22=0,O22&lt;&gt;"",P22&lt;&gt;""),"PASS","HOLD"))</x:f>
        <x:v>NOT_RUN</x:v>
      </x:c>
    </x:row>
    <x:row r="23">
      <x:c r="A23" s="29" t="str">
        <x:v>DIO-EVT-019</x:v>
      </x:c>
      <x:c r="B23" s="29" t="str">
        <x:v>LOT-1</x:v>
      </x:c>
      <x:c r="C23" s="29" t="str">
        <x:v>TRV-DIO-EVT-019</x:v>
      </x:c>
      <x:c r="D23" s="29" t="str">
        <x:v>NOT_RUN</x:v>
      </x:c>
      <x:c r="E23" s="29" t="str">
        <x:v>NOT_RUN</x:v>
      </x:c>
      <x:c r="F23" s="29" t="str">
        <x:v>NOT_RUN</x:v>
      </x:c>
      <x:c r="G23" s="29" t="str">
        <x:v>NOT_RUN</x:v>
      </x:c>
      <x:c r="H23" s="29" t="str">
        <x:v>NOT_RUN</x:v>
      </x:c>
      <x:c r="I23" s="29" t="str">
        <x:v>NOT_RUN</x:v>
      </x:c>
      <x:c r="J23" s="29" t="str">
        <x:v>NOT_RUN</x:v>
      </x:c>
      <x:c r="K23" s="29" t="str">
        <x:v>NOT_RUN</x:v>
      </x:c>
      <x:c r="L23" s="29" t="str">
        <x:v>NOT_RUN</x:v>
      </x:c>
      <x:c r="M23" s="29" t="str">
        <x:v>NOT_RUN</x:v>
      </x:c>
      <x:c r="N23" s="29" t="n">
        <x:v>0</x:v>
      </x:c>
      <x:c r="O23" s="29" t="str"/>
      <x:c r="P23" s="29" t="str"/>
      <x:c r="Q23" s="29" t="str">
        <x:f>IF(COUNTIF(D23:M23,"NOT_RUN")=10,"NOT_RUN",IF(AND(COUNTIF(D23:M23,"PASS")=10,N23=0,O23&lt;&gt;"",P23&lt;&gt;""),"PASS","HOLD"))</x:f>
        <x:v>NOT_RUN</x:v>
      </x:c>
    </x:row>
    <x:row r="24">
      <x:c r="A24" s="29" t="str">
        <x:v>DIO-EVT-020</x:v>
      </x:c>
      <x:c r="B24" s="29" t="str">
        <x:v>LOT-1</x:v>
      </x:c>
      <x:c r="C24" s="29" t="str">
        <x:v>TRV-DIO-EVT-020</x:v>
      </x:c>
      <x:c r="D24" s="29" t="str">
        <x:v>NOT_RUN</x:v>
      </x:c>
      <x:c r="E24" s="29" t="str">
        <x:v>NOT_RUN</x:v>
      </x:c>
      <x:c r="F24" s="29" t="str">
        <x:v>NOT_RUN</x:v>
      </x:c>
      <x:c r="G24" s="29" t="str">
        <x:v>NOT_RUN</x:v>
      </x:c>
      <x:c r="H24" s="29" t="str">
        <x:v>NOT_RUN</x:v>
      </x:c>
      <x:c r="I24" s="29" t="str">
        <x:v>NOT_RUN</x:v>
      </x:c>
      <x:c r="J24" s="29" t="str">
        <x:v>NOT_RUN</x:v>
      </x:c>
      <x:c r="K24" s="29" t="str">
        <x:v>NOT_RUN</x:v>
      </x:c>
      <x:c r="L24" s="29" t="str">
        <x:v>NOT_RUN</x:v>
      </x:c>
      <x:c r="M24" s="29" t="str">
        <x:v>NOT_RUN</x:v>
      </x:c>
      <x:c r="N24" s="29" t="n">
        <x:v>0</x:v>
      </x:c>
      <x:c r="O24" s="29" t="str"/>
      <x:c r="P24" s="29" t="str"/>
      <x:c r="Q24" s="29" t="str">
        <x:f>IF(COUNTIF(D24:M24,"NOT_RUN")=10,"NOT_RUN",IF(AND(COUNTIF(D24:M24,"PASS")=10,N24=0,O24&lt;&gt;"",P24&lt;&gt;""),"PASS","HOLD"))</x:f>
        <x:v>NOT_RUN</x:v>
      </x:c>
    </x:row>
    <x:row r="25">
      <x:c r="A25" s="29" t="str">
        <x:v>DIO-EVT-021</x:v>
      </x:c>
      <x:c r="B25" s="29" t="str">
        <x:v>LOT-2</x:v>
      </x:c>
      <x:c r="C25" s="29" t="str">
        <x:v>TRV-DIO-EVT-021</x:v>
      </x:c>
      <x:c r="D25" s="29" t="str">
        <x:v>NOT_RUN</x:v>
      </x:c>
      <x:c r="E25" s="29" t="str">
        <x:v>NOT_RUN</x:v>
      </x:c>
      <x:c r="F25" s="29" t="str">
        <x:v>NOT_RUN</x:v>
      </x:c>
      <x:c r="G25" s="29" t="str">
        <x:v>NOT_RUN</x:v>
      </x:c>
      <x:c r="H25" s="29" t="str">
        <x:v>NOT_RUN</x:v>
      </x:c>
      <x:c r="I25" s="29" t="str">
        <x:v>NOT_RUN</x:v>
      </x:c>
      <x:c r="J25" s="29" t="str">
        <x:v>NOT_RUN</x:v>
      </x:c>
      <x:c r="K25" s="29" t="str">
        <x:v>NOT_RUN</x:v>
      </x:c>
      <x:c r="L25" s="29" t="str">
        <x:v>NOT_RUN</x:v>
      </x:c>
      <x:c r="M25" s="29" t="str">
        <x:v>NOT_RUN</x:v>
      </x:c>
      <x:c r="N25" s="29" t="n">
        <x:v>0</x:v>
      </x:c>
      <x:c r="O25" s="29" t="str"/>
      <x:c r="P25" s="29" t="str"/>
      <x:c r="Q25" s="29" t="str">
        <x:f>IF(COUNTIF(D25:M25,"NOT_RUN")=10,"NOT_RUN",IF(AND(COUNTIF(D25:M25,"PASS")=10,N25=0,O25&lt;&gt;"",P25&lt;&gt;""),"PASS","HOLD"))</x:f>
        <x:v>NOT_RUN</x:v>
      </x:c>
    </x:row>
    <x:row r="26">
      <x:c r="A26" s="29" t="str">
        <x:v>DIO-EVT-022</x:v>
      </x:c>
      <x:c r="B26" s="29" t="str">
        <x:v>LOT-2</x:v>
      </x:c>
      <x:c r="C26" s="29" t="str">
        <x:v>TRV-DIO-EVT-022</x:v>
      </x:c>
      <x:c r="D26" s="29" t="str">
        <x:v>NOT_RUN</x:v>
      </x:c>
      <x:c r="E26" s="29" t="str">
        <x:v>NOT_RUN</x:v>
      </x:c>
      <x:c r="F26" s="29" t="str">
        <x:v>NOT_RUN</x:v>
      </x:c>
      <x:c r="G26" s="29" t="str">
        <x:v>NOT_RUN</x:v>
      </x:c>
      <x:c r="H26" s="29" t="str">
        <x:v>NOT_RUN</x:v>
      </x:c>
      <x:c r="I26" s="29" t="str">
        <x:v>NOT_RUN</x:v>
      </x:c>
      <x:c r="J26" s="29" t="str">
        <x:v>NOT_RUN</x:v>
      </x:c>
      <x:c r="K26" s="29" t="str">
        <x:v>NOT_RUN</x:v>
      </x:c>
      <x:c r="L26" s="29" t="str">
        <x:v>NOT_RUN</x:v>
      </x:c>
      <x:c r="M26" s="29" t="str">
        <x:v>NOT_RUN</x:v>
      </x:c>
      <x:c r="N26" s="29" t="n">
        <x:v>0</x:v>
      </x:c>
      <x:c r="O26" s="29" t="str"/>
      <x:c r="P26" s="29" t="str"/>
      <x:c r="Q26" s="29" t="str">
        <x:f>IF(COUNTIF(D26:M26,"NOT_RUN")=10,"NOT_RUN",IF(AND(COUNTIF(D26:M26,"PASS")=10,N26=0,O26&lt;&gt;"",P26&lt;&gt;""),"PASS","HOLD"))</x:f>
        <x:v>NOT_RUN</x:v>
      </x:c>
    </x:row>
    <x:row r="27">
      <x:c r="A27" s="29" t="str">
        <x:v>DIO-EVT-023</x:v>
      </x:c>
      <x:c r="B27" s="29" t="str">
        <x:v>LOT-2</x:v>
      </x:c>
      <x:c r="C27" s="29" t="str">
        <x:v>TRV-DIO-EVT-023</x:v>
      </x:c>
      <x:c r="D27" s="29" t="str">
        <x:v>NOT_RUN</x:v>
      </x:c>
      <x:c r="E27" s="29" t="str">
        <x:v>NOT_RUN</x:v>
      </x:c>
      <x:c r="F27" s="29" t="str">
        <x:v>NOT_RUN</x:v>
      </x:c>
      <x:c r="G27" s="29" t="str">
        <x:v>NOT_RUN</x:v>
      </x:c>
      <x:c r="H27" s="29" t="str">
        <x:v>NOT_RUN</x:v>
      </x:c>
      <x:c r="I27" s="29" t="str">
        <x:v>NOT_RUN</x:v>
      </x:c>
      <x:c r="J27" s="29" t="str">
        <x:v>NOT_RUN</x:v>
      </x:c>
      <x:c r="K27" s="29" t="str">
        <x:v>NOT_RUN</x:v>
      </x:c>
      <x:c r="L27" s="29" t="str">
        <x:v>NOT_RUN</x:v>
      </x:c>
      <x:c r="M27" s="29" t="str">
        <x:v>NOT_RUN</x:v>
      </x:c>
      <x:c r="N27" s="29" t="n">
        <x:v>0</x:v>
      </x:c>
      <x:c r="O27" s="29" t="str"/>
      <x:c r="P27" s="29" t="str"/>
      <x:c r="Q27" s="29" t="str">
        <x:f>IF(COUNTIF(D27:M27,"NOT_RUN")=10,"NOT_RUN",IF(AND(COUNTIF(D27:M27,"PASS")=10,N27=0,O27&lt;&gt;"",P27&lt;&gt;""),"PASS","HOLD"))</x:f>
        <x:v>NOT_RUN</x:v>
      </x:c>
    </x:row>
    <x:row r="28">
      <x:c r="A28" s="29" t="str">
        <x:v>DIO-EVT-024</x:v>
      </x:c>
      <x:c r="B28" s="29" t="str">
        <x:v>LOT-2</x:v>
      </x:c>
      <x:c r="C28" s="29" t="str">
        <x:v>TRV-DIO-EVT-024</x:v>
      </x:c>
      <x:c r="D28" s="29" t="str">
        <x:v>NOT_RUN</x:v>
      </x:c>
      <x:c r="E28" s="29" t="str">
        <x:v>NOT_RUN</x:v>
      </x:c>
      <x:c r="F28" s="29" t="str">
        <x:v>NOT_RUN</x:v>
      </x:c>
      <x:c r="G28" s="29" t="str">
        <x:v>NOT_RUN</x:v>
      </x:c>
      <x:c r="H28" s="29" t="str">
        <x:v>NOT_RUN</x:v>
      </x:c>
      <x:c r="I28" s="29" t="str">
        <x:v>NOT_RUN</x:v>
      </x:c>
      <x:c r="J28" s="29" t="str">
        <x:v>NOT_RUN</x:v>
      </x:c>
      <x:c r="K28" s="29" t="str">
        <x:v>NOT_RUN</x:v>
      </x:c>
      <x:c r="L28" s="29" t="str">
        <x:v>NOT_RUN</x:v>
      </x:c>
      <x:c r="M28" s="29" t="str">
        <x:v>NOT_RUN</x:v>
      </x:c>
      <x:c r="N28" s="29" t="n">
        <x:v>0</x:v>
      </x:c>
      <x:c r="O28" s="29" t="str"/>
      <x:c r="P28" s="29" t="str"/>
      <x:c r="Q28" s="29" t="str">
        <x:f>IF(COUNTIF(D28:M28,"NOT_RUN")=10,"NOT_RUN",IF(AND(COUNTIF(D28:M28,"PASS")=10,N28=0,O28&lt;&gt;"",P28&lt;&gt;""),"PASS","HOLD"))</x:f>
        <x:v>NOT_RUN</x:v>
      </x:c>
    </x:row>
    <x:row r="29">
      <x:c r="A29" s="29" t="str">
        <x:v>DIO-EVT-025</x:v>
      </x:c>
      <x:c r="B29" s="29" t="str">
        <x:v>LOT-2</x:v>
      </x:c>
      <x:c r="C29" s="29" t="str">
        <x:v>TRV-DIO-EVT-025</x:v>
      </x:c>
      <x:c r="D29" s="29" t="str">
        <x:v>NOT_RUN</x:v>
      </x:c>
      <x:c r="E29" s="29" t="str">
        <x:v>NOT_RUN</x:v>
      </x:c>
      <x:c r="F29" s="29" t="str">
        <x:v>NOT_RUN</x:v>
      </x:c>
      <x:c r="G29" s="29" t="str">
        <x:v>NOT_RUN</x:v>
      </x:c>
      <x:c r="H29" s="29" t="str">
        <x:v>NOT_RUN</x:v>
      </x:c>
      <x:c r="I29" s="29" t="str">
        <x:v>NOT_RUN</x:v>
      </x:c>
      <x:c r="J29" s="29" t="str">
        <x:v>NOT_RUN</x:v>
      </x:c>
      <x:c r="K29" s="29" t="str">
        <x:v>NOT_RUN</x:v>
      </x:c>
      <x:c r="L29" s="29" t="str">
        <x:v>NOT_RUN</x:v>
      </x:c>
      <x:c r="M29" s="29" t="str">
        <x:v>NOT_RUN</x:v>
      </x:c>
      <x:c r="N29" s="29" t="n">
        <x:v>0</x:v>
      </x:c>
      <x:c r="O29" s="29" t="str"/>
      <x:c r="P29" s="29" t="str"/>
      <x:c r="Q29" s="29" t="str">
        <x:f>IF(COUNTIF(D29:M29,"NOT_RUN")=10,"NOT_RUN",IF(AND(COUNTIF(D29:M29,"PASS")=10,N29=0,O29&lt;&gt;"",P29&lt;&gt;""),"PASS","HOLD"))</x:f>
        <x:v>NOT_RUN</x:v>
      </x:c>
    </x:row>
    <x:row r="30">
      <x:c r="A30" s="29" t="str">
        <x:v>DIO-EVT-026</x:v>
      </x:c>
      <x:c r="B30" s="29" t="str">
        <x:v>LOT-2</x:v>
      </x:c>
      <x:c r="C30" s="29" t="str">
        <x:v>TRV-DIO-EVT-026</x:v>
      </x:c>
      <x:c r="D30" s="29" t="str">
        <x:v>NOT_RUN</x:v>
      </x:c>
      <x:c r="E30" s="29" t="str">
        <x:v>NOT_RUN</x:v>
      </x:c>
      <x:c r="F30" s="29" t="str">
        <x:v>NOT_RUN</x:v>
      </x:c>
      <x:c r="G30" s="29" t="str">
        <x:v>NOT_RUN</x:v>
      </x:c>
      <x:c r="H30" s="29" t="str">
        <x:v>NOT_RUN</x:v>
      </x:c>
      <x:c r="I30" s="29" t="str">
        <x:v>NOT_RUN</x:v>
      </x:c>
      <x:c r="J30" s="29" t="str">
        <x:v>NOT_RUN</x:v>
      </x:c>
      <x:c r="K30" s="29" t="str">
        <x:v>NOT_RUN</x:v>
      </x:c>
      <x:c r="L30" s="29" t="str">
        <x:v>NOT_RUN</x:v>
      </x:c>
      <x:c r="M30" s="29" t="str">
        <x:v>NOT_RUN</x:v>
      </x:c>
      <x:c r="N30" s="29" t="n">
        <x:v>0</x:v>
      </x:c>
      <x:c r="O30" s="29" t="str"/>
      <x:c r="P30" s="29" t="str"/>
      <x:c r="Q30" s="29" t="str">
        <x:f>IF(COUNTIF(D30:M30,"NOT_RUN")=10,"NOT_RUN",IF(AND(COUNTIF(D30:M30,"PASS")=10,N30=0,O30&lt;&gt;"",P30&lt;&gt;""),"PASS","HOLD"))</x:f>
        <x:v>NOT_RUN</x:v>
      </x:c>
    </x:row>
    <x:row r="31">
      <x:c r="A31" s="29" t="str">
        <x:v>DIO-EVT-027</x:v>
      </x:c>
      <x:c r="B31" s="29" t="str">
        <x:v>LOT-2</x:v>
      </x:c>
      <x:c r="C31" s="29" t="str">
        <x:v>TRV-DIO-EVT-027</x:v>
      </x:c>
      <x:c r="D31" s="29" t="str">
        <x:v>NOT_RUN</x:v>
      </x:c>
      <x:c r="E31" s="29" t="str">
        <x:v>NOT_RUN</x:v>
      </x:c>
      <x:c r="F31" s="29" t="str">
        <x:v>NOT_RUN</x:v>
      </x:c>
      <x:c r="G31" s="29" t="str">
        <x:v>NOT_RUN</x:v>
      </x:c>
      <x:c r="H31" s="29" t="str">
        <x:v>NOT_RUN</x:v>
      </x:c>
      <x:c r="I31" s="29" t="str">
        <x:v>NOT_RUN</x:v>
      </x:c>
      <x:c r="J31" s="29" t="str">
        <x:v>NOT_RUN</x:v>
      </x:c>
      <x:c r="K31" s="29" t="str">
        <x:v>NOT_RUN</x:v>
      </x:c>
      <x:c r="L31" s="29" t="str">
        <x:v>NOT_RUN</x:v>
      </x:c>
      <x:c r="M31" s="29" t="str">
        <x:v>NOT_RUN</x:v>
      </x:c>
      <x:c r="N31" s="29" t="n">
        <x:v>0</x:v>
      </x:c>
      <x:c r="O31" s="29" t="str"/>
      <x:c r="P31" s="29" t="str"/>
      <x:c r="Q31" s="29" t="str">
        <x:f>IF(COUNTIF(D31:M31,"NOT_RUN")=10,"NOT_RUN",IF(AND(COUNTIF(D31:M31,"PASS")=10,N31=0,O31&lt;&gt;"",P31&lt;&gt;""),"PASS","HOLD"))</x:f>
        <x:v>NOT_RUN</x:v>
      </x:c>
    </x:row>
    <x:row r="32">
      <x:c r="A32" s="29" t="str">
        <x:v>DIO-EVT-028</x:v>
      </x:c>
      <x:c r="B32" s="29" t="str">
        <x:v>LOT-2</x:v>
      </x:c>
      <x:c r="C32" s="29" t="str">
        <x:v>TRV-DIO-EVT-028</x:v>
      </x:c>
      <x:c r="D32" s="29" t="str">
        <x:v>NOT_RUN</x:v>
      </x:c>
      <x:c r="E32" s="29" t="str">
        <x:v>NOT_RUN</x:v>
      </x:c>
      <x:c r="F32" s="29" t="str">
        <x:v>NOT_RUN</x:v>
      </x:c>
      <x:c r="G32" s="29" t="str">
        <x:v>NOT_RUN</x:v>
      </x:c>
      <x:c r="H32" s="29" t="str">
        <x:v>NOT_RUN</x:v>
      </x:c>
      <x:c r="I32" s="29" t="str">
        <x:v>NOT_RUN</x:v>
      </x:c>
      <x:c r="J32" s="29" t="str">
        <x:v>NOT_RUN</x:v>
      </x:c>
      <x:c r="K32" s="29" t="str">
        <x:v>NOT_RUN</x:v>
      </x:c>
      <x:c r="L32" s="29" t="str">
        <x:v>NOT_RUN</x:v>
      </x:c>
      <x:c r="M32" s="29" t="str">
        <x:v>NOT_RUN</x:v>
      </x:c>
      <x:c r="N32" s="29" t="n">
        <x:v>0</x:v>
      </x:c>
      <x:c r="O32" s="29" t="str"/>
      <x:c r="P32" s="29" t="str"/>
      <x:c r="Q32" s="29" t="str">
        <x:f>IF(COUNTIF(D32:M32,"NOT_RUN")=10,"NOT_RUN",IF(AND(COUNTIF(D32:M32,"PASS")=10,N32=0,O32&lt;&gt;"",P32&lt;&gt;""),"PASS","HOLD"))</x:f>
        <x:v>NOT_RUN</x:v>
      </x:c>
    </x:row>
    <x:row r="33">
      <x:c r="A33" s="29" t="str">
        <x:v>DIO-EVT-029</x:v>
      </x:c>
      <x:c r="B33" s="29" t="str">
        <x:v>LOT-2</x:v>
      </x:c>
      <x:c r="C33" s="29" t="str">
        <x:v>TRV-DIO-EVT-029</x:v>
      </x:c>
      <x:c r="D33" s="29" t="str">
        <x:v>NOT_RUN</x:v>
      </x:c>
      <x:c r="E33" s="29" t="str">
        <x:v>NOT_RUN</x:v>
      </x:c>
      <x:c r="F33" s="29" t="str">
        <x:v>NOT_RUN</x:v>
      </x:c>
      <x:c r="G33" s="29" t="str">
        <x:v>NOT_RUN</x:v>
      </x:c>
      <x:c r="H33" s="29" t="str">
        <x:v>NOT_RUN</x:v>
      </x:c>
      <x:c r="I33" s="29" t="str">
        <x:v>NOT_RUN</x:v>
      </x:c>
      <x:c r="J33" s="29" t="str">
        <x:v>NOT_RUN</x:v>
      </x:c>
      <x:c r="K33" s="29" t="str">
        <x:v>NOT_RUN</x:v>
      </x:c>
      <x:c r="L33" s="29" t="str">
        <x:v>NOT_RUN</x:v>
      </x:c>
      <x:c r="M33" s="29" t="str">
        <x:v>NOT_RUN</x:v>
      </x:c>
      <x:c r="N33" s="29" t="n">
        <x:v>0</x:v>
      </x:c>
      <x:c r="O33" s="29" t="str"/>
      <x:c r="P33" s="29" t="str"/>
      <x:c r="Q33" s="29" t="str">
        <x:f>IF(COUNTIF(D33:M33,"NOT_RUN")=10,"NOT_RUN",IF(AND(COUNTIF(D33:M33,"PASS")=10,N33=0,O33&lt;&gt;"",P33&lt;&gt;""),"PASS","HOLD"))</x:f>
        <x:v>NOT_RUN</x:v>
      </x:c>
    </x:row>
    <x:row r="34">
      <x:c r="A34" s="29" t="str">
        <x:v>DIO-EVT-030</x:v>
      </x:c>
      <x:c r="B34" s="29" t="str">
        <x:v>LOT-2</x:v>
      </x:c>
      <x:c r="C34" s="29" t="str">
        <x:v>TRV-DIO-EVT-030</x:v>
      </x:c>
      <x:c r="D34" s="29" t="str">
        <x:v>NOT_RUN</x:v>
      </x:c>
      <x:c r="E34" s="29" t="str">
        <x:v>NOT_RUN</x:v>
      </x:c>
      <x:c r="F34" s="29" t="str">
        <x:v>NOT_RUN</x:v>
      </x:c>
      <x:c r="G34" s="29" t="str">
        <x:v>NOT_RUN</x:v>
      </x:c>
      <x:c r="H34" s="29" t="str">
        <x:v>NOT_RUN</x:v>
      </x:c>
      <x:c r="I34" s="29" t="str">
        <x:v>NOT_RUN</x:v>
      </x:c>
      <x:c r="J34" s="29" t="str">
        <x:v>NOT_RUN</x:v>
      </x:c>
      <x:c r="K34" s="29" t="str">
        <x:v>NOT_RUN</x:v>
      </x:c>
      <x:c r="L34" s="29" t="str">
        <x:v>NOT_RUN</x:v>
      </x:c>
      <x:c r="M34" s="29" t="str">
        <x:v>NOT_RUN</x:v>
      </x:c>
      <x:c r="N34" s="29" t="n">
        <x:v>0</x:v>
      </x:c>
      <x:c r="O34" s="29" t="str"/>
      <x:c r="P34" s="29" t="str"/>
      <x:c r="Q34" s="29" t="str">
        <x:f>IF(COUNTIF(D34:M34,"NOT_RUN")=10,"NOT_RUN",IF(AND(COUNTIF(D34:M34,"PASS")=10,N34=0,O34&lt;&gt;"",P34&lt;&gt;""),"PASS","HOLD"))</x:f>
        <x:v>NOT_RUN</x:v>
      </x:c>
    </x:row>
    <x:row r="35">
      <x:c r="A35" s="29" t="str">
        <x:v>DIO-EVT-031</x:v>
      </x:c>
      <x:c r="B35" s="29" t="str">
        <x:v>LOT-2</x:v>
      </x:c>
      <x:c r="C35" s="29" t="str">
        <x:v>TRV-DIO-EVT-031</x:v>
      </x:c>
      <x:c r="D35" s="29" t="str">
        <x:v>NOT_RUN</x:v>
      </x:c>
      <x:c r="E35" s="29" t="str">
        <x:v>NOT_RUN</x:v>
      </x:c>
      <x:c r="F35" s="29" t="str">
        <x:v>NOT_RUN</x:v>
      </x:c>
      <x:c r="G35" s="29" t="str">
        <x:v>NOT_RUN</x:v>
      </x:c>
      <x:c r="H35" s="29" t="str">
        <x:v>NOT_RUN</x:v>
      </x:c>
      <x:c r="I35" s="29" t="str">
        <x:v>NOT_RUN</x:v>
      </x:c>
      <x:c r="J35" s="29" t="str">
        <x:v>NOT_RUN</x:v>
      </x:c>
      <x:c r="K35" s="29" t="str">
        <x:v>NOT_RUN</x:v>
      </x:c>
      <x:c r="L35" s="29" t="str">
        <x:v>NOT_RUN</x:v>
      </x:c>
      <x:c r="M35" s="29" t="str">
        <x:v>NOT_RUN</x:v>
      </x:c>
      <x:c r="N35" s="29" t="n">
        <x:v>0</x:v>
      </x:c>
      <x:c r="O35" s="29" t="str"/>
      <x:c r="P35" s="29" t="str"/>
      <x:c r="Q35" s="29" t="str">
        <x:f>IF(COUNTIF(D35:M35,"NOT_RUN")=10,"NOT_RUN",IF(AND(COUNTIF(D35:M35,"PASS")=10,N35=0,O35&lt;&gt;"",P35&lt;&gt;""),"PASS","HOLD"))</x:f>
        <x:v>NOT_RUN</x:v>
      </x:c>
    </x:row>
    <x:row r="36">
      <x:c r="A36" s="29" t="str">
        <x:v>DIO-EVT-032</x:v>
      </x:c>
      <x:c r="B36" s="29" t="str">
        <x:v>LOT-2</x:v>
      </x:c>
      <x:c r="C36" s="29" t="str">
        <x:v>TRV-DIO-EVT-032</x:v>
      </x:c>
      <x:c r="D36" s="29" t="str">
        <x:v>NOT_RUN</x:v>
      </x:c>
      <x:c r="E36" s="29" t="str">
        <x:v>NOT_RUN</x:v>
      </x:c>
      <x:c r="F36" s="29" t="str">
        <x:v>NOT_RUN</x:v>
      </x:c>
      <x:c r="G36" s="29" t="str">
        <x:v>NOT_RUN</x:v>
      </x:c>
      <x:c r="H36" s="29" t="str">
        <x:v>NOT_RUN</x:v>
      </x:c>
      <x:c r="I36" s="29" t="str">
        <x:v>NOT_RUN</x:v>
      </x:c>
      <x:c r="J36" s="29" t="str">
        <x:v>NOT_RUN</x:v>
      </x:c>
      <x:c r="K36" s="29" t="str">
        <x:v>NOT_RUN</x:v>
      </x:c>
      <x:c r="L36" s="29" t="str">
        <x:v>NOT_RUN</x:v>
      </x:c>
      <x:c r="M36" s="29" t="str">
        <x:v>NOT_RUN</x:v>
      </x:c>
      <x:c r="N36" s="29" t="n">
        <x:v>0</x:v>
      </x:c>
      <x:c r="O36" s="29" t="str"/>
      <x:c r="P36" s="29" t="str"/>
      <x:c r="Q36" s="29" t="str">
        <x:f>IF(COUNTIF(D36:M36,"NOT_RUN")=10,"NOT_RUN",IF(AND(COUNTIF(D36:M36,"PASS")=10,N36=0,O36&lt;&gt;"",P36&lt;&gt;""),"PASS","HOLD"))</x:f>
        <x:v>NOT_RUN</x:v>
      </x:c>
    </x:row>
    <x:row r="37">
      <x:c r="A37" s="29" t="str">
        <x:v>DIO-EVT-033</x:v>
      </x:c>
      <x:c r="B37" s="29" t="str">
        <x:v>LOT-2</x:v>
      </x:c>
      <x:c r="C37" s="29" t="str">
        <x:v>TRV-DIO-EVT-033</x:v>
      </x:c>
      <x:c r="D37" s="29" t="str">
        <x:v>NOT_RUN</x:v>
      </x:c>
      <x:c r="E37" s="29" t="str">
        <x:v>NOT_RUN</x:v>
      </x:c>
      <x:c r="F37" s="29" t="str">
        <x:v>NOT_RUN</x:v>
      </x:c>
      <x:c r="G37" s="29" t="str">
        <x:v>NOT_RUN</x:v>
      </x:c>
      <x:c r="H37" s="29" t="str">
        <x:v>NOT_RUN</x:v>
      </x:c>
      <x:c r="I37" s="29" t="str">
        <x:v>NOT_RUN</x:v>
      </x:c>
      <x:c r="J37" s="29" t="str">
        <x:v>NOT_RUN</x:v>
      </x:c>
      <x:c r="K37" s="29" t="str">
        <x:v>NOT_RUN</x:v>
      </x:c>
      <x:c r="L37" s="29" t="str">
        <x:v>NOT_RUN</x:v>
      </x:c>
      <x:c r="M37" s="29" t="str">
        <x:v>NOT_RUN</x:v>
      </x:c>
      <x:c r="N37" s="29" t="n">
        <x:v>0</x:v>
      </x:c>
      <x:c r="O37" s="29" t="str"/>
      <x:c r="P37" s="29" t="str"/>
      <x:c r="Q37" s="29" t="str">
        <x:f>IF(COUNTIF(D37:M37,"NOT_RUN")=10,"NOT_RUN",IF(AND(COUNTIF(D37:M37,"PASS")=10,N37=0,O37&lt;&gt;"",P37&lt;&gt;""),"PASS","HOLD"))</x:f>
        <x:v>NOT_RUN</x:v>
      </x:c>
    </x:row>
    <x:row r="38">
      <x:c r="A38" s="29" t="str">
        <x:v>DIO-EVT-034</x:v>
      </x:c>
      <x:c r="B38" s="29" t="str">
        <x:v>LOT-2</x:v>
      </x:c>
      <x:c r="C38" s="29" t="str">
        <x:v>TRV-DIO-EVT-034</x:v>
      </x:c>
      <x:c r="D38" s="29" t="str">
        <x:v>NOT_RUN</x:v>
      </x:c>
      <x:c r="E38" s="29" t="str">
        <x:v>NOT_RUN</x:v>
      </x:c>
      <x:c r="F38" s="29" t="str">
        <x:v>NOT_RUN</x:v>
      </x:c>
      <x:c r="G38" s="29" t="str">
        <x:v>NOT_RUN</x:v>
      </x:c>
      <x:c r="H38" s="29" t="str">
        <x:v>NOT_RUN</x:v>
      </x:c>
      <x:c r="I38" s="29" t="str">
        <x:v>NOT_RUN</x:v>
      </x:c>
      <x:c r="J38" s="29" t="str">
        <x:v>NOT_RUN</x:v>
      </x:c>
      <x:c r="K38" s="29" t="str">
        <x:v>NOT_RUN</x:v>
      </x:c>
      <x:c r="L38" s="29" t="str">
        <x:v>NOT_RUN</x:v>
      </x:c>
      <x:c r="M38" s="29" t="str">
        <x:v>NOT_RUN</x:v>
      </x:c>
      <x:c r="N38" s="29" t="n">
        <x:v>0</x:v>
      </x:c>
      <x:c r="O38" s="29" t="str"/>
      <x:c r="P38" s="29" t="str"/>
      <x:c r="Q38" s="29" t="str">
        <x:f>IF(COUNTIF(D38:M38,"NOT_RUN")=10,"NOT_RUN",IF(AND(COUNTIF(D38:M38,"PASS")=10,N38=0,O38&lt;&gt;"",P38&lt;&gt;""),"PASS","HOLD"))</x:f>
        <x:v>NOT_RUN</x:v>
      </x:c>
    </x:row>
    <x:row r="39">
      <x:c r="A39" s="29" t="str">
        <x:v>DIO-EVT-035</x:v>
      </x:c>
      <x:c r="B39" s="29" t="str">
        <x:v>LOT-2</x:v>
      </x:c>
      <x:c r="C39" s="29" t="str">
        <x:v>TRV-DIO-EVT-035</x:v>
      </x:c>
      <x:c r="D39" s="29" t="str">
        <x:v>NOT_RUN</x:v>
      </x:c>
      <x:c r="E39" s="29" t="str">
        <x:v>NOT_RUN</x:v>
      </x:c>
      <x:c r="F39" s="29" t="str">
        <x:v>NOT_RUN</x:v>
      </x:c>
      <x:c r="G39" s="29" t="str">
        <x:v>NOT_RUN</x:v>
      </x:c>
      <x:c r="H39" s="29" t="str">
        <x:v>NOT_RUN</x:v>
      </x:c>
      <x:c r="I39" s="29" t="str">
        <x:v>NOT_RUN</x:v>
      </x:c>
      <x:c r="J39" s="29" t="str">
        <x:v>NOT_RUN</x:v>
      </x:c>
      <x:c r="K39" s="29" t="str">
        <x:v>NOT_RUN</x:v>
      </x:c>
      <x:c r="L39" s="29" t="str">
        <x:v>NOT_RUN</x:v>
      </x:c>
      <x:c r="M39" s="29" t="str">
        <x:v>NOT_RUN</x:v>
      </x:c>
      <x:c r="N39" s="29" t="n">
        <x:v>0</x:v>
      </x:c>
      <x:c r="O39" s="29" t="str"/>
      <x:c r="P39" s="29" t="str"/>
      <x:c r="Q39" s="29" t="str">
        <x:f>IF(COUNTIF(D39:M39,"NOT_RUN")=10,"NOT_RUN",IF(AND(COUNTIF(D39:M39,"PASS")=10,N39=0,O39&lt;&gt;"",P39&lt;&gt;""),"PASS","HOLD"))</x:f>
        <x:v>NOT_RUN</x:v>
      </x:c>
    </x:row>
    <x:row r="40">
      <x:c r="A40" s="29" t="str">
        <x:v>DIO-EVT-036</x:v>
      </x:c>
      <x:c r="B40" s="29" t="str">
        <x:v>LOT-2</x:v>
      </x:c>
      <x:c r="C40" s="29" t="str">
        <x:v>TRV-DIO-EVT-036</x:v>
      </x:c>
      <x:c r="D40" s="29" t="str">
        <x:v>NOT_RUN</x:v>
      </x:c>
      <x:c r="E40" s="29" t="str">
        <x:v>NOT_RUN</x:v>
      </x:c>
      <x:c r="F40" s="29" t="str">
        <x:v>NOT_RUN</x:v>
      </x:c>
      <x:c r="G40" s="29" t="str">
        <x:v>NOT_RUN</x:v>
      </x:c>
      <x:c r="H40" s="29" t="str">
        <x:v>NOT_RUN</x:v>
      </x:c>
      <x:c r="I40" s="29" t="str">
        <x:v>NOT_RUN</x:v>
      </x:c>
      <x:c r="J40" s="29" t="str">
        <x:v>NOT_RUN</x:v>
      </x:c>
      <x:c r="K40" s="29" t="str">
        <x:v>NOT_RUN</x:v>
      </x:c>
      <x:c r="L40" s="29" t="str">
        <x:v>NOT_RUN</x:v>
      </x:c>
      <x:c r="M40" s="29" t="str">
        <x:v>NOT_RUN</x:v>
      </x:c>
      <x:c r="N40" s="29" t="n">
        <x:v>0</x:v>
      </x:c>
      <x:c r="O40" s="29" t="str"/>
      <x:c r="P40" s="29" t="str"/>
      <x:c r="Q40" s="29" t="str">
        <x:f>IF(COUNTIF(D40:M40,"NOT_RUN")=10,"NOT_RUN",IF(AND(COUNTIF(D40:M40,"PASS")=10,N40=0,O40&lt;&gt;"",P40&lt;&gt;""),"PASS","HOLD"))</x:f>
        <x:v>NOT_RUN</x:v>
      </x:c>
    </x:row>
    <x:row r="41">
      <x:c r="A41" s="29" t="str">
        <x:v>DIO-EVT-037</x:v>
      </x:c>
      <x:c r="B41" s="29" t="str">
        <x:v>LOT-2</x:v>
      </x:c>
      <x:c r="C41" s="29" t="str">
        <x:v>TRV-DIO-EVT-037</x:v>
      </x:c>
      <x:c r="D41" s="29" t="str">
        <x:v>NOT_RUN</x:v>
      </x:c>
      <x:c r="E41" s="29" t="str">
        <x:v>NOT_RUN</x:v>
      </x:c>
      <x:c r="F41" s="29" t="str">
        <x:v>NOT_RUN</x:v>
      </x:c>
      <x:c r="G41" s="29" t="str">
        <x:v>NOT_RUN</x:v>
      </x:c>
      <x:c r="H41" s="29" t="str">
        <x:v>NOT_RUN</x:v>
      </x:c>
      <x:c r="I41" s="29" t="str">
        <x:v>NOT_RUN</x:v>
      </x:c>
      <x:c r="J41" s="29" t="str">
        <x:v>NOT_RUN</x:v>
      </x:c>
      <x:c r="K41" s="29" t="str">
        <x:v>NOT_RUN</x:v>
      </x:c>
      <x:c r="L41" s="29" t="str">
        <x:v>NOT_RUN</x:v>
      </x:c>
      <x:c r="M41" s="29" t="str">
        <x:v>NOT_RUN</x:v>
      </x:c>
      <x:c r="N41" s="29" t="n">
        <x:v>0</x:v>
      </x:c>
      <x:c r="O41" s="29" t="str"/>
      <x:c r="P41" s="29" t="str"/>
      <x:c r="Q41" s="29" t="str">
        <x:f>IF(COUNTIF(D41:M41,"NOT_RUN")=10,"NOT_RUN",IF(AND(COUNTIF(D41:M41,"PASS")=10,N41=0,O41&lt;&gt;"",P41&lt;&gt;""),"PASS","HOLD"))</x:f>
        <x:v>NOT_RUN</x:v>
      </x:c>
    </x:row>
    <x:row r="42">
      <x:c r="A42" s="29" t="str">
        <x:v>DIO-EVT-038</x:v>
      </x:c>
      <x:c r="B42" s="29" t="str">
        <x:v>LOT-2</x:v>
      </x:c>
      <x:c r="C42" s="29" t="str">
        <x:v>TRV-DIO-EVT-038</x:v>
      </x:c>
      <x:c r="D42" s="29" t="str">
        <x:v>NOT_RUN</x:v>
      </x:c>
      <x:c r="E42" s="29" t="str">
        <x:v>NOT_RUN</x:v>
      </x:c>
      <x:c r="F42" s="29" t="str">
        <x:v>NOT_RUN</x:v>
      </x:c>
      <x:c r="G42" s="29" t="str">
        <x:v>NOT_RUN</x:v>
      </x:c>
      <x:c r="H42" s="29" t="str">
        <x:v>NOT_RUN</x:v>
      </x:c>
      <x:c r="I42" s="29" t="str">
        <x:v>NOT_RUN</x:v>
      </x:c>
      <x:c r="J42" s="29" t="str">
        <x:v>NOT_RUN</x:v>
      </x:c>
      <x:c r="K42" s="29" t="str">
        <x:v>NOT_RUN</x:v>
      </x:c>
      <x:c r="L42" s="29" t="str">
        <x:v>NOT_RUN</x:v>
      </x:c>
      <x:c r="M42" s="29" t="str">
        <x:v>NOT_RUN</x:v>
      </x:c>
      <x:c r="N42" s="29" t="n">
        <x:v>0</x:v>
      </x:c>
      <x:c r="O42" s="29" t="str"/>
      <x:c r="P42" s="29" t="str"/>
      <x:c r="Q42" s="29" t="str">
        <x:f>IF(COUNTIF(D42:M42,"NOT_RUN")=10,"NOT_RUN",IF(AND(COUNTIF(D42:M42,"PASS")=10,N42=0,O42&lt;&gt;"",P42&lt;&gt;""),"PASS","HOLD"))</x:f>
        <x:v>NOT_RUN</x:v>
      </x:c>
    </x:row>
    <x:row r="43">
      <x:c r="A43" s="29" t="str">
        <x:v>DIO-EVT-039</x:v>
      </x:c>
      <x:c r="B43" s="29" t="str">
        <x:v>LOT-2</x:v>
      </x:c>
      <x:c r="C43" s="29" t="str">
        <x:v>TRV-DIO-EVT-039</x:v>
      </x:c>
      <x:c r="D43" s="29" t="str">
        <x:v>NOT_RUN</x:v>
      </x:c>
      <x:c r="E43" s="29" t="str">
        <x:v>NOT_RUN</x:v>
      </x:c>
      <x:c r="F43" s="29" t="str">
        <x:v>NOT_RUN</x:v>
      </x:c>
      <x:c r="G43" s="29" t="str">
        <x:v>NOT_RUN</x:v>
      </x:c>
      <x:c r="H43" s="29" t="str">
        <x:v>NOT_RUN</x:v>
      </x:c>
      <x:c r="I43" s="29" t="str">
        <x:v>NOT_RUN</x:v>
      </x:c>
      <x:c r="J43" s="29" t="str">
        <x:v>NOT_RUN</x:v>
      </x:c>
      <x:c r="K43" s="29" t="str">
        <x:v>NOT_RUN</x:v>
      </x:c>
      <x:c r="L43" s="29" t="str">
        <x:v>NOT_RUN</x:v>
      </x:c>
      <x:c r="M43" s="29" t="str">
        <x:v>NOT_RUN</x:v>
      </x:c>
      <x:c r="N43" s="29" t="n">
        <x:v>0</x:v>
      </x:c>
      <x:c r="O43" s="29" t="str"/>
      <x:c r="P43" s="29" t="str"/>
      <x:c r="Q43" s="29" t="str">
        <x:f>IF(COUNTIF(D43:M43,"NOT_RUN")=10,"NOT_RUN",IF(AND(COUNTIF(D43:M43,"PASS")=10,N43=0,O43&lt;&gt;"",P43&lt;&gt;""),"PASS","HOLD"))</x:f>
        <x:v>NOT_RUN</x:v>
      </x:c>
    </x:row>
    <x:row r="44">
      <x:c r="A44" s="29" t="str">
        <x:v>DIO-EVT-040</x:v>
      </x:c>
      <x:c r="B44" s="29" t="str">
        <x:v>LOT-2</x:v>
      </x:c>
      <x:c r="C44" s="29" t="str">
        <x:v>TRV-DIO-EVT-040</x:v>
      </x:c>
      <x:c r="D44" s="29" t="str">
        <x:v>NOT_RUN</x:v>
      </x:c>
      <x:c r="E44" s="29" t="str">
        <x:v>NOT_RUN</x:v>
      </x:c>
      <x:c r="F44" s="29" t="str">
        <x:v>NOT_RUN</x:v>
      </x:c>
      <x:c r="G44" s="29" t="str">
        <x:v>NOT_RUN</x:v>
      </x:c>
      <x:c r="H44" s="29" t="str">
        <x:v>NOT_RUN</x:v>
      </x:c>
      <x:c r="I44" s="29" t="str">
        <x:v>NOT_RUN</x:v>
      </x:c>
      <x:c r="J44" s="29" t="str">
        <x:v>NOT_RUN</x:v>
      </x:c>
      <x:c r="K44" s="29" t="str">
        <x:v>NOT_RUN</x:v>
      </x:c>
      <x:c r="L44" s="29" t="str">
        <x:v>NOT_RUN</x:v>
      </x:c>
      <x:c r="M44" s="29" t="str">
        <x:v>NOT_RUN</x:v>
      </x:c>
      <x:c r="N44" s="29" t="n">
        <x:v>0</x:v>
      </x:c>
      <x:c r="O44" s="29" t="str"/>
      <x:c r="P44" s="29" t="str"/>
      <x:c r="Q44" s="29" t="str">
        <x:f>IF(COUNTIF(D44:M44,"NOT_RUN")=10,"NOT_RUN",IF(AND(COUNTIF(D44:M44,"PASS")=10,N44=0,O44&lt;&gt;"",P44&lt;&gt;""),"PASS","HOLD"))</x:f>
        <x:v>NOT_RUN</x:v>
      </x:c>
    </x:row>
    <x:row r="45">
      <x:c r="A45" s="29" t="str">
        <x:v>DIO-EVT-B01</x:v>
      </x:c>
      <x:c r="B45" s="29" t="str">
        <x:v>BENCH</x:v>
      </x:c>
      <x:c r="C45" s="29" t="str">
        <x:v>TRV-DIO-EVT-B01</x:v>
      </x:c>
      <x:c r="D45" s="29" t="str">
        <x:v>NOT_RUN</x:v>
      </x:c>
      <x:c r="E45" s="29" t="str">
        <x:v>NOT_RUN</x:v>
      </x:c>
      <x:c r="F45" s="29" t="str">
        <x:v>NOT_RUN</x:v>
      </x:c>
      <x:c r="G45" s="29" t="str">
        <x:v>NOT_RUN</x:v>
      </x:c>
      <x:c r="H45" s="29" t="str">
        <x:v>NOT_RUN</x:v>
      </x:c>
      <x:c r="I45" s="29" t="str">
        <x:v>NOT_RUN</x:v>
      </x:c>
      <x:c r="J45" s="29" t="str">
        <x:v>NOT_RUN</x:v>
      </x:c>
      <x:c r="K45" s="29" t="str">
        <x:v>NOT_RUN</x:v>
      </x:c>
      <x:c r="L45" s="29" t="str">
        <x:v>NOT_RUN</x:v>
      </x:c>
      <x:c r="M45" s="29" t="str">
        <x:v>NOT_RUN</x:v>
      </x:c>
      <x:c r="N45" s="29" t="n">
        <x:v>0</x:v>
      </x:c>
      <x:c r="O45" s="29" t="str"/>
      <x:c r="P45" s="29" t="str"/>
      <x:c r="Q45" s="29" t="str">
        <x:f>IF(COUNTIF(D45:M45,"NOT_RUN")=10,"NOT_RUN",IF(AND(COUNTIF(D45:M45,"PASS")=10,N45=0,O45&lt;&gt;"",P45&lt;&gt;""),"PASS","HOLD"))</x:f>
        <x:v>NOT_RUN</x:v>
      </x:c>
    </x:row>
  </x:sheetData>
  <x:mergeCells>
    <x:mergeCell ref="A1:Q1"/>
    <x:mergeCell ref="A2:Q2"/>
  </x:mergeCells>
  <x:conditionalFormatting sqref="Q5:Q45">
    <x:cfRule type="containsText" dxfId="60" priority="1" operator="containsText" text="PASS"/>
    <x:cfRule type="containsText" dxfId="61" priority="2" operator="containsText" text="READY"/>
    <x:cfRule type="containsText" dxfId="62" priority="3" operator="containsText" text="HOLD"/>
    <x:cfRule type="containsText" dxfId="63" priority="4" operator="containsText" text="OPEN"/>
    <x:cfRule type="containsText" dxfId="64" priority="5" operator="containsText" text="FAIL"/>
    <x:cfRule type="containsText" dxfId="65" priority="6" operator="containsText" text="NOT_RUN"/>
  </x:conditionalFormatting>
  <x:dataValidations count="1">
    <x:dataValidation type="list" sqref="D5:M45">
      <x:formula1>"NOT_RUN,PASS,FAIL,HOLD,N/A"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ccc6183ea84598"/>
  </x:tableParts>
</x:worksheet>
</file>