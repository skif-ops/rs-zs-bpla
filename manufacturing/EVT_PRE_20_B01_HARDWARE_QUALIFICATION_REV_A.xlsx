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5733b37c5748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ный лист" sheetId="1" r:id="R15235eea62e34aaa"/>
    <x:sheet xmlns:r="http://schemas.openxmlformats.org/officeDocument/2006/relationships" name="Матрица испытаний" sheetId="2" r:id="R6316f845a02f40b4"/>
    <x:sheet xmlns:r="http://schemas.openxmlformats.org/officeDocument/2006/relationships" name="Вложения" sheetId="3" r:id="Reb807da9b08b4c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2"/>
      <x:color rgb="FF000000"/>
      <x:name val="Times New Roman"/>
    </x:font>
    <x:font>
      <x:b/>
      <x:sz val="14"/>
      <x:color rgb="FF1F1F1F"/>
      <x:name val="Times New Roman"/>
    </x:font>
    <x:font>
      <x:b/>
      <x:sz val="12"/>
      <x:color rgb="FFFFFFFF"/>
      <x:name val="Times New Roman"/>
    </x:font>
    <x:font>
      <x:b/>
      <x:sz val="12"/>
      <x:color rgb="FF000000"/>
      <x:name val="Times New Roman"/>
    </x:font>
    <x:font>
      <x:b/>
      <x:sz val="14"/>
      <x:color rgb="FF000000"/>
      <x:name val="Times New Roman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n">
        <x:color rgb="FF1F4E78"/>
      </x:bottom>
      <x:diagonal/>
    </x:border>
    <x:border>
      <x:left style="thin">
        <x:color rgb="FFB4C7E7"/>
      </x:left>
      <x:right/>
      <x:top style="thin">
        <x:color rgb="FFB4C7E7"/>
      </x:top>
      <x:bottom/>
      <x:diagonal/>
    </x:border>
    <x:border>
      <x:left/>
      <x:right style="thin">
        <x:color rgb="FFB4C7E7"/>
      </x:right>
      <x:top style="thin">
        <x:color rgb="FFB4C7E7"/>
      </x:top>
      <x:bottom/>
      <x:diagonal/>
    </x:border>
    <x:border>
      <x:left style="thin">
        <x:color rgb="FFB4C7E7"/>
      </x:left>
      <x:right/>
      <x:top/>
      <x:bottom/>
      <x:diagonal/>
    </x:border>
    <x:border>
      <x:left/>
      <x:right style="thin">
        <x:color rgb="FFB4C7E7"/>
      </x:right>
      <x:top/>
      <x:bottom/>
      <x:diagonal/>
    </x:border>
    <x:border>
      <x:left style="thin">
        <x:color rgb="FFB4C7E7"/>
      </x:left>
      <x:right/>
      <x:top/>
      <x:bottom style="thin">
        <x:color rgb="FFB4C7E7"/>
      </x:bottom>
      <x:diagonal/>
    </x:border>
    <x:border>
      <x:left/>
      <x:right style="thin">
        <x:color rgb="FFB4C7E7"/>
      </x:right>
      <x:top/>
      <x:bottom style="thin">
        <x:color rgb="FFB4C7E7"/>
      </x:bottom>
      <x:diagonal/>
    </x:border>
    <x:border>
      <x:left/>
      <x:right/>
      <x:top style="thin">
        <x:color rgb="FFB4C7E7"/>
      </x:top>
      <x:bottom/>
      <x:diagonal/>
    </x:border>
    <x:border>
      <x:left/>
      <x:right/>
      <x:top/>
      <x:bottom style="thin">
        <x:color rgb="FFB4C7E7"/>
      </x:bottom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 wrapText="1"/>
    </x:xf>
    <x:xf numFmtId="0" fontId="1" fillId="3" borderId="5" xfId="0" applyNumberFormat="1" applyFont="1" applyFill="1" applyBorder="1" applyAlignment="1">
      <x:alignment vertical="center" wrapText="1"/>
    </x:xf>
    <x:xf numFmtId="0" fontId="3" fillId="2" borderId="8" xfId="0" applyNumberFormat="1" applyFont="1" applyFill="1" applyBorder="1" applyAlignment="1">
      <x:alignment horizontal="center"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1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23e7854bca4a98" /><Relationship Type="http://schemas.openxmlformats.org/officeDocument/2006/relationships/theme" Target="/xl/theme/theme1.xml" Id="R9c340373078a483c" /><Relationship Type="http://schemas.openxmlformats.org/officeDocument/2006/relationships/sharedStrings" Target="/xl/sharedStrings.xml" Id="R3f8945ecf4e84e5d" /><Relationship Type="http://schemas.openxmlformats.org/officeDocument/2006/relationships/worksheet" Target="/xl/worksheets/sheet1.xml" Id="R15235eea62e34aaa" /><Relationship Type="http://schemas.openxmlformats.org/officeDocument/2006/relationships/worksheet" Target="/xl/worksheets/sheet2.xml" Id="R6316f845a02f40b4" /><Relationship Type="http://schemas.openxmlformats.org/officeDocument/2006/relationships/worksheet" Target="/xl/worksheets/sheet3.xml" Id="Reb807da9b08b4c19" /></Relationships>
</file>

<file path=xl/tables/table1.xml><?xml version="1.0" encoding="utf-8"?>
<x:table xmlns:x="http://schemas.openxmlformats.org/spreadsheetml/2006/main" id="1" name="B01QualificationTests" displayName="B01QualificationTests" ref="A4:N26" headerRowCount="1" totalsRowCount="0" totalsRowShown="0">
  <x:tableColumns count="14">
    <x:tableColumn id="1" name="ID"/>
    <x:tableColumn id="2" name="Группа / Group"/>
    <x:tableColumn id="3" name="Проверка / Test RU"/>
    <x:tableColumn id="4" name="Test EN"/>
    <x:tableColumn id="5" name="Обяз. / Mandatory"/>
    <x:tableColumn id="6" name="Статус / Status"/>
    <x:tableColumn id="7" name="Результат / Measurement"/>
    <x:tableColumn id="8" name="Предел / Limit"/>
    <x:tableColumn id="9" name="Evidence path"/>
    <x:tableColumn id="10" name="Evidence SHA-256"/>
    <x:tableColumn id="11" name="Оператор / Operator"/>
    <x:tableColumn id="12" name="Контролер / Reviewer"/>
    <x:tableColumn id="13" name="UTC"/>
    <x:tableColumn id="14" name="Примечание /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01EvidenceInventory" displayName="B01EvidenceInventory" ref="A4:G14" headerRowCount="1" totalsRowCount="0" totalsRowShown="0">
  <x:tableColumns count="7">
    <x:tableColumn id="1" name="ID"/>
    <x:tableColumn id="2" name="Обяз. / Required"/>
    <x:tableColumn id="3" name="Описание / Description RU"/>
    <x:tableColumn id="4" name="Description EN"/>
    <x:tableColumn id="5" name="Путь / Path"/>
    <x:tableColumn id="6" name="SHA-256"/>
    <x:tableColumn id="7" name="Статус /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17e7f68c6ba42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9af0567a6a48d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72" hidden="0" customWidth="1"/>
    <x:col min="3" max="3" width="4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8" customHeight="1">
      <x:c r="A2" s="3" t="str">
        <x:v>Квалификация DIO-EVT-B01 / DIO-EVT-B01 qualification</x:v>
      </x:c>
      <x:c r="B2" s="3"/>
      <x:c r="C2" s="3"/>
      <x:c r="D2" s="3"/>
      <x:c r="E2" s="3"/>
      <x:c r="F2" s="3"/>
      <x:c r="G2" s="3"/>
      <x:c r="H2" s="3"/>
      <x:c r="I2" s="2"/>
      <x:c r="J2" s="2"/>
      <x:c r="K2" s="2"/>
      <x:c r="L2" s="2"/>
      <x:c r="M2" s="2"/>
      <x:c r="N2" s="2"/>
    </x:row>
    <x:row r="3">
      <x:c r="A3" s="4"/>
      <x:c r="B3" s="4"/>
      <x:c r="C3" s="4"/>
      <x:c r="D3" s="4"/>
      <x:c r="E3" s="4"/>
      <x:c r="F3" s="4"/>
      <x:c r="G3" s="4"/>
      <x:c r="H3" s="4"/>
      <x:c r="I3" s="2"/>
      <x:c r="J3" s="2"/>
      <x:c r="K3" s="2"/>
      <x:c r="L3" s="2"/>
      <x:c r="M3" s="2"/>
      <x:c r="N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15" hidden="0" customHeight="1">
      <x:c r="A5" s="12" t="str">
        <x:v>Параметр / Field</x:v>
      </x:c>
      <x:c r="B5" s="13" t="str">
        <x:v>Значение / Value</x:v>
      </x:c>
      <x:c r="C5" s="2"/>
      <x:c r="D5" s="12" t="str">
        <x:v>Правило / Rule</x:v>
      </x:c>
      <x:c r="E5" s="19" t="str">
        <x:v>Описание / Description</x:v>
      </x:c>
      <x:c r="F5" s="19"/>
      <x:c r="G5" s="19"/>
      <x:c r="H5" s="13"/>
      <x:c r="I5" s="2"/>
      <x:c r="J5" s="2"/>
      <x:c r="K5" s="2"/>
      <x:c r="L5" s="2"/>
      <x:c r="M5" s="2"/>
      <x:c r="N5" s="2"/>
    </x:row>
    <x:row r="6" ht="15" hidden="0" customHeight="1">
      <x:c r="A6" s="14" t="str">
        <x:v>Протокол / Protocol</x:v>
      </x:c>
      <x:c r="B6" s="15" t="str">
        <x:v>EVT_PRE_20_B01_HARDWARE_QUALIFICATION_REV_A</x:v>
      </x:c>
      <x:c r="C6" s="2"/>
      <x:c r="D6" s="14" t="str">
        <x:v>PASS</x:v>
      </x:c>
      <x:c r="E6" s="9" t="str">
        <x:v>Все обязательные строки PASS, evidence и подписи полны.</x:v>
      </x:c>
      <x:c r="F6" s="9"/>
      <x:c r="G6" s="9"/>
      <x:c r="H6" s="15"/>
      <x:c r="I6" s="2"/>
      <x:c r="J6" s="2"/>
      <x:c r="K6" s="2"/>
      <x:c r="L6" s="2"/>
      <x:c r="M6" s="2"/>
      <x:c r="N6" s="2"/>
    </x:row>
    <x:row r="7" ht="15" hidden="0" customHeight="1">
      <x:c r="A7" s="14" t="str">
        <x:v>Изделие / Unit</x:v>
      </x:c>
      <x:c r="B7" s="15" t="str">
        <x:v>DIO-EVT-B01</x:v>
      </x:c>
      <x:c r="C7" s="2"/>
      <x:c r="D7" s="14" t="str">
        <x:v>OPEN / NOT_RUN</x:v>
      </x:c>
      <x:c r="E7" s="9" t="str">
        <x:v>Испытание или evidence не завершены. Допуск запрещен.</x:v>
      </x:c>
      <x:c r="F7" s="9"/>
      <x:c r="G7" s="9"/>
      <x:c r="H7" s="15"/>
      <x:c r="I7" s="2"/>
      <x:c r="J7" s="2"/>
      <x:c r="K7" s="2"/>
      <x:c r="L7" s="2"/>
      <x:c r="M7" s="2"/>
      <x:c r="N7" s="2"/>
    </x:row>
    <x:row r="8" ht="15" hidden="0" customHeight="1">
      <x:c r="A8" s="14" t="str">
        <x:v>Station ID</x:v>
      </x:c>
      <x:c r="B8" s="15" t="n">
        <x:v>901</x:v>
      </x:c>
      <x:c r="C8" s="2"/>
      <x:c r="D8" s="14" t="str">
        <x:v>FAIL / HOLD</x:v>
      </x:c>
      <x:c r="E8" s="9" t="str">
        <x:v>Есть отказ или отклонение. Допуск запрещен до закрытия.</x:v>
      </x:c>
      <x:c r="F8" s="9"/>
      <x:c r="G8" s="9"/>
      <x:c r="H8" s="15"/>
      <x:c r="I8" s="2"/>
      <x:c r="J8" s="2"/>
      <x:c r="K8" s="2"/>
      <x:c r="L8" s="2"/>
      <x:c r="M8" s="2"/>
      <x:c r="N8" s="2"/>
    </x:row>
    <x:row r="9" ht="28.799999237060547" hidden="0" customHeight="1">
      <x:c r="A9" s="14" t="str">
        <x:v>Tenant</x:v>
      </x:c>
      <x:c r="B9" s="15" t="str">
        <x:v>bench</x:v>
      </x:c>
      <x:c r="C9" s="2"/>
      <x:c r="D9" s="14" t="str">
        <x:v>LOCK</x:v>
      </x:c>
      <x:c r="E9" s="9" t="str">
        <x:v>Эта форма не включает блокировку. Она разрешает подготовить отдельный production release.</x:v>
      </x:c>
      <x:c r="F9" s="9"/>
      <x:c r="G9" s="9"/>
      <x:c r="H9" s="15"/>
      <x:c r="I9" s="2"/>
      <x:c r="J9" s="2"/>
      <x:c r="K9" s="2"/>
      <x:c r="L9" s="2"/>
      <x:c r="M9" s="2"/>
      <x:c r="N9" s="2"/>
    </x:row>
    <x:row r="10" ht="15" hidden="0" customHeight="1">
      <x:c r="A10" s="14" t="str">
        <x:v>Release ID</x:v>
      </x:c>
      <x:c r="B10" s="15" t="str">
        <x:v>EVT_PRE_20_RELEASE_CANDIDATE_2026101601</x:v>
      </x:c>
      <x:c r="C10" s="2"/>
      <x:c r="D10" s="14" t="str">
        <x:v>RDP Level 2</x:v>
      </x:c>
      <x:c r="E10" s="9" t="str">
        <x:v>Запрещен без отдельного решения о необратимости.</x:v>
      </x:c>
      <x:c r="F10" s="9"/>
      <x:c r="G10" s="9"/>
      <x:c r="H10" s="15"/>
      <x:c r="I10" s="2"/>
      <x:c r="J10" s="2"/>
      <x:c r="K10" s="2"/>
      <x:c r="L10" s="2"/>
      <x:c r="M10" s="2"/>
      <x:c r="N10" s="2"/>
    </x:row>
    <x:row r="11" ht="15" hidden="0" customHeight="1">
      <x:c r="A11" s="14" t="str">
        <x:v>Release code</x:v>
      </x:c>
      <x:c r="B11" s="15" t="n">
        <x:v>2026101601</x:v>
      </x:c>
      <x:c r="C11" s="2"/>
      <x:c r="D11" s="14" t="str">
        <x:v>Подписи</x:v>
      </x:c>
      <x:c r="E11" s="9" t="str">
        <x:v>Ответственный за выпуск и контролер качества должны быть разными лицами.</x:v>
      </x:c>
      <x:c r="F11" s="9"/>
      <x:c r="G11" s="9"/>
      <x:c r="H11" s="15"/>
      <x:c r="I11" s="2"/>
      <x:c r="J11" s="2"/>
      <x:c r="K11" s="2"/>
      <x:c r="L11" s="2"/>
      <x:c r="M11" s="2"/>
      <x:c r="N11" s="2"/>
    </x:row>
    <x:row r="12" ht="15" hidden="0" customHeight="1">
      <x:c r="A12" s="14" t="str">
        <x:v>STM32 SHA-256</x:v>
      </x:c>
      <x:c r="B12" s="15" t="str">
        <x:v>e23154fc99899903aed9a73f004f96848b14ee96a51113f35461041dce5223e4</x:v>
      </x:c>
      <x:c r="C12" s="2"/>
      <x:c r="D12" s="16" t="str">
        <x:v>Секреты</x:v>
      </x:c>
      <x:c r="E12" s="20" t="str">
        <x:v>Закрытые ключи, pairing secret и пароли в evidence не прикладывают.</x:v>
      </x:c>
      <x:c r="F12" s="20"/>
      <x:c r="G12" s="20"/>
      <x:c r="H12" s="17"/>
      <x:c r="I12" s="2"/>
      <x:c r="J12" s="2"/>
      <x:c r="K12" s="2"/>
      <x:c r="L12" s="2"/>
      <x:c r="M12" s="2"/>
      <x:c r="N12" s="2"/>
    </x:row>
    <x:row r="13" ht="15" hidden="0" customHeight="1">
      <x:c r="A13" s="16" t="str">
        <x:v>nRF signed SHA-256</x:v>
      </x:c>
      <x:c r="B13" s="17" t="str">
        <x:v>8f360a5fe9e0cc72b5a7bcd208a51d5e164447bbd0c83f302bb2249adde73951</x:v>
      </x:c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15" hidden="0" customHeight="1">
      <x:c r="A15" s="12" t="str">
        <x:v>Ворота / Gate</x:v>
      </x:c>
      <x:c r="B15" s="13" t="str">
        <x:v>Состояние / State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15" hidden="0" customHeight="1">
      <x:c r="A16" s="14" t="str">
        <x:v>Общий результат / Overall</x:v>
      </x:c>
      <x:c r="B16" s="15" t="str">
        <x:f>IF(AND(COUNTIFS('Матрица испытаний'!$E$5:$E$26,"YES",'Матрица испытаний'!$F$5:$F$26,"PASS")=COUNTIFS('Матрица испытаний'!$E$5:$E$26,"YES"),COUNTIFS('Вложения'!$B$5:$B$14,"YES",'Вложения'!$G$5:$G$14,"PASS")=COUNTIFS('Вложения'!$B$5:$B$14,"YES")),"PASS",IF(COUNTIFS('Матрица испытаний'!$F$5:$F$26,"FAIL")+COUNTIFS('Матрица испытаний'!$F$5:$F$26,"HOLD")+COUNTIFS('Вложения'!$G$5:$G$14,"FAIL")+COUNTIFS('Вложения'!$G$5:$G$14,"HOLD")&gt;0,"FAIL/HOLD","NOT_RUN/OPEN"))</x:f>
        <x:v>NOT_RUN/OPEN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15" hidden="0" customHeight="1">
      <x:c r="A17" s="14" t="str">
        <x:v>Утверждены численные пределы / Numeric limits approved</x:v>
      </x:c>
      <x:c r="B17" s="18" t="str">
        <x:v>NO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15" hidden="0" customHeight="1">
      <x:c r="A18" s="14" t="str">
        <x:v>Полная регрессия / Full regression</x:v>
      </x:c>
      <x:c r="B18" s="18" t="str">
        <x:v>NOT_RUN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15" hidden="0" customHeight="1">
      <x:c r="A19" s="14" t="str">
        <x:v>Ответственный за выпуск / Release approver</x:v>
      </x:c>
      <x:c r="B19" s="18" t="str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15" hidden="0" customHeight="1">
      <x:c r="A20" s="14" t="str">
        <x:v>Контролер качества / Quality approver</x:v>
      </x:c>
      <x:c r="B20" s="18" t="str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15" hidden="0" customHeight="1">
      <x:c r="A21" s="14" t="str">
        <x:v>Production release ID</x:v>
      </x:c>
      <x:c r="B21" s="18" t="str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15" hidden="0" customHeight="1">
      <x:c r="A22" s="14" t="str">
        <x:v>Production option-byte profile</x:v>
      </x:c>
      <x:c r="B22" s="18" t="str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15" hidden="0" customHeight="1">
      <x:c r="A23" s="14" t="str">
        <x:v>Допуск / Eligibility</x:v>
      </x:c>
      <x:c r="B23" s="15" t="str">
        <x:f>IF(AND(B16="PASS",B17="YES",B18="PASS",B19&lt;&gt;"",B20&lt;&gt;"",B19&lt;&gt;B20,B21&lt;&gt;"",B21&lt;&gt;B10,B22&lt;&gt;"",B22&lt;&gt;"option_bytes_bench_rev_a.json"),"ELIGIBLE_FOR_SEPARATE_PRODUCTION_PROFILE","DENIED")</x:f>
        <x:v>DENIED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15" hidden="0" customHeight="1">
      <x:c r="A24" s="16" t="str">
        <x:v>Состояние блокировки / Lock state</x:v>
      </x:c>
      <x:c r="B24" s="17" t="str">
        <x:v>DENIED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</x:sheetData>
  <x:mergeCells>
    <x:mergeCell ref="A2:H2"/>
    <x:mergeCell ref="E5:H5"/>
    <x:mergeCell ref="E6:H6"/>
    <x:mergeCell ref="E7:H7"/>
    <x:mergeCell ref="E8:H8"/>
    <x:mergeCell ref="E9:H9"/>
    <x:mergeCell ref="E10:H10"/>
    <x:mergeCell ref="E11:H11"/>
    <x:mergeCell ref="E12:H12"/>
  </x:mergeCells>
  <x:conditionalFormatting sqref="B16:B24">
    <x:cfRule type="containsText" dxfId="0" priority="1" operator="containsText" text="PASS"/>
    <x:cfRule type="containsText" dxfId="1" priority="2" operator="containsText" text="DENIED"/>
    <x:cfRule type="containsText" dxfId="2" priority="3" operator="containsText" text="NOT_RUN"/>
  </x:conditionalFormatting>
  <x:dataValidations count="2">
    <x:dataValidation type="list" sqref="B17">
      <x:formula1>"NO,YES"</x:formula1>
    </x:dataValidation>
    <x:dataValidation type="list" sqref="B18">
      <x:formula1>"NOT_RUN,OPEN,PASS,FAIL,HOLD"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5" hidden="0" customWidth="1"/>
    <x:col min="2" max="2" width="20" hidden="0" customWidth="1"/>
    <x:col min="3" max="3" width="48" hidden="0" customWidth="1"/>
    <x:col min="4" max="4" width="48" hidden="0" customWidth="1"/>
    <x:col min="5" max="5" width="13" hidden="0" customWidth="1"/>
    <x:col min="6" max="6" width="15" hidden="0" customWidth="1"/>
    <x:col min="7" max="7" width="28" hidden="0" customWidth="1"/>
    <x:col min="8" max="8" width="34" hidden="0" customWidth="1"/>
    <x:col min="9" max="9" width="30" hidden="0" customWidth="1"/>
    <x:col min="10" max="10" width="22" hidden="0" customWidth="1"/>
    <x:col min="11" max="11" width="20" hidden="0" customWidth="1"/>
    <x:col min="12" max="12" width="20" hidden="0" customWidth="1"/>
    <x:col min="13" max="13" width="22" hidden="0" customWidth="1"/>
    <x:col min="14" max="14" width="2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21" t="str">
        <x:v>Матрица испытаний / Qualification test matrix</x:v>
      </x:c>
      <x:c r="B2" s="21"/>
      <x:c r="C2" s="21"/>
      <x:c r="D2" s="21"/>
      <x:c r="E2" s="21"/>
      <x:c r="F2" s="21"/>
      <x:c r="G2" s="21"/>
      <x:c r="H2" s="21"/>
      <x:c r="I2" s="21"/>
      <x:c r="J2" s="21"/>
      <x:c r="K2" s="21"/>
      <x:c r="L2" s="21"/>
      <x:c r="M2" s="21"/>
      <x:c r="N2" s="21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8.799999237060547" hidden="0" customHeight="1">
      <x:c r="A4" s="23" t="str">
        <x:v>ID</x:v>
      </x:c>
      <x:c r="B4" s="23" t="str">
        <x:v>Группа / Group</x:v>
      </x:c>
      <x:c r="C4" s="23" t="str">
        <x:v>Проверка / Test RU</x:v>
      </x:c>
      <x:c r="D4" s="23" t="str">
        <x:v>Test EN</x:v>
      </x:c>
      <x:c r="E4" s="23" t="str">
        <x:v>Обяз. / Mandatory</x:v>
      </x:c>
      <x:c r="F4" s="23" t="str">
        <x:v>Статус / Status</x:v>
      </x:c>
      <x:c r="G4" s="23" t="str">
        <x:v>Результат / Measurement</x:v>
      </x:c>
      <x:c r="H4" s="23" t="str">
        <x:v>Предел / Limit</x:v>
      </x:c>
      <x:c r="I4" s="23" t="str">
        <x:v>Evidence path</x:v>
      </x:c>
      <x:c r="J4" s="23" t="str">
        <x:v>Evidence SHA-256</x:v>
      </x:c>
      <x:c r="K4" s="23" t="str">
        <x:v>Оператор / Operator</x:v>
      </x:c>
      <x:c r="L4" s="23" t="str">
        <x:v>Контролер / Reviewer</x:v>
      </x:c>
      <x:c r="M4" s="23" t="str">
        <x:v>UTC</x:v>
      </x:c>
      <x:c r="N4" s="23" t="str">
        <x:v>Примечание / Notes</x:v>
      </x:c>
    </x:row>
    <x:row r="5" ht="28.799999237060547" hidden="0" customHeight="1">
      <x:c r="A5" s="9" t="str">
        <x:v>HQ-ID-01</x:v>
      </x:c>
      <x:c r="B5" s="9" t="str">
        <x:v>Identity</x:v>
      </x:c>
      <x:c r="C5" s="9" t="str">
        <x:v>Сверить serial, station ID, tenant, ревизии PCB, IMEI, ICCID, release ID и хэши образов с паспортом изделия.</x:v>
      </x:c>
      <x:c r="D5" s="9" t="str">
        <x:v>Match serial, station ID, tenant, PCB revisions, IMEI, ICCID, release ID and image hashes to the unit record.</x:v>
      </x:c>
      <x:c r="E5" s="9" t="str">
        <x:v>YES</x:v>
      </x:c>
      <x:c r="F5" s="11" t="str">
        <x:v>NOT_RUN</x:v>
      </x:c>
      <x:c r="G5" s="11" t="str"/>
      <x:c r="H5" s="11" t="str">
        <x:v>Exact match; identifiers are unique</x:v>
      </x:c>
      <x:c r="I5" s="11" t="str"/>
      <x:c r="J5" s="11" t="str"/>
      <x:c r="K5" s="11" t="str"/>
      <x:c r="L5" s="11" t="str"/>
      <x:c r="M5" s="11" t="str"/>
      <x:c r="N5" s="11" t="str"/>
    </x:row>
    <x:row r="6" ht="28.799999237060547" hidden="0" customHeight="1">
      <x:c r="A6" s="9" t="str">
        <x:v>HQ-STM-01</x:v>
      </x:c>
      <x:c r="B6" s="9" t="str">
        <x:v>STM32</x:v>
      </x:c>
      <x:c r="C6" s="9" t="str">
        <x:v>Прошить STM32 через SWD, выполнить verify, read-back разрешенных областей и холодный запуск.</x:v>
      </x:c>
      <x:c r="D6" s="9" t="str">
        <x:v>Flash STM32 through SWD, verify it, read back permitted areas and perform a cold boot.</x:v>
      </x:c>
      <x:c r="E6" s="9" t="str">
        <x:v>YES</x:v>
      </x:c>
      <x:c r="F6" s="11" t="str">
        <x:v>NOT_RUN</x:v>
      </x:c>
      <x:c r="G6" s="11" t="str"/>
      <x:c r="H6" s="11" t="str">
        <x:v>All operations PASS; image SHA-256 matches the release</x:v>
      </x:c>
      <x:c r="I6" s="11" t="str"/>
      <x:c r="J6" s="11" t="str"/>
      <x:c r="K6" s="11" t="str"/>
      <x:c r="L6" s="11" t="str"/>
      <x:c r="M6" s="11" t="str"/>
      <x:c r="N6" s="11" t="str"/>
    </x:row>
    <x:row r="7" ht="28.799999237060547" hidden="0" customHeight="1">
      <x:c r="A7" s="9" t="str">
        <x:v>HQ-STM-02</x:v>
      </x:c>
      <x:c r="B7" s="9" t="str">
        <x:v>STM32 recovery</x:v>
      </x:c>
      <x:c r="C7" s="9" t="str">
        <x:v>Подтвердить восстановление через SWD, BOOT0 и system memory при стендовом профиле option bytes.</x:v>
      </x:c>
      <x:c r="D7" s="9" t="str">
        <x:v>Confirm recovery through SWD, BOOT0 and system memory with the bench option-byte profile.</x:v>
      </x:c>
      <x:c r="E7" s="9" t="str">
        <x:v>YES</x:v>
      </x:c>
      <x:c r="F7" s="11" t="str">
        <x:v>NOT_RUN</x:v>
      </x:c>
      <x:c r="G7" s="11" t="str"/>
      <x:c r="H7" s="11" t="str">
        <x:v>All three recovery paths PASS</x:v>
      </x:c>
      <x:c r="I7" s="11" t="str"/>
      <x:c r="J7" s="11" t="str"/>
      <x:c r="K7" s="11" t="str"/>
      <x:c r="L7" s="11" t="str"/>
      <x:c r="M7" s="11" t="str"/>
      <x:c r="N7" s="11" t="str"/>
    </x:row>
    <x:row r="8" ht="28.799999237060547" hidden="0" customHeight="1">
      <x:c r="A8" s="9" t="str">
        <x:v>HQ-STM-03</x:v>
      </x:c>
      <x:c r="B8" s="9" t="str">
        <x:v>STM32 A/B</x:v>
      </x:c>
      <x:c r="C8" s="9" t="str">
        <x:v>Проверить trial, подтверждение и rollback A/B с прерыванием питания на предусмотренных стадиях.</x:v>
      </x:c>
      <x:c r="D8" s="9" t="str">
        <x:v>Verify A/B trial, confirmation and rollback with power interruption at the defined stages.</x:v>
      </x:c>
      <x:c r="E8" s="9" t="str">
        <x:v>YES</x:v>
      </x:c>
      <x:c r="F8" s="11" t="str">
        <x:v>NOT_RUN</x:v>
      </x:c>
      <x:c r="G8" s="11" t="str"/>
      <x:c r="H8" s="11" t="str">
        <x:v>Every power-cut case returns to a bootable approved image</x:v>
      </x:c>
      <x:c r="I8" s="11" t="str"/>
      <x:c r="J8" s="11" t="str"/>
      <x:c r="K8" s="11" t="str"/>
      <x:c r="L8" s="11" t="str"/>
      <x:c r="M8" s="11" t="str"/>
      <x:c r="N8" s="11" t="str"/>
    </x:row>
    <x:row r="9" ht="28.799999237060547" hidden="0" customHeight="1">
      <x:c r="A9" s="9" t="str">
        <x:v>HQ-NRF-01</x:v>
      </x:c>
      <x:c r="B9" s="9" t="str">
        <x:v>nRF52840</x:v>
      </x:c>
      <x:c r="C9" s="9" t="str">
        <x:v>Проверить SWD, подписанную загрузку MCUboot, update, rollback и serial recovery nRF52840.</x:v>
      </x:c>
      <x:c r="D9" s="9" t="str">
        <x:v>Verify nRF52840 SWD, MCUboot signed boot, update, rollback and serial recovery.</x:v>
      </x:c>
      <x:c r="E9" s="9" t="str">
        <x:v>YES</x:v>
      </x:c>
      <x:c r="F9" s="11" t="str">
        <x:v>NOT_RUN</x:v>
      </x:c>
      <x:c r="G9" s="11" t="str"/>
      <x:c r="H9" s="11" t="str">
        <x:v>All operations PASS; released hashes match</x:v>
      </x:c>
      <x:c r="I9" s="11" t="str"/>
      <x:c r="J9" s="11" t="str"/>
      <x:c r="K9" s="11" t="str"/>
      <x:c r="L9" s="11" t="str"/>
      <x:c r="M9" s="11" t="str"/>
      <x:c r="N9" s="11" t="str"/>
    </x:row>
    <x:row r="10" ht="43.20000076293945" hidden="0" customHeight="1">
      <x:c r="A10" s="9" t="str">
        <x:v>HQ-IPC-01</x:v>
      </x:c>
      <x:c r="B10" s="9" t="str">
        <x:v>Interprocessor link</x:v>
      </x:c>
      <x:c r="C10" s="9" t="str">
        <x:v>Проверить обмен STM32 с nRF52840, восстановление UART IPC и отсутствие зависания после перезапуска одного МК.</x:v>
      </x:c>
      <x:c r="D10" s="9" t="str">
        <x:v>Verify STM32 to nRF52840 communication, UART IPC recovery and no deadlock after either MCU restarts.</x:v>
      </x:c>
      <x:c r="E10" s="9" t="str">
        <x:v>YES</x:v>
      </x:c>
      <x:c r="F10" s="11" t="str">
        <x:v>NOT_RUN</x:v>
      </x:c>
      <x:c r="G10" s="11" t="str"/>
      <x:c r="H10" s="11" t="str">
        <x:v>All restart and recovery cases PASS</x:v>
      </x:c>
      <x:c r="I10" s="11" t="str"/>
      <x:c r="J10" s="11" t="str"/>
      <x:c r="K10" s="11" t="str"/>
      <x:c r="L10" s="11" t="str"/>
      <x:c r="M10" s="11" t="str"/>
      <x:c r="N10" s="11" t="str"/>
    </x:row>
    <x:row r="11" ht="43.20000076293945" hidden="0" customHeight="1">
      <x:c r="A11" s="9" t="str">
        <x:v>HQ-AUD-01</x:v>
      </x:c>
      <x:c r="B11" s="9" t="str">
        <x:v>Audio</x:v>
      </x:c>
      <x:c r="C11" s="9" t="str">
        <x:v>Проверить однозначное соответствие MIC1 - MIC4, полярность, отсутствие обрывов и перепутанных каналов.</x:v>
      </x:c>
      <x:c r="D11" s="9" t="str">
        <x:v>Verify unambiguous MIC1 to MIC4 mapping, polarity, continuity and absence of swapped channels.</x:v>
      </x:c>
      <x:c r="E11" s="9" t="str">
        <x:v>YES</x:v>
      </x:c>
      <x:c r="F11" s="11" t="str">
        <x:v>NOT_RUN</x:v>
      </x:c>
      <x:c r="G11" s="11" t="str"/>
      <x:c r="H11" s="11" t="str">
        <x:v>Four distinct channels; exact released mapping</x:v>
      </x:c>
      <x:c r="I11" s="11" t="str"/>
      <x:c r="J11" s="11" t="str"/>
      <x:c r="K11" s="11" t="str"/>
      <x:c r="L11" s="11" t="str"/>
      <x:c r="M11" s="11" t="str"/>
      <x:c r="N11" s="11" t="str"/>
    </x:row>
    <x:row r="12" ht="28.799999237060547" hidden="0" customHeight="1">
      <x:c r="A12" s="9" t="str">
        <x:v>HQ-AUD-02</x:v>
      </x:c>
      <x:c r="B12" s="9" t="str">
        <x:v>Audio limits</x:v>
      </x:c>
      <x:c r="C12" s="9" t="str">
        <x:v>Измерить усиление, шум, фазу, клиппирование и подтвердить SHA-256 активной калибровки.</x:v>
      </x:c>
      <x:c r="D12" s="9" t="str">
        <x:v>Measure gain, noise, phase and clipping and confirm the active calibration SHA-256.</x:v>
      </x:c>
      <x:c r="E12" s="9" t="str">
        <x:v>YES</x:v>
      </x:c>
      <x:c r="F12" s="11" t="str">
        <x:v>NOT_RUN</x:v>
      </x:c>
      <x:c r="G12" s="11" t="str"/>
      <x:c r="H12" s="11" t="str">
        <x:v>Use numeric limits approved after fixture MSA and golden-unit characterization</x:v>
      </x:c>
      <x:c r="I12" s="11" t="str"/>
      <x:c r="J12" s="11" t="str"/>
      <x:c r="K12" s="11" t="str"/>
      <x:c r="L12" s="11" t="str"/>
      <x:c r="M12" s="11" t="str"/>
      <x:c r="N12" s="11" t="str"/>
    </x:row>
    <x:row r="13" ht="43.20000076293945" hidden="0" customHeight="1">
      <x:c r="A13" s="9" t="str">
        <x:v>HQ-STO-01</x:v>
      </x:c>
      <x:c r="B13" s="9" t="str">
        <x:v>Storage</x:v>
      </x:c>
      <x:c r="C13" s="9" t="str">
        <x:v>Проверить QSPI и microSD: чтение, запись, SHA-256, свободное место и восстановление после прерванной записи.</x:v>
      </x:c>
      <x:c r="D13" s="9" t="str">
        <x:v>Verify QSPI and microSD read, write, SHA-256, free-space reporting and interrupted-write recovery.</x:v>
      </x:c>
      <x:c r="E13" s="9" t="str">
        <x:v>YES</x:v>
      </x:c>
      <x:c r="F13" s="11" t="str">
        <x:v>NOT_RUN</x:v>
      </x:c>
      <x:c r="G13" s="11" t="str"/>
      <x:c r="H13" s="11" t="str">
        <x:v>All operations PASS; no unhandled error or corrupt committed record</x:v>
      </x:c>
      <x:c r="I13" s="11" t="str"/>
      <x:c r="J13" s="11" t="str"/>
      <x:c r="K13" s="11" t="str"/>
      <x:c r="L13" s="11" t="str"/>
      <x:c r="M13" s="11" t="str"/>
      <x:c r="N13" s="11" t="str"/>
    </x:row>
    <x:row r="14" ht="43.20000076293945" hidden="0" customHeight="1">
      <x:c r="A14" s="9" t="str">
        <x:v>HQ-CELL-01</x:v>
      </x:c>
      <x:c r="B14" s="9" t="str">
        <x:v>Cellular and server</x:v>
      </x:c>
      <x:c r="C14" s="9" t="str">
        <x:v>Проверить BG95 mutual TLS, DNS, сетевое время, MQTT, heartbeat, событие, application receipt и reconnect с dioneya.ru.</x:v>
      </x:c>
      <x:c r="D14" s="9" t="str">
        <x:v>Verify BG95 mutual TLS, DNS, network time, MQTT, heartbeat, event, application receipt and reconnect with dioneya.ru.</x:v>
      </x:c>
      <x:c r="E14" s="9" t="str">
        <x:v>YES</x:v>
      </x:c>
      <x:c r="F14" s="11" t="str">
        <x:v>NOT_RUN</x:v>
      </x:c>
      <x:c r="G14" s="11" t="str"/>
      <x:c r="H14" s="11" t="str">
        <x:v>CA and hostname verification enabled; all end-to-end checks PASS</x:v>
      </x:c>
      <x:c r="I14" s="11" t="str"/>
      <x:c r="J14" s="11" t="str"/>
      <x:c r="K14" s="11" t="str"/>
      <x:c r="L14" s="11" t="str"/>
      <x:c r="M14" s="11" t="str"/>
      <x:c r="N14" s="11" t="str"/>
    </x:row>
    <x:row r="15" ht="43.20000076293945" hidden="0" customHeight="1">
      <x:c r="A15" s="9" t="str">
        <x:v>HQ-CELL-02</x:v>
      </x:c>
      <x:c r="B15" s="9" t="str">
        <x:v>Dual SIM</x:v>
      </x:c>
      <x:c r="C15" s="9" t="str">
        <x:v>Сверить IMEI, полные ICCID и слоты, проверить выбранную SIM, разрешенный APN и переключение на вторую SIM.</x:v>
      </x:c>
      <x:c r="D15" s="9" t="str">
        <x:v>Match IMEI, full ICCIDs and slots, then verify selected SIM, approved APN and failover to the second SIM.</x:v>
      </x:c>
      <x:c r="E15" s="9" t="str">
        <x:v>YES</x:v>
      </x:c>
      <x:c r="F15" s="11" t="str">
        <x:v>NOT_RUN</x:v>
      </x:c>
      <x:c r="G15" s="11" t="str"/>
      <x:c r="H15" s="11" t="str">
        <x:v>Exact slot mapping; approved APN only; failover PASS</x:v>
      </x:c>
      <x:c r="I15" s="11" t="str"/>
      <x:c r="J15" s="11" t="str"/>
      <x:c r="K15" s="11" t="str"/>
      <x:c r="L15" s="11" t="str"/>
      <x:c r="M15" s="11" t="str"/>
      <x:c r="N15" s="11" t="str"/>
    </x:row>
    <x:row r="16" ht="28.799999237060547" hidden="0" customHeight="1">
      <x:c r="A16" s="9" t="str">
        <x:v>HQ-GNSS-01</x:v>
      </x:c>
      <x:c r="B16" s="9" t="str">
        <x:v>GNSS and timing</x:v>
      </x:c>
      <x:c r="C16" s="9" t="str">
        <x:v>Проверить GNSS fix, PPS, точность времени и удержание по утвержденным пределам.</x:v>
      </x:c>
      <x:c r="D16" s="9" t="str">
        <x:v>Verify GNSS fix, PPS, time accuracy and holdover against approved limits.</x:v>
      </x:c>
      <x:c r="E16" s="9" t="str">
        <x:v>YES</x:v>
      </x:c>
      <x:c r="F16" s="11" t="str">
        <x:v>NOT_RUN</x:v>
      </x:c>
      <x:c r="G16" s="11" t="str"/>
      <x:c r="H16" s="11" t="str">
        <x:v>Numeric limit pending target characterization</x:v>
      </x:c>
      <x:c r="I16" s="11" t="str"/>
      <x:c r="J16" s="11" t="str"/>
      <x:c r="K16" s="11" t="str"/>
      <x:c r="L16" s="11" t="str"/>
      <x:c r="M16" s="11" t="str"/>
      <x:c r="N16" s="11" t="str"/>
    </x:row>
    <x:row r="17" ht="43.20000076293945" hidden="0" customHeight="1">
      <x:c r="A17" s="9" t="str">
        <x:v>HQ-LORA-01</x:v>
      </x:c>
      <x:c r="B17" s="9" t="str">
        <x:v>LoRa</x:v>
      </x:c>
      <x:c r="C17" s="9" t="str">
        <x:v>В разрешенной RF-оснастке проверить регион, мощность, чувствительность, framing, аутентификацию, счетчик, deduplication и retry.</x:v>
      </x:c>
      <x:c r="D17" s="9" t="str">
        <x:v>In the approved RF fixture verify region, power, sensitivity, framing, authentication, counter, deduplication and retry.</x:v>
      </x:c>
      <x:c r="E17" s="9" t="str">
        <x:v>YES</x:v>
      </x:c>
      <x:c r="F17" s="11" t="str">
        <x:v>NOT_RUN</x:v>
      </x:c>
      <x:c r="G17" s="11" t="str"/>
      <x:c r="H17" s="11" t="str">
        <x:v>Approved numeric RF limits and software protocol checks PASS</x:v>
      </x:c>
      <x:c r="I17" s="11" t="str"/>
      <x:c r="J17" s="11" t="str"/>
      <x:c r="K17" s="11" t="str"/>
      <x:c r="L17" s="11" t="str"/>
      <x:c r="M17" s="11" t="str"/>
      <x:c r="N17" s="11" t="str"/>
    </x:row>
    <x:row r="18" ht="28.799999237060547" hidden="0" customHeight="1">
      <x:c r="A18" s="9" t="str">
        <x:v>HQ-PWR-01</x:v>
      </x:c>
      <x:c r="B18" s="9" t="str">
        <x:v>Power</x:v>
      </x:c>
      <x:c r="C18" s="9" t="str">
        <x:v>Измерить напряжения, токи состояний S0 - S4, запуск, защиту, заряд и MPPT по утвержденным пределам.</x:v>
      </x:c>
      <x:c r="D18" s="9" t="str">
        <x:v>Measure rails, S0 to S4 currents, startup, protection, charging and MPPT against approved limits.</x:v>
      </x:c>
      <x:c r="E18" s="9" t="str">
        <x:v>YES</x:v>
      </x:c>
      <x:c r="F18" s="11" t="str">
        <x:v>NOT_RUN</x:v>
      </x:c>
      <x:c r="G18" s="11" t="str"/>
      <x:c r="H18" s="11" t="str">
        <x:v>Numeric limit pending target characterization</x:v>
      </x:c>
      <x:c r="I18" s="11" t="str"/>
      <x:c r="J18" s="11" t="str"/>
      <x:c r="K18" s="11" t="str"/>
      <x:c r="L18" s="11" t="str"/>
      <x:c r="M18" s="11" t="str"/>
      <x:c r="N18" s="11" t="str"/>
    </x:row>
    <x:row r="19" ht="43.20000076293945" hidden="0" customHeight="1">
      <x:c r="A19" s="9" t="str">
        <x:v>HQ-ENV-01</x:v>
      </x:c>
      <x:c r="B19" s="9" t="str">
        <x:v>Environment</x:v>
      </x:c>
      <x:c r="C19" s="9" t="str">
        <x:v>Выполнить температурные и силовые циклы, проверку утечек и герметичности корпуса по утвержденным пределам.</x:v>
      </x:c>
      <x:c r="D19" s="9" t="str">
        <x:v>Run temperature and power cycles and enclosure leak and sealing tests against approved limits.</x:v>
      </x:c>
      <x:c r="E19" s="9" t="str">
        <x:v>YES</x:v>
      </x:c>
      <x:c r="F19" s="11" t="str">
        <x:v>NOT_RUN</x:v>
      </x:c>
      <x:c r="G19" s="11" t="str"/>
      <x:c r="H19" s="11" t="str">
        <x:v>Numeric limit pending target characterization</x:v>
      </x:c>
      <x:c r="I19" s="11" t="str"/>
      <x:c r="J19" s="11" t="str"/>
      <x:c r="K19" s="11" t="str"/>
      <x:c r="L19" s="11" t="str"/>
      <x:c r="M19" s="11" t="str"/>
      <x:c r="N19" s="11" t="str"/>
    </x:row>
    <x:row r="20" ht="43.20000076293945" hidden="0" customHeight="1">
      <x:c r="A20" s="9" t="str">
        <x:v>HQ-BLE-01</x:v>
      </x:c>
      <x:c r="B20" s="9" t="str">
        <x:v>Commissioning app</x:v>
      </x:c>
      <x:c r="C20" s="9" t="str">
        <x:v>Установить release APK, проверить QR, физическое окно сервиса, BLE LESC, авторизацию, read-back конфигурации и подписанный OTA.</x:v>
      </x:c>
      <x:c r="D20" s="9" t="str">
        <x:v>Install the release APK and verify QR, physical service window, BLE LESC, authorization, configuration read-back and signed OTA.</x:v>
      </x:c>
      <x:c r="E20" s="9" t="str">
        <x:v>YES</x:v>
      </x:c>
      <x:c r="F20" s="11" t="str">
        <x:v>NOT_RUN</x:v>
      </x:c>
      <x:c r="G20" s="11" t="str"/>
      <x:c r="H20" s="11" t="str">
        <x:v>All positive and unauthorized-access cases PASS</x:v>
      </x:c>
      <x:c r="I20" s="11" t="str"/>
      <x:c r="J20" s="11" t="str"/>
      <x:c r="K20" s="11" t="str"/>
      <x:c r="L20" s="11" t="str"/>
      <x:c r="M20" s="11" t="str"/>
      <x:c r="N20" s="11" t="str"/>
    </x:row>
    <x:row r="21" ht="43.20000076293945" hidden="0" customHeight="1">
      <x:c r="A21" s="9" t="str">
        <x:v>HQ-PKI-01</x:v>
      </x:c>
      <x:c r="B21" s="9" t="str">
        <x:v>Provisioning and PKI</x:v>
      </x:c>
      <x:c r="C21" s="9" t="str">
        <x:v>Проверить уникальные ключи и сертификат станции, цепочку, ACL, CRL, pairing, station secrets и commissioning receipt.</x:v>
      </x:c>
      <x:c r="D21" s="9" t="str">
        <x:v>Verify unique station keys and certificate, chain, ACL, CRL, pairing, station secrets and commissioning receipt.</x:v>
      </x:c>
      <x:c r="E21" s="9" t="str">
        <x:v>YES</x:v>
      </x:c>
      <x:c r="F21" s="11" t="str">
        <x:v>NOT_RUN</x:v>
      </x:c>
      <x:c r="G21" s="11" t="str"/>
      <x:c r="H21" s="11" t="str">
        <x:v>Identity is unique; private keys remain outside evidence; all checks PASS</x:v>
      </x:c>
      <x:c r="I21" s="11" t="str"/>
      <x:c r="J21" s="11" t="str"/>
      <x:c r="K21" s="11" t="str"/>
      <x:c r="L21" s="11" t="str"/>
      <x:c r="M21" s="11" t="str"/>
      <x:c r="N21" s="11" t="str"/>
    </x:row>
    <x:row r="22" ht="28.799999237060547" hidden="0" customHeight="1">
      <x:c r="A22" s="9" t="str">
        <x:v>HQ-EOL-01</x:v>
      </x:c>
      <x:c r="B22" s="9" t="str">
        <x:v>EOL</x:v>
      </x:c>
      <x:c r="C22" s="9" t="str">
        <x:v>Выполнить полный EOL стендового образца и проверить запись результата в реестре.</x:v>
      </x:c>
      <x:c r="D22" s="9" t="str">
        <x:v>Execute the complete bench-unit EOL and verify the result-register entry.</x:v>
      </x:c>
      <x:c r="E22" s="9" t="str">
        <x:v>YES</x:v>
      </x:c>
      <x:c r="F22" s="11" t="str">
        <x:v>NOT_RUN</x:v>
      </x:c>
      <x:c r="G22" s="11" t="str"/>
      <x:c r="H22" s="11" t="str">
        <x:v>Overall PASS; no mandatory OPEN, NOT_RUN, FAIL or HOLD item</x:v>
      </x:c>
      <x:c r="I22" s="11" t="str"/>
      <x:c r="J22" s="11" t="str"/>
      <x:c r="K22" s="11" t="str"/>
      <x:c r="L22" s="11" t="str"/>
      <x:c r="M22" s="11" t="str"/>
      <x:c r="N22" s="11" t="str"/>
    </x:row>
    <x:row r="23" ht="28.799999237060547" hidden="0" customHeight="1">
      <x:c r="A23" s="9" t="str">
        <x:v>HQ-REC-01</x:v>
      </x:c>
      <x:c r="B23" s="9" t="str">
        <x:v>Evidence</x:v>
      </x:c>
      <x:c r="C23" s="9" t="str">
        <x:v>Проверить полноту протокола, разрешение всех путей evidence и совпадение SHA-256 каждого вложения.</x:v>
      </x:c>
      <x:c r="D23" s="9" t="str">
        <x:v>Verify protocol completeness, resolve every evidence path and match every attachment SHA-256.</x:v>
      </x:c>
      <x:c r="E23" s="9" t="str">
        <x:v>YES</x:v>
      </x:c>
      <x:c r="F23" s="11" t="str">
        <x:v>NOT_RUN</x:v>
      </x:c>
      <x:c r="G23" s="11" t="str"/>
      <x:c r="H23" s="11" t="str">
        <x:v>Every mandatory field, path and hash is complete and valid</x:v>
      </x:c>
      <x:c r="I23" s="11" t="str"/>
      <x:c r="J23" s="11" t="str"/>
      <x:c r="K23" s="11" t="str"/>
      <x:c r="L23" s="11" t="str"/>
      <x:c r="M23" s="11" t="str"/>
      <x:c r="N23" s="11" t="str"/>
    </x:row>
    <x:row r="24" ht="28.799999237060547" hidden="0" customHeight="1">
      <x:c r="A24" s="9" t="str">
        <x:v>HQ-REG-01</x:v>
      </x:c>
      <x:c r="B24" s="9" t="str">
        <x:v>Regression</x:v>
      </x:c>
      <x:c r="C24" s="9" t="str">
        <x:v>Повторить полную регрессию прошивки, приложения, provisioning и связки со стендовым контуром Мухоеда.</x:v>
      </x:c>
      <x:c r="D24" s="9" t="str">
        <x:v>Repeat the full firmware, app, provisioning and Muhoed bench-environment regression.</x:v>
      </x:c>
      <x:c r="E24" s="9" t="str">
        <x:v>YES</x:v>
      </x:c>
      <x:c r="F24" s="11" t="str">
        <x:v>NOT_RUN</x:v>
      </x:c>
      <x:c r="G24" s="11" t="str"/>
      <x:c r="H24" s="11" t="str">
        <x:v>Full regression PASS with no open mandatory defect</x:v>
      </x:c>
      <x:c r="I24" s="11" t="str"/>
      <x:c r="J24" s="11" t="str"/>
      <x:c r="K24" s="11" t="str"/>
      <x:c r="L24" s="11" t="str"/>
      <x:c r="M24" s="11" t="str"/>
      <x:c r="N24" s="11" t="str"/>
    </x:row>
    <x:row r="25" ht="28.799999237060547" hidden="0" customHeight="1">
      <x:c r="A25" s="9" t="str">
        <x:v>HQ-LIM-01</x:v>
      </x:c>
      <x:c r="B25" s="9" t="str">
        <x:v>Limits approval</x:v>
      </x:c>
      <x:c r="C25" s="9" t="str">
        <x:v>Утвердить численные пределы EOL по результатам MSA оснастки и измерений golden unit и B01.</x:v>
      </x:c>
      <x:c r="D25" s="9" t="str">
        <x:v>Approve numeric EOL limits from fixture MSA and golden-unit and B01 measurements.</x:v>
      </x:c>
      <x:c r="E25" s="9" t="str">
        <x:v>YES</x:v>
      </x:c>
      <x:c r="F25" s="11" t="str">
        <x:v>NOT_RUN</x:v>
      </x:c>
      <x:c r="G25" s="11" t="str"/>
      <x:c r="H25" s="11" t="str">
        <x:v>Approved controlled limits record is attached</x:v>
      </x:c>
      <x:c r="I25" s="11" t="str"/>
      <x:c r="J25" s="11" t="str"/>
      <x:c r="K25" s="11" t="str"/>
      <x:c r="L25" s="11" t="str"/>
      <x:c r="M25" s="11" t="str"/>
      <x:c r="N25" s="11" t="str"/>
    </x:row>
    <x:row r="26" ht="43.20000076293945" hidden="0" customHeight="1">
      <x:c r="A26" s="9" t="str">
        <x:v>HQ-SIGN-01</x:v>
      </x:c>
      <x:c r="B26" s="9" t="str">
        <x:v>Release approval</x:v>
      </x:c>
      <x:c r="C26" s="9" t="str">
        <x:v>Оформить независимые подписи ответственного за выпуск и контролера качества после проверки всех записей.</x:v>
      </x:c>
      <x:c r="D26" s="9" t="str">
        <x:v>Record independent release-owner and quality-controller approvals after reviewing all records.</x:v>
      </x:c>
      <x:c r="E26" s="9" t="str">
        <x:v>YES</x:v>
      </x:c>
      <x:c r="F26" s="11" t="str">
        <x:v>NOT_RUN</x:v>
      </x:c>
      <x:c r="G26" s="11" t="str"/>
      <x:c r="H26" s="11" t="str">
        <x:v>Two distinct named approvers; date and decision recorded</x:v>
      </x:c>
      <x:c r="I26" s="11" t="str"/>
      <x:c r="J26" s="11" t="str"/>
      <x:c r="K26" s="11" t="str"/>
      <x:c r="L26" s="11" t="str"/>
      <x:c r="M26" s="11" t="str"/>
      <x:c r="N26" s="11" t="str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</x:sheetData>
  <x:mergeCells>
    <x:mergeCell ref="A2:N2"/>
  </x:mergeCells>
  <x:conditionalFormatting sqref="F5:F26">
    <x:cfRule type="containsText" dxfId="3" priority="1" operator="containsText" text="PASS"/>
    <x:cfRule type="containsText" dxfId="4" priority="2" operator="containsText" text="FAIL"/>
    <x:cfRule type="containsText" dxfId="5" priority="3" operator="containsText" text="HOLD"/>
    <x:cfRule type="containsText" dxfId="6" priority="4" operator="containsText" text="NOT_RUN"/>
  </x:conditionalFormatting>
  <x:dataValidations count="1">
    <x:dataValidation type="list" sqref="F5:F26">
      <x:formula1>"NOT_RUN,OPEN,PASS,FAIL,HOLD,N/A"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7e7f68c6ba429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45" hidden="0" customWidth="1"/>
    <x:col min="4" max="4" width="45" hidden="0" customWidth="1"/>
    <x:col min="5" max="5" width="36" hidden="0" customWidth="1"/>
    <x:col min="6" max="6" width="24" hidden="0" customWidth="1"/>
    <x:col min="7" max="7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>
      <x:c r="A2" s="21" t="str">
        <x:v>Реестр доказательств / Evidence inventory</x:v>
      </x:c>
      <x:c r="B2" s="21"/>
      <x:c r="C2" s="21"/>
      <x:c r="D2" s="21"/>
      <x:c r="E2" s="21"/>
      <x:c r="F2" s="21"/>
      <x:c r="G2" s="21"/>
      <x:c r="H2" s="2"/>
      <x:c r="I2" s="2"/>
      <x:c r="J2" s="2"/>
      <x:c r="K2" s="2"/>
      <x:c r="L2" s="2"/>
      <x:c r="M2" s="2"/>
      <x:c r="N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15" hidden="0" customHeight="1">
      <x:c r="A4" s="23" t="str">
        <x:v>ID</x:v>
      </x:c>
      <x:c r="B4" s="23" t="str">
        <x:v>Обяз. / Required</x:v>
      </x:c>
      <x:c r="C4" s="23" t="str">
        <x:v>Описание / Description RU</x:v>
      </x:c>
      <x:c r="D4" s="23" t="str">
        <x:v>Description EN</x:v>
      </x:c>
      <x:c r="E4" s="23" t="str">
        <x:v>Путь / Path</x:v>
      </x:c>
      <x:c r="F4" s="23" t="str">
        <x:v>SHA-256</x:v>
      </x:c>
      <x:c r="G4" s="23" t="str">
        <x:v>Статус / Status</x:v>
      </x:c>
      <x:c r="H4" s="2"/>
      <x:c r="I4" s="2"/>
      <x:c r="J4" s="2"/>
      <x:c r="K4" s="2"/>
      <x:c r="L4" s="2"/>
      <x:c r="M4" s="2"/>
      <x:c r="N4" s="2"/>
    </x:row>
    <x:row r="5" ht="15" hidden="0" customHeight="1">
      <x:c r="A5" s="9" t="str">
        <x:v>EV-01</x:v>
      </x:c>
      <x:c r="B5" s="9" t="str">
        <x:v>YES</x:v>
      </x:c>
      <x:c r="C5" s="9" t="str">
        <x:v>Паспорт DIO-EVT-B01 и фото маркировки</x:v>
      </x:c>
      <x:c r="D5" s="9" t="str">
        <x:v>DIO-EVT-B01 traveller and marking photographs</x:v>
      </x:c>
      <x:c r="E5" s="11" t="str"/>
      <x:c r="F5" s="11" t="str"/>
      <x:c r="G5" s="11" t="str">
        <x:v>NOT_RUN</x:v>
      </x:c>
      <x:c r="H5" s="2"/>
      <x:c r="I5" s="2"/>
      <x:c r="J5" s="2"/>
      <x:c r="K5" s="2"/>
      <x:c r="L5" s="2"/>
      <x:c r="M5" s="2"/>
      <x:c r="N5" s="2"/>
    </x:row>
    <x:row r="6" ht="28.799999237060547" hidden="0" customHeight="1">
      <x:c r="A6" s="9" t="str">
        <x:v>EV-02</x:v>
      </x:c>
      <x:c r="B6" s="9" t="str">
        <x:v>YES</x:v>
      </x:c>
      <x:c r="C6" s="9" t="str">
        <x:v>Логи STM32 SWD, option bytes, read-back, BOOT0 и A/B</x:v>
      </x:c>
      <x:c r="D6" s="9" t="str">
        <x:v>STM32 SWD, option bytes, read-back, BOOT0 and A/B logs</x:v>
      </x:c>
      <x:c r="E6" s="11" t="str"/>
      <x:c r="F6" s="11" t="str"/>
      <x:c r="G6" s="11" t="str">
        <x:v>NOT_RUN</x:v>
      </x:c>
      <x:c r="H6" s="2"/>
      <x:c r="I6" s="2"/>
      <x:c r="J6" s="2"/>
      <x:c r="K6" s="2"/>
      <x:c r="L6" s="2"/>
      <x:c r="M6" s="2"/>
      <x:c r="N6" s="2"/>
    </x:row>
    <x:row r="7" ht="28.799999237060547" hidden="0" customHeight="1">
      <x:c r="A7" s="9" t="str">
        <x:v>EV-03</x:v>
      </x:c>
      <x:c r="B7" s="9" t="str">
        <x:v>YES</x:v>
      </x:c>
      <x:c r="C7" s="9" t="str">
        <x:v>Логи nRF52840 SWD, MCUboot, rollback и recovery</x:v>
      </x:c>
      <x:c r="D7" s="9" t="str">
        <x:v>nRF52840 SWD, MCUboot, rollback and recovery logs</x:v>
      </x:c>
      <x:c r="E7" s="11" t="str"/>
      <x:c r="F7" s="11" t="str"/>
      <x:c r="G7" s="11" t="str">
        <x:v>NOT_RUN</x:v>
      </x:c>
      <x:c r="H7" s="2"/>
      <x:c r="I7" s="2"/>
      <x:c r="J7" s="2"/>
      <x:c r="K7" s="2"/>
      <x:c r="L7" s="2"/>
      <x:c r="M7" s="2"/>
      <x:c r="N7" s="2"/>
    </x:row>
    <x:row r="8" ht="15" hidden="0" customHeight="1">
      <x:c r="A8" s="9" t="str">
        <x:v>EV-04</x:v>
      </x:c>
      <x:c r="B8" s="9" t="str">
        <x:v>YES</x:v>
      </x:c>
      <x:c r="C8" s="9" t="str">
        <x:v>Аудиоизмерения, калибровка и MSA оснастки</x:v>
      </x:c>
      <x:c r="D8" s="9" t="str">
        <x:v>Audio measurements, calibration and fixture MSA</x:v>
      </x:c>
      <x:c r="E8" s="11" t="str"/>
      <x:c r="F8" s="11" t="str"/>
      <x:c r="G8" s="11" t="str">
        <x:v>NOT_RUN</x:v>
      </x:c>
      <x:c r="H8" s="2"/>
      <x:c r="I8" s="2"/>
      <x:c r="J8" s="2"/>
      <x:c r="K8" s="2"/>
      <x:c r="L8" s="2"/>
      <x:c r="M8" s="2"/>
      <x:c r="N8" s="2"/>
    </x:row>
    <x:row r="9" ht="15" hidden="0" customHeight="1">
      <x:c r="A9" s="9" t="str">
        <x:v>EV-05</x:v>
      </x:c>
      <x:c r="B9" s="9" t="str">
        <x:v>YES</x:v>
      </x:c>
      <x:c r="C9" s="9" t="str">
        <x:v>Логи памяти и испытаний прерванной записи</x:v>
      </x:c>
      <x:c r="D9" s="9" t="str">
        <x:v>Storage and interrupted-write test logs</x:v>
      </x:c>
      <x:c r="E9" s="11" t="str"/>
      <x:c r="F9" s="11" t="str"/>
      <x:c r="G9" s="11" t="str">
        <x:v>NOT_RUN</x:v>
      </x:c>
      <x:c r="H9" s="2"/>
      <x:c r="I9" s="2"/>
      <x:c r="J9" s="2"/>
      <x:c r="K9" s="2"/>
      <x:c r="L9" s="2"/>
      <x:c r="M9" s="2"/>
      <x:c r="N9" s="2"/>
    </x:row>
    <x:row r="10" ht="28.799999237060547" hidden="0" customHeight="1">
      <x:c r="A10" s="9" t="str">
        <x:v>EV-06</x:v>
      </x:c>
      <x:c r="B10" s="9" t="str">
        <x:v>YES</x:v>
      </x:c>
      <x:c r="C10" s="9" t="str">
        <x:v>BG95, TLS, MQTT, две SIM и server receipt</x:v>
      </x:c>
      <x:c r="D10" s="9" t="str">
        <x:v>BG95, TLS, MQTT, dual-SIM and server receipt evidence</x:v>
      </x:c>
      <x:c r="E10" s="11" t="str"/>
      <x:c r="F10" s="11" t="str"/>
      <x:c r="G10" s="11" t="str">
        <x:v>NOT_RUN</x:v>
      </x:c>
      <x:c r="H10" s="2"/>
      <x:c r="I10" s="2"/>
      <x:c r="J10" s="2"/>
      <x:c r="K10" s="2"/>
      <x:c r="L10" s="2"/>
      <x:c r="M10" s="2"/>
      <x:c r="N10" s="2"/>
    </x:row>
    <x:row r="11" ht="15" hidden="0" customHeight="1">
      <x:c r="A11" s="9" t="str">
        <x:v>EV-07</x:v>
      </x:c>
      <x:c r="B11" s="9" t="str">
        <x:v>YES</x:v>
      </x:c>
      <x:c r="C11" s="9" t="str">
        <x:v>GNSS/PPS и LoRa RF отчеты</x:v>
      </x:c>
      <x:c r="D11" s="9" t="str">
        <x:v>GNSS/PPS and LoRa RF reports</x:v>
      </x:c>
      <x:c r="E11" s="11" t="str"/>
      <x:c r="F11" s="11" t="str"/>
      <x:c r="G11" s="11" t="str">
        <x:v>NOT_RUN</x:v>
      </x:c>
      <x:c r="H11" s="2"/>
      <x:c r="I11" s="2"/>
      <x:c r="J11" s="2"/>
      <x:c r="K11" s="2"/>
      <x:c r="L11" s="2"/>
      <x:c r="M11" s="2"/>
      <x:c r="N11" s="2"/>
    </x:row>
    <x:row r="12" ht="15" hidden="0" customHeight="1">
      <x:c r="A12" s="9" t="str">
        <x:v>EV-08</x:v>
      </x:c>
      <x:c r="B12" s="9" t="str">
        <x:v>YES</x:v>
      </x:c>
      <x:c r="C12" s="9" t="str">
        <x:v>Питание, температура, циклы и герметичность</x:v>
      </x:c>
      <x:c r="D12" s="9" t="str">
        <x:v>Power, temperature, cycling and sealing evidence</x:v>
      </x:c>
      <x:c r="E12" s="11" t="str"/>
      <x:c r="F12" s="11" t="str"/>
      <x:c r="G12" s="11" t="str">
        <x:v>NOT_RUN</x:v>
      </x:c>
      <x:c r="H12" s="2"/>
      <x:c r="I12" s="2"/>
      <x:c r="J12" s="2"/>
      <x:c r="K12" s="2"/>
      <x:c r="L12" s="2"/>
      <x:c r="M12" s="2"/>
      <x:c r="N12" s="2"/>
    </x:row>
    <x:row r="13" ht="28.799999237060547" hidden="0" customHeight="1">
      <x:c r="A13" s="9" t="str">
        <x:v>EV-09</x:v>
      </x:c>
      <x:c r="B13" s="9" t="str">
        <x:v>YES</x:v>
      </x:c>
      <x:c r="C13" s="9" t="str">
        <x:v>APK, BLE, provisioning, PKI и commissioning receipt</x:v>
      </x:c>
      <x:c r="D13" s="9" t="str">
        <x:v>APK, BLE, provisioning, PKI and commissioning receipt evidence</x:v>
      </x:c>
      <x:c r="E13" s="11" t="str"/>
      <x:c r="F13" s="11" t="str"/>
      <x:c r="G13" s="11" t="str">
        <x:v>NOT_RUN</x:v>
      </x:c>
      <x:c r="H13" s="2"/>
      <x:c r="I13" s="2"/>
      <x:c r="J13" s="2"/>
      <x:c r="K13" s="2"/>
      <x:c r="L13" s="2"/>
      <x:c r="M13" s="2"/>
      <x:c r="N13" s="2"/>
    </x:row>
    <x:row r="14" ht="28.799999237060547" hidden="0" customHeight="1">
      <x:c r="A14" s="9" t="str">
        <x:v>EV-10</x:v>
      </x:c>
      <x:c r="B14" s="9" t="str">
        <x:v>YES</x:v>
      </x:c>
      <x:c r="C14" s="9" t="str">
        <x:v>Полный EOL, регрессия, пределы и подписанное решение</x:v>
      </x:c>
      <x:c r="D14" s="9" t="str">
        <x:v>Complete EOL, regression, limits and signed decision</x:v>
      </x:c>
      <x:c r="E14" s="11" t="str"/>
      <x:c r="F14" s="11" t="str"/>
      <x:c r="G14" s="11" t="str">
        <x:v>NOT_RUN</x:v>
      </x:c>
      <x:c r="H14" s="2"/>
      <x:c r="I14" s="2"/>
      <x:c r="J14" s="2"/>
      <x:c r="K14" s="2"/>
      <x:c r="L14" s="2"/>
      <x:c r="M14" s="2"/>
      <x:c r="N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</x:row>
    <x:row r="11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</x:row>
    <x:row r="120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</x:row>
  </x:sheetData>
  <x:mergeCells>
    <x:mergeCell ref="A2:G2"/>
  </x:mergeCells>
  <x:conditionalFormatting sqref="G5:G14">
    <x:cfRule type="containsText" dxfId="7" priority="1" operator="containsText" text="PASS"/>
    <x:cfRule type="containsText" dxfId="8" priority="2" operator="containsText" text="FAIL"/>
    <x:cfRule type="containsText" dxfId="9" priority="3" operator="containsText" text="HOLD"/>
    <x:cfRule type="containsText" dxfId="10" priority="4" operator="containsText" text="NOT_RUN"/>
  </x:conditionalFormatting>
  <x:dataValidations count="1">
    <x:dataValidation type="list" sqref="G5:G14">
      <x:formula1>"NOT_RUN,OPEN,PASS,FAIL,HOLD,N/A"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9af0567a6a48dc"/>
  </x:tableParts>
</x:worksheet>
</file>