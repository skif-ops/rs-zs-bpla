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ontacts" sheetId="2" state="visible" r:id="rId4"/>
    <sheet name="Measurements" sheetId="3" state="visible" r:id="rId5"/>
    <sheet name="MSA" sheetId="4" state="visible" r:id="rId6"/>
    <sheet name="Evidence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<sst xmlns="http://schemas.openxmlformats.org/spreadsheetml/2006/main" count="883" uniqueCount="518">
  <si>
    <t xml:space="preserve">DIO-EVT-B01 и EOL оснастка MFG-004 / Measurement register</t>
  </si>
  <si>
    <t xml:space="preserve">Параметр / Field</t>
  </si>
  <si>
    <t xml:space="preserve">Значение / Value</t>
  </si>
  <si>
    <t xml:space="preserve">Правило / Rule</t>
  </si>
  <si>
    <t xml:space="preserve">Описание / Description</t>
  </si>
  <si>
    <t xml:space="preserve">Программа / Program</t>
  </si>
  <si>
    <t xml:space="preserve">MFG_004_DIO_EVT_B01_EOL_PROGRAM_REV_A</t>
  </si>
  <si>
    <t xml:space="preserve">NOT_RUN</t>
  </si>
  <si>
    <t xml:space="preserve">Строка не выполнялась.</t>
  </si>
  <si>
    <t xml:space="preserve">Статус исходного файла / Initial status</t>
  </si>
  <si>
    <t xml:space="preserve">READY_FOR_FIXTURE_BUILD_AND_B01_EXECUTION_RESULTS_NOT_RUN</t>
  </si>
  <si>
    <t xml:space="preserve">MEASURED</t>
  </si>
  <si>
    <t xml:space="preserve">Значение получено, приемочный предел еще не утвержден.</t>
  </si>
  <si>
    <t xml:space="preserve">Оснастка / Fixture</t>
  </si>
  <si>
    <t xml:space="preserve">MFG-004</t>
  </si>
  <si>
    <t xml:space="preserve">PASS</t>
  </si>
  <si>
    <t xml:space="preserve">Предел утвержден, результат соответствует, evidence и подписи полны.</t>
  </si>
  <si>
    <t xml:space="preserve">Контактов pogo / Pogo contacts</t>
  </si>
  <si>
    <t xml:space="preserve">FAIL</t>
  </si>
  <si>
    <t xml:space="preserve">Результат вне утвержденного предела или функция отказала.</t>
  </si>
  <si>
    <t xml:space="preserve">Изделие / Unit</t>
  </si>
  <si>
    <t xml:space="preserve">DIO-EVT-B01</t>
  </si>
  <si>
    <t xml:space="preserve">HOLD</t>
  </si>
  <si>
    <t xml:space="preserve">Нет предела, калибровки, evidence или однозначного решения.</t>
  </si>
  <si>
    <t xml:space="preserve">Station ID</t>
  </si>
  <si>
    <t xml:space="preserve">Open limit</t>
  </si>
  <si>
    <t xml:space="preserve">OPEN_B01_FREEZE и PARTIAL не допускают общий PASS.</t>
  </si>
  <si>
    <t xml:space="preserve">Tenant</t>
  </si>
  <si>
    <t xml:space="preserve">bench</t>
  </si>
  <si>
    <t xml:space="preserve">Reviewer</t>
  </si>
  <si>
    <t xml:space="preserve">Оператор и контролер должны быть разными лицами.</t>
  </si>
  <si>
    <t xml:space="preserve">Release ID</t>
  </si>
  <si>
    <t xml:space="preserve">EVT_PRE_20_BENCH_RELEASE_2026100601</t>
  </si>
  <si>
    <t xml:space="preserve">Secrets</t>
  </si>
  <si>
    <t xml:space="preserve">Закрытые ключи, pairing secret, IMSI и пароли не прикладывают.</t>
  </si>
  <si>
    <t xml:space="preserve">Lock</t>
  </si>
  <si>
    <t xml:space="preserve">Общий PASS не включает блокировку прошивки автоматически.</t>
  </si>
  <si>
    <t xml:space="preserve">Ворота / Gate</t>
  </si>
  <si>
    <t xml:space="preserve">Состояние / State</t>
  </si>
  <si>
    <t xml:space="preserve">Строки программы / Program rows</t>
  </si>
  <si>
    <t xml:space="preserve">PASS строк / PASS rows</t>
  </si>
  <si>
    <t xml:space="preserve">FAIL строк / FAIL rows</t>
  </si>
  <si>
    <t xml:space="preserve">HOLD строк / HOLD rows</t>
  </si>
  <si>
    <t xml:space="preserve">OPEN limits</t>
  </si>
  <si>
    <t xml:space="preserve">Готовых строк / Ready rows</t>
  </si>
  <si>
    <t xml:space="preserve">MSA PASS</t>
  </si>
  <si>
    <t xml:space="preserve">Полная регрессия / Full regression</t>
  </si>
  <si>
    <t xml:space="preserve">Ответственный за выпуск / Release approver</t>
  </si>
  <si>
    <t xml:space="preserve">Контролер качества / Quality reviewer</t>
  </si>
  <si>
    <t xml:space="preserve">Общий результат / Overall</t>
  </si>
  <si>
    <t xml:space="preserve">Контакты EOL оснастки / EOL fixture contacts</t>
  </si>
  <si>
    <t xml:space="preserve">Group</t>
  </si>
  <si>
    <t xml:space="preserve">Contact</t>
  </si>
  <si>
    <t xml:space="preserve">X board</t>
  </si>
  <si>
    <t xml:space="preserve">Y board</t>
  </si>
  <si>
    <t xml:space="preserve">X fixture</t>
  </si>
  <si>
    <t xml:space="preserve">Y fixture</t>
  </si>
  <si>
    <t xml:space="preserve">Pad</t>
  </si>
  <si>
    <t xml:space="preserve">Pitch</t>
  </si>
  <si>
    <t xml:space="preserve">Pin name</t>
  </si>
  <si>
    <t xml:space="preserve">DUT direction</t>
  </si>
  <si>
    <t xml:space="preserve">Net</t>
  </si>
  <si>
    <t xml:space="preserve">Required network</t>
  </si>
  <si>
    <t xml:space="preserve">Safety class</t>
  </si>
  <si>
    <t xml:space="preserve">Status</t>
  </si>
  <si>
    <t xml:space="preserve">TP_BLE_SWD</t>
  </si>
  <si>
    <t xml:space="preserve">CIRCLE_D1.7</t>
  </si>
  <si>
    <t xml:space="preserve">VTREF</t>
  </si>
  <si>
    <t xml:space="preserve">POWER_SENSE</t>
  </si>
  <si>
    <t xml:space="preserve">3V3_DIGITAL</t>
  </si>
  <si>
    <t xml:space="preserve">High-impedance debugger voltage-reference sense from the U11 rail; never source station power through this contact</t>
  </si>
  <si>
    <t xml:space="preserve">SENSE_ONLY_NEVER_SOURCE</t>
  </si>
  <si>
    <t xml:space="preserve">SWDIO</t>
  </si>
  <si>
    <t xml:space="preserve">DEBUG_BIDIR</t>
  </si>
  <si>
    <t xml:space="preserve">NRF_SWDIO</t>
  </si>
  <si>
    <t xml:space="preserve">Direct short route to U11 pad 51; no shared contact or net with STM32 SWDIO</t>
  </si>
  <si>
    <t xml:space="preserve">HIGH_IMPEDANCE_UNTIL_DOMAIN_VALID</t>
  </si>
  <si>
    <t xml:space="preserve">SWDCLK</t>
  </si>
  <si>
    <t xml:space="preserve">DEBUG_INPUT</t>
  </si>
  <si>
    <t xml:space="preserve">NRF_SWCLK</t>
  </si>
  <si>
    <t xml:space="preserve">Direct short route to U11 pad 53; no shared contact or net with STM32 SWCLK</t>
  </si>
  <si>
    <t xml:space="preserve">DRIVE_AFTER_VTREF_VALID</t>
  </si>
  <si>
    <t xml:space="preserve">GND</t>
  </si>
  <si>
    <t xml:space="preserve">POWER</t>
  </si>
  <si>
    <t xml:space="preserve">Direct short ground reference adjacent to SWDIO and SWDCLK fixture contacts</t>
  </si>
  <si>
    <t xml:space="preserve">GROUND_FIRST</t>
  </si>
  <si>
    <t xml:space="preserve">TP_CELL_DBG</t>
  </si>
  <si>
    <t xml:space="preserve">VREF_1V8</t>
  </si>
  <si>
    <t xml:space="preserve">SENSE</t>
  </si>
  <si>
    <t xml:space="preserve">U8_VDD_EXT_1V8</t>
  </si>
  <si>
    <t xml:space="preserve">High-impedance sense only from U8 pad 29; fixture must never source VDD_EXT</t>
  </si>
  <si>
    <t xml:space="preserve">DUT_TX</t>
  </si>
  <si>
    <t xml:space="preserve">OUTPUT</t>
  </si>
  <si>
    <t xml:space="preserve">CELL_DBG_TXD_1V8</t>
  </si>
  <si>
    <t xml:space="preserve">Direct from U8 pad 23 to 1.8 V tolerant fixture input; exact protection remains MAIN-AUTH-010</t>
  </si>
  <si>
    <t xml:space="preserve">DUT_RX</t>
  </si>
  <si>
    <t xml:space="preserve">INPUT</t>
  </si>
  <si>
    <t xml:space="preserve">CELL_DBG_RXD_1V8</t>
  </si>
  <si>
    <t xml:space="preserve">1.8 V fixture output to U8 pad 22; fixture high impedance until VREF_1V8 is valid</t>
  </si>
  <si>
    <t xml:space="preserve">USB_BOOT</t>
  </si>
  <si>
    <t xml:space="preserve">CELL_USB_BOOT_1V8</t>
  </si>
  <si>
    <t xml:space="preserve">Normally held LOW by board network; fixture may apply a current-limited 1.8 V HIGH only for the documented USB recovery power-on sequence and is high impedance otherwise</t>
  </si>
  <si>
    <t xml:space="preserve">CURRENT_LIMITED_1V8_RECOVERY_ONLY</t>
  </si>
  <si>
    <t xml:space="preserve">GND_MODEM</t>
  </si>
  <si>
    <t xml:space="preserve">Dedicated modem ground reference</t>
  </si>
  <si>
    <t xml:space="preserve">TP_CELL_USB</t>
  </si>
  <si>
    <t xml:space="preserve">HOST_VBUS</t>
  </si>
  <si>
    <t xml:space="preserve">POWER_IN</t>
  </si>
  <si>
    <t xml:space="preserve">CELL_USB_VBUS</t>
  </si>
  <si>
    <t xml:space="preserve">Fixture-controlled USB VBUS to U8 pad 8 only; never join J11 USB_VBUS_CONN or any station rail; exact protection remains MAIN-AUTH-010</t>
  </si>
  <si>
    <t xml:space="preserve">ONLY_CONTROLLED_CURRENT_LIMITED_SOURCE</t>
  </si>
  <si>
    <t xml:space="preserve">USB_DP</t>
  </si>
  <si>
    <t xml:space="preserve">BIDIR</t>
  </si>
  <si>
    <t xml:space="preserve">CELL_USB_DP</t>
  </si>
  <si>
    <t xml:space="preserve">90 Ohm differential fixture pair to U8 pad 9; never join J11 USB_DP</t>
  </si>
  <si>
    <t xml:space="preserve">USB_DM</t>
  </si>
  <si>
    <t xml:space="preserve">CELL_USB_DM</t>
  </si>
  <si>
    <t xml:space="preserve">90 Ohm differential fixture pair to U8 pad 10; never join J11 USB_DM</t>
  </si>
  <si>
    <t xml:space="preserve">TP_EOL</t>
  </si>
  <si>
    <t xml:space="preserve">Common digital fixture return</t>
  </si>
  <si>
    <t xml:space="preserve">VTREF_3V3</t>
  </si>
  <si>
    <t xml:space="preserve">High-impedance voltage sense only; fixture must never source this rail</t>
  </si>
  <si>
    <t xml:space="preserve">VSENSE_3V8</t>
  </si>
  <si>
    <t xml:space="preserve">3V8_MODEM</t>
  </si>
  <si>
    <t xml:space="preserve">VSENSE_1V8</t>
  </si>
  <si>
    <t xml:space="preserve">1V8_MIC</t>
  </si>
  <si>
    <t xml:space="preserve">TEST_UART_TX</t>
  </si>
  <si>
    <t xml:space="preserve">Direct from U1 PC1 pin 16 LPUART1_TX to fixture input; exact series protection remains MAIN-AUTH-010</t>
  </si>
  <si>
    <t xml:space="preserve">TEST_UART_RX</t>
  </si>
  <si>
    <t xml:space="preserve">Fixture output to U1 PC0 pin 15 LPUART1_RX; fixture is high impedance until VTREF is valid</t>
  </si>
  <si>
    <t xml:space="preserve">PWR_GOOD</t>
  </si>
  <si>
    <t xml:space="preserve">High-impedance observation only; do not drive the inter-board state line</t>
  </si>
  <si>
    <t xml:space="preserve">FAULT</t>
  </si>
  <si>
    <t xml:space="preserve">High-impedance observation only; do not drive the inter-board fault line</t>
  </si>
  <si>
    <t xml:space="preserve">BOOT0</t>
  </si>
  <si>
    <t xml:space="preserve">Controlled recovery drive to U1 PH3-BOOT0 pin 94 only while reset is asserted; high impedance for normal boot</t>
  </si>
  <si>
    <t xml:space="preserve">DRIVE_ONLY_WHILE_NRST_ASSERTED</t>
  </si>
  <si>
    <t xml:space="preserve">REV0</t>
  </si>
  <si>
    <t xml:space="preserve">REV_STRAP0</t>
  </si>
  <si>
    <t xml:space="preserve">High-impedance read of U1 PB8 pin 95 hardware-revision strap</t>
  </si>
  <si>
    <t xml:space="preserve">REV1</t>
  </si>
  <si>
    <t xml:space="preserve">REV_STRAP1</t>
  </si>
  <si>
    <t xml:space="preserve">High-impedance read of U1 PB9 pin 96 hardware-revision strap</t>
  </si>
  <si>
    <t xml:space="preserve">I2C_SCL</t>
  </si>
  <si>
    <t xml:space="preserve">BIDIR_OD</t>
  </si>
  <si>
    <t xml:space="preserve">I2C2_SCL</t>
  </si>
  <si>
    <t xml:space="preserve">Guarded open-drain service access to U1 PB13 pin 52 and INA226 bus; fixture adds no pull-up unless separately enabled</t>
  </si>
  <si>
    <t xml:space="preserve">OPEN_DRAIN_NO_EXTRA_PULLUP</t>
  </si>
  <si>
    <t xml:space="preserve">I2C_SDA</t>
  </si>
  <si>
    <t xml:space="preserve">I2C2_SDA</t>
  </si>
  <si>
    <t xml:space="preserve">Guarded open-drain service access to U1 PB14 pin 53 and INA226 bus; fixture adds no pull-up unless separately enabled</t>
  </si>
  <si>
    <t xml:space="preserve">TP_MCU_SWD</t>
  </si>
  <si>
    <t xml:space="preserve">Fixture senses DUT target voltage and must never source station power</t>
  </si>
  <si>
    <t xml:space="preserve">Direct controlled recovery contact to U1 PA13 pin 72; exact protection remains MAIN-AUTH-010</t>
  </si>
  <si>
    <t xml:space="preserve">SWCLK</t>
  </si>
  <si>
    <t xml:space="preserve">Direct controlled recovery contact to U1 PA14 pin 76; exact protection remains MAIN-AUTH-010</t>
  </si>
  <si>
    <t xml:space="preserve">NRST</t>
  </si>
  <si>
    <t xml:space="preserve">Direct controlled recovery contact to U1 package pin 14; normal reset network remains MAIN-AUTH-010</t>
  </si>
  <si>
    <t xml:space="preserve">Ground contact mates before active fixture signals</t>
  </si>
  <si>
    <t xml:space="preserve">Реестр измерений DIO-EVT-B01 / DIO-EVT-B01 measurement register</t>
  </si>
  <si>
    <t xml:space="preserve">Order</t>
  </si>
  <si>
    <t xml:space="preserve">Test ID</t>
  </si>
  <si>
    <t xml:space="preserve">Phase</t>
  </si>
  <si>
    <t xml:space="preserve">Fixture group</t>
  </si>
  <si>
    <t xml:space="preserve">Contacts</t>
  </si>
  <si>
    <t xml:space="preserve">Action RU</t>
  </si>
  <si>
    <t xml:space="preserve">Action EN</t>
  </si>
  <si>
    <t xml:space="preserve">Metric</t>
  </si>
  <si>
    <t xml:space="preserve">Unit</t>
  </si>
  <si>
    <t xml:space="preserve">Engineering target</t>
  </si>
  <si>
    <t xml:space="preserve">Limit state</t>
  </si>
  <si>
    <t xml:space="preserve">Approved lower</t>
  </si>
  <si>
    <t xml:space="preserve">Approved upper</t>
  </si>
  <si>
    <t xml:space="preserve">Approved discrete</t>
  </si>
  <si>
    <t xml:space="preserve">Actual numeric</t>
  </si>
  <si>
    <t xml:space="preserve">Actual text</t>
  </si>
  <si>
    <t xml:space="preserve">Instrument ID</t>
  </si>
  <si>
    <t xml:space="preserve">Calibration due</t>
  </si>
  <si>
    <t xml:space="preserve">Evidence path</t>
  </si>
  <si>
    <t xml:space="preserve">Evidence SHA-256</t>
  </si>
  <si>
    <t xml:space="preserve">Operator</t>
  </si>
  <si>
    <t xml:space="preserve">UTC</t>
  </si>
  <si>
    <t xml:space="preserve">NCR/deviation</t>
  </si>
  <si>
    <t xml:space="preserve">Notes</t>
  </si>
  <si>
    <t xml:space="preserve">Row gate</t>
  </si>
  <si>
    <t xml:space="preserve">FIX-ID-01</t>
  </si>
  <si>
    <t xml:space="preserve">Оснастка</t>
  </si>
  <si>
    <t xml:space="preserve">Сверить ID MFG-004, ревизию, серийный номер, схему каналов и дату калибровки.</t>
  </si>
  <si>
    <t xml:space="preserve">Verify MFG-004 ID, revision, serial number, channel map and calibration date.</t>
  </si>
  <si>
    <t xml:space="preserve">identity_match</t>
  </si>
  <si>
    <t xml:space="preserve">APPROVED_DOCUMENTARY</t>
  </si>
  <si>
    <t xml:space="preserve">MATCH</t>
  </si>
  <si>
    <t xml:space="preserve">FIX-CONT-01</t>
  </si>
  <si>
    <t xml:space="preserve">Без DUT измерить сопротивление каждого pogo до соответствующего контакта интерфейсного разъема.</t>
  </si>
  <si>
    <t xml:space="preserve">Without a DUT, measure resistance from every pogo pin to its interface connector contact.</t>
  </si>
  <si>
    <t xml:space="preserve">fixture_path_resistance</t>
  </si>
  <si>
    <t xml:space="preserve">ohm</t>
  </si>
  <si>
    <t xml:space="preserve">&lt;= 1 ohm including fixture leads</t>
  </si>
  <si>
    <t xml:space="preserve">FIX-ISO-01</t>
  </si>
  <si>
    <t xml:space="preserve">Без DUT проверить отсутствие замыкания каждого сигнального канала на соседние каналы и землю.</t>
  </si>
  <si>
    <t xml:space="preserve">Without a DUT, verify isolation from every signal channel to adjacent channels and ground.</t>
  </si>
  <si>
    <t xml:space="preserve">fixture_isolation</t>
  </si>
  <si>
    <t xml:space="preserve">&gt;= 10 Mohm for fixture wiring only</t>
  </si>
  <si>
    <t xml:space="preserve">FIX-MECH-01</t>
  </si>
  <si>
    <t xml:space="preserve">Проверить базирование по H1-H4, ориентационный ключ, совпадение 31 pogo с площадками и ход контактов.</t>
  </si>
  <si>
    <t xml:space="preserve">Verify H1-H4 datum, orientation key, alignment of all 31 pogo pins and contact travel.</t>
  </si>
  <si>
    <t xml:space="preserve">alignment</t>
  </si>
  <si>
    <t xml:space="preserve">ALL_CONTACTS_ALIGNED</t>
  </si>
  <si>
    <t xml:space="preserve">FIX-SAFE-01</t>
  </si>
  <si>
    <t xml:space="preserve">Проверить, что все выходы оснастки высокоомны до valid VTREF, а аварийное отключение снимает питание DUT и CELL_USB_VBUS.</t>
  </si>
  <si>
    <t xml:space="preserve">Verify all fixture outputs remain high impedance until valid VTREF and the emergency stop removes DUT and CELL_USB_VBUS power.</t>
  </si>
  <si>
    <t xml:space="preserve">safe_state</t>
  </si>
  <si>
    <t xml:space="preserve">PRE-ID-01</t>
  </si>
  <si>
    <t xml:space="preserve">DUT до питания</t>
  </si>
  <si>
    <t xml:space="preserve">Сверить DIO-EVT-B01, station ID 901, tenant bench, PCB serials, ревизии и release manifest.</t>
  </si>
  <si>
    <t xml:space="preserve">Verify DIO-EVT-B01, station ID 901, bench tenant, PCB serials, revisions and release manifest.</t>
  </si>
  <si>
    <t xml:space="preserve">configuration_match</t>
  </si>
  <si>
    <t xml:space="preserve">PRE-R-3V3</t>
  </si>
  <si>
    <t xml:space="preserve">2-1</t>
  </si>
  <si>
    <t xml:space="preserve">Измерить сопротивление TP_EOL.2 относительно TP_EOL.1 на обесточенной плате.</t>
  </si>
  <si>
    <t xml:space="preserve">Measure resistance from TP_EOL.2 to TP_EOL.1 on the unpowered board.</t>
  </si>
  <si>
    <t xml:space="preserve">3V3_to_GND_resistance</t>
  </si>
  <si>
    <t xml:space="preserve">Characterize and approve from B01 plus golden unit</t>
  </si>
  <si>
    <t xml:space="preserve">OPEN_B01_FREEZE</t>
  </si>
  <si>
    <t xml:space="preserve">PRE-R-3V8</t>
  </si>
  <si>
    <t xml:space="preserve">3-1</t>
  </si>
  <si>
    <t xml:space="preserve">Измерить сопротивление TP_EOL.3 относительно TP_EOL.1 на обесточенной плате.</t>
  </si>
  <si>
    <t xml:space="preserve">Measure resistance from TP_EOL.3 to TP_EOL.1 on the unpowered board.</t>
  </si>
  <si>
    <t xml:space="preserve">3V8_to_GND_resistance</t>
  </si>
  <si>
    <t xml:space="preserve">PRE-R-1V8</t>
  </si>
  <si>
    <t xml:space="preserve">4-1</t>
  </si>
  <si>
    <t xml:space="preserve">Измерить сопротивление TP_EOL.4 относительно TP_EOL.1 на обесточенной плате.</t>
  </si>
  <si>
    <t xml:space="preserve">Measure resistance from TP_EOL.4 to TP_EOL.1 on the unpowered board.</t>
  </si>
  <si>
    <t xml:space="preserve">1V8_to_GND_resistance</t>
  </si>
  <si>
    <t xml:space="preserve">PWR-IN-01</t>
  </si>
  <si>
    <t xml:space="preserve">Первое питание</t>
  </si>
  <si>
    <t xml:space="preserve">Подать питание через штатный J_PWR_IN от лабораторного источника с утвержденным ограничением тока. Зафиксировать пусковой и установившийся ток.</t>
  </si>
  <si>
    <t xml:space="preserve">Power through the normal J_PWR_IN input using a current-limited bench supply. Record inrush and steady current.</t>
  </si>
  <si>
    <t xml:space="preserve">input_current</t>
  </si>
  <si>
    <t xml:space="preserve">A</t>
  </si>
  <si>
    <t xml:space="preserve">10.0 to 14.6 V provisional input envelope; current limit from approved power traveller</t>
  </si>
  <si>
    <t xml:space="preserve">PWR-3V3-01</t>
  </si>
  <si>
    <t xml:space="preserve">Измерить 3V3_DIGITAL на TP_EOL.2 относительно TP_EOL.1 во время старта и после стабилизации.</t>
  </si>
  <si>
    <t xml:space="preserve">Measure 3V3_DIGITAL at TP_EOL.2 relative to TP_EOL.1 during startup and steady state.</t>
  </si>
  <si>
    <t xml:space="preserve">V</t>
  </si>
  <si>
    <t xml:space="preserve">3.3 V nominal</t>
  </si>
  <si>
    <t xml:space="preserve">PWR-3V8-01</t>
  </si>
  <si>
    <t xml:space="preserve">Измерить 3V8_MODEM на TP_EOL.3 относительно TP_EOL.1 в состояниях modem off, startup и traffic burst.</t>
  </si>
  <si>
    <t xml:space="preserve">Measure 3V8_MODEM at TP_EOL.3 relative to TP_EOL.1 with modem off, during startup and during a traffic burst.</t>
  </si>
  <si>
    <t xml:space="preserve">3.8 V nominal; every U8 VBAT pad must remain &gt;= 3.3 V in EVT-PWR-01</t>
  </si>
  <si>
    <t xml:space="preserve">PARTIAL_APPROVED_MIN_ONLY</t>
  </si>
  <si>
    <t xml:space="preserve">PWR-1V8-01</t>
  </si>
  <si>
    <t xml:space="preserve">Измерить 1V8_MIC на TP_EOL.4 относительно TP_EOL.1 в AAD idle, PDM start и active capture.</t>
  </si>
  <si>
    <t xml:space="preserve">Measure 1V8_MIC at TP_EOL.4 relative to TP_EOL.1 in AAD idle, PDM startup and active capture.</t>
  </si>
  <si>
    <t xml:space="preserve">1.8 V nominal</t>
  </si>
  <si>
    <t xml:space="preserve">PWR-GOOD-01</t>
  </si>
  <si>
    <t xml:space="preserve">7-1</t>
  </si>
  <si>
    <t xml:space="preserve">Наблюдать TP_EOL.7 относительно TP_EOL.1. Не подавать сигнал извне.</t>
  </si>
  <si>
    <t xml:space="preserve">Observe TP_EOL.7 relative to TP_EOL.1. Do not drive this contact.</t>
  </si>
  <si>
    <t xml:space="preserve">PWR_GOOD_sequence</t>
  </si>
  <si>
    <t xml:space="preserve">V and ms</t>
  </si>
  <si>
    <t xml:space="preserve">inactive until rails are valid, then stable active state per PCB-PWR contract</t>
  </si>
  <si>
    <t xml:space="preserve">PWR-FAULT-01</t>
  </si>
  <si>
    <t xml:space="preserve">8-1</t>
  </si>
  <si>
    <t xml:space="preserve">Наблюдать TP_EOL.8 относительно TP_EOL.1 при нормальном запуске и разрешенной имитации отказа.</t>
  </si>
  <si>
    <t xml:space="preserve">Observe TP_EOL.8 relative to TP_EOL.1 during normal startup and an approved fault injection.</t>
  </si>
  <si>
    <t xml:space="preserve">FAULT_sequence</t>
  </si>
  <si>
    <t xml:space="preserve">inactive in normal operation and active for the approved known fault</t>
  </si>
  <si>
    <t xml:space="preserve">REV-STRAP-01</t>
  </si>
  <si>
    <t xml:space="preserve">Идентификация платы</t>
  </si>
  <si>
    <t xml:space="preserve">10-1 and 11-1</t>
  </si>
  <si>
    <t xml:space="preserve">Считать TP_EOL.10 и TP_EOL.11 относительно TP_EOL.1 и сопоставить REV0/REV1 с traveller.</t>
  </si>
  <si>
    <t xml:space="preserve">Read TP_EOL.10 and TP_EOL.11 relative to TP_EOL.1 and match REV0/REV1 to the traveller.</t>
  </si>
  <si>
    <t xml:space="preserve">revision_strap</t>
  </si>
  <si>
    <t xml:space="preserve">logic</t>
  </si>
  <si>
    <t xml:space="preserve">Exact strap code from released PCB revision</t>
  </si>
  <si>
    <t xml:space="preserve">MATCH_TRAVELLER</t>
  </si>
  <si>
    <t xml:space="preserve">UART-IDLE-01</t>
  </si>
  <si>
    <t xml:space="preserve">TEST UART</t>
  </si>
  <si>
    <t xml:space="preserve">5-1</t>
  </si>
  <si>
    <t xml:space="preserve">Измерить idle уровень выхода DUT_TX на TP_EOL.5 относительно TP_EOL.1 до подключения приемника оснастки.</t>
  </si>
  <si>
    <t xml:space="preserve">Measure DUT_TX idle level at TP_EOL.5 relative to TP_EOL.1 before connecting the fixture receiver.</t>
  </si>
  <si>
    <t xml:space="preserve">uart_idle_level</t>
  </si>
  <si>
    <t xml:space="preserve">3.3 V logic domain</t>
  </si>
  <si>
    <t xml:space="preserve">UART-LINK-01</t>
  </si>
  <si>
    <t xml:space="preserve">5,6,1</t>
  </si>
  <si>
    <t xml:space="preserve">После valid VTREF подключить прием оснастки к TP_EOL.5 и 3.3 V tolerant выход оснастки к TP_EOL.6. Выполнить help, identity и self-test.</t>
  </si>
  <si>
    <t xml:space="preserve">After valid VTREF, connect the fixture receiver to TP_EOL.5 and a 3.3 V tolerant fixture output to TP_EOL.6. Run help, identity and self-test.</t>
  </si>
  <si>
    <t xml:space="preserve">uart_exchange</t>
  </si>
  <si>
    <t xml:space="preserve">result</t>
  </si>
  <si>
    <t xml:space="preserve">No framing error; exact identity; required self-tests return PASS</t>
  </si>
  <si>
    <t xml:space="preserve">I2C-INA-01</t>
  </si>
  <si>
    <t xml:space="preserve">I2C2</t>
  </si>
  <si>
    <t xml:space="preserve">12,13,1</t>
  </si>
  <si>
    <t xml:space="preserve">Через TP_EOL.12 и TP_EOL.13 выполнить guarded open-drain scan и чтение INA226 по адресу 0x40.</t>
  </si>
  <si>
    <t xml:space="preserve">Use TP_EOL.12 and TP_EOL.13 for a guarded open-drain scan and INA226 readback at address 0x40.</t>
  </si>
  <si>
    <t xml:space="preserve">ina226_readback</t>
  </si>
  <si>
    <t xml:space="preserve">INA226 0x40 responds and readings agree with reference instrument within the approved calibration limit</t>
  </si>
  <si>
    <t xml:space="preserve">BOOT0-SAFE-01</t>
  </si>
  <si>
    <t xml:space="preserve">STM32 recovery</t>
  </si>
  <si>
    <t xml:space="preserve">TP_EOL and TP_MCU_SWD</t>
  </si>
  <si>
    <t xml:space="preserve">9 and 4</t>
  </si>
  <si>
    <t xml:space="preserve">Подтвердить high-Z TP_EOL.9 при свободном NRST. Для recovery сначала прижать NRST на TP_MCU_SWD.4, затем задать BOOT0 через TP_EOL.9, отпустить NRST и после старта вернуть BOOT0 в high-Z.</t>
  </si>
  <si>
    <t xml:space="preserve">Confirm TP_EOL.9 is high impedance while NRST is released. For recovery assert NRST at TP_MCU_SWD.4, drive BOOT0 through TP_EOL.9, release NRST and return BOOT0 to high impedance after startup.</t>
  </si>
  <si>
    <t xml:space="preserve">boot0_recovery</t>
  </si>
  <si>
    <t xml:space="preserve">System memory enumerates and normal boot recovers after BOOT0 release</t>
  </si>
  <si>
    <t xml:space="preserve">STM-VTREF-01</t>
  </si>
  <si>
    <t xml:space="preserve">STM32 SWD</t>
  </si>
  <si>
    <t xml:space="preserve">1-5</t>
  </si>
  <si>
    <t xml:space="preserve">Измерить TP_MCU_SWD.1 относительно TP_MCU_SWD.5. ST-LINK не должен питать DUT.</t>
  </si>
  <si>
    <t xml:space="preserve">Measure TP_MCU_SWD.1 relative to TP_MCU_SWD.5. ST-LINK must not power the DUT.</t>
  </si>
  <si>
    <t xml:space="preserve">stm32_vtref</t>
  </si>
  <si>
    <t xml:space="preserve">STM-SWD-01</t>
  </si>
  <si>
    <t xml:space="preserve">Подключить 5 GND, 1 VTREF, 4 NRST, 2 SWDIO, 3 SWCLK. Считать device ID и option bytes, затем program, verify и cold boot.</t>
  </si>
  <si>
    <t xml:space="preserve">Connect 5 GND, 1 VTREF, 4 NRST, 2 SWDIO and 3 SWCLK. Read device ID and option bytes, then program, verify and cold boot.</t>
  </si>
  <si>
    <t xml:space="preserve">stm32_program_verify</t>
  </si>
  <si>
    <t xml:space="preserve">STM32U585VIT6Q, exact bench option-byte profile, exact image SHA-256 and verify PASS</t>
  </si>
  <si>
    <t xml:space="preserve">NRF-VTREF-01</t>
  </si>
  <si>
    <t xml:space="preserve">nRF52840 SWD</t>
  </si>
  <si>
    <t xml:space="preserve">1-4</t>
  </si>
  <si>
    <t xml:space="preserve">Измерить TP_BLE_SWD.1 относительно TP_BLE_SWD.4. Отладчик не должен питать DUT.</t>
  </si>
  <si>
    <t xml:space="preserve">Measure TP_BLE_SWD.1 relative to TP_BLE_SWD.4. The debugger must not power the DUT.</t>
  </si>
  <si>
    <t xml:space="preserve">nrf_vtref</t>
  </si>
  <si>
    <t xml:space="preserve">NRF-SWD-01</t>
  </si>
  <si>
    <t xml:space="preserve">Подключить 4 GND, 1 VTREF, 2 NRF_SWDIO, 3 NRF_SWCLK. Выполнить erase, program merged.hex, verify, reset и MCUboot signed image check.</t>
  </si>
  <si>
    <t xml:space="preserve">Connect 4 GND, 1 VTREF, 2 NRF_SWDIO and 3 NRF_SWCLK. Erase, program merged.hex, verify, reset and check the MCUboot signed image.</t>
  </si>
  <si>
    <t xml:space="preserve">nrf_program_verify</t>
  </si>
  <si>
    <t xml:space="preserve">Exact nRF target and signed/merged image hashes; verify and BLE startup PASS</t>
  </si>
  <si>
    <t xml:space="preserve">CELL-VREF-01</t>
  </si>
  <si>
    <t xml:space="preserve">BG95 debug</t>
  </si>
  <si>
    <t xml:space="preserve">После штатного включения BG95 измерить VREF_1V8 на TP_CELL_DBG.1 относительно TP_CELL_DBG.5.</t>
  </si>
  <si>
    <t xml:space="preserve">After normal BG95 power-up, measure VREF_1V8 at TP_CELL_DBG.1 relative to TP_CELL_DBG.5.</t>
  </si>
  <si>
    <t xml:space="preserve">bg95_vref</t>
  </si>
  <si>
    <t xml:space="preserve">1.8 V modem I/O domain</t>
  </si>
  <si>
    <t xml:space="preserve">CELL-DBG-01</t>
  </si>
  <si>
    <t xml:space="preserve">2,3,5</t>
  </si>
  <si>
    <t xml:space="preserve">После valid VREF подключить 1.8 V tolerant RX оснастки к TP_CELL_DBG.2 и 1.8 V output оснастки к TP_CELL_DBG.3. Выполнить AT и прочитать версию.</t>
  </si>
  <si>
    <t xml:space="preserve">After valid VREF, connect the fixture 1.8 V tolerant RX to TP_CELL_DBG.2 and the 1.8 V fixture output to TP_CELL_DBG.3. Run AT and read the version.</t>
  </si>
  <si>
    <t xml:space="preserve">bg95_debug_uart</t>
  </si>
  <si>
    <t xml:space="preserve">AT returns OK and the approved BG95 identity/version is recorded</t>
  </si>
  <si>
    <t xml:space="preserve">CELL-BOOT-01</t>
  </si>
  <si>
    <t xml:space="preserve">BG95 recovery</t>
  </si>
  <si>
    <t xml:space="preserve">4-5</t>
  </si>
  <si>
    <t xml:space="preserve">В обычном режиме проверить LOW на TP_CELL_DBG.4. Для recovery подать current-limited 1.8 V HIGH только по утвержденной последовательности power-on, затем вернуть high-Z.</t>
  </si>
  <si>
    <t xml:space="preserve">Verify LOW at TP_CELL_DBG.4 in normal operation. For recovery apply a current-limited 1.8 V HIGH only during the approved power-on sequence, then return high impedance.</t>
  </si>
  <si>
    <t xml:space="preserve">usb_boot_sequence</t>
  </si>
  <si>
    <t xml:space="preserve">Normal LOW and recovery enumeration PASS</t>
  </si>
  <si>
    <t xml:space="preserve">CELL-USB-01</t>
  </si>
  <si>
    <t xml:space="preserve">4,2,3,1</t>
  </si>
  <si>
    <t xml:space="preserve">Подключить TP_CELL_USB.4 к modem ground, затем differential D+ к .2, D- к .3 и только после этого current-limited HOST_VBUS к .1. Проверить recovery USB enumeration.</t>
  </si>
  <si>
    <t xml:space="preserve">Connect TP_CELL_USB.4 to modem ground, then differential D+ to .2, D- to .3 and only then current-limited HOST_VBUS to .1. Verify recovery USB enumeration.</t>
  </si>
  <si>
    <t xml:space="preserve">bg95_usb_enumeration</t>
  </si>
  <si>
    <t xml:space="preserve">BG95 recovery interface enumerates and remains isolated from J11</t>
  </si>
  <si>
    <t xml:space="preserve">CELL-ISO-01</t>
  </si>
  <si>
    <t xml:space="preserve">TP_CELL_USB and J11</t>
  </si>
  <si>
    <t xml:space="preserve">1-3 and J11</t>
  </si>
  <si>
    <t xml:space="preserve">При снятом питании проверить отсутствие непрерывности между TP_CELL_USB D+/D-/VBUS и J11 USB_DP/USB_DM/USB_VBUS_CONN.</t>
  </si>
  <si>
    <t xml:space="preserve">With power removed verify no continuity between TP_CELL_USB D+/D-/VBUS and J11 USB_DP/USB_DM/USB_VBUS_CONN.</t>
  </si>
  <si>
    <t xml:space="preserve">usb_domain_isolation</t>
  </si>
  <si>
    <t xml:space="preserve">NO_CONTINUITY</t>
  </si>
  <si>
    <t xml:space="preserve">MIC-PWR-01</t>
  </si>
  <si>
    <t xml:space="preserve">PCB-MIC 3+1</t>
  </si>
  <si>
    <t xml:space="preserve">J_MIC1-J_MIC4</t>
  </si>
  <si>
    <t xml:space="preserve">1-2</t>
  </si>
  <si>
    <t xml:space="preserve">На J_MIC1-J_MIC4 измерить pin 1 1V8_MIC относительно pin 2 GND в AAD idle и active PDM.</t>
  </si>
  <si>
    <t xml:space="preserve">At J_MIC1-J_MIC4 measure pin 1 1V8_MIC relative to pin 2 GND in AAD idle and active PDM.</t>
  </si>
  <si>
    <t xml:space="preserve">mic_supply</t>
  </si>
  <si>
    <t xml:space="preserve">1.8 V nominal on all four harnesses</t>
  </si>
  <si>
    <t xml:space="preserve">MIC-CLK-01</t>
  </si>
  <si>
    <t xml:space="preserve">3-2</t>
  </si>
  <si>
    <t xml:space="preserve">На pin 3 каждого J_MIC измерить общий PDM_CLK относительно pin 2, включая запуск и останов для AAD.</t>
  </si>
  <si>
    <t xml:space="preserve">At pin 3 of every J_MIC measure common PDM_CLK relative to pin 2, including AAD start and stop.</t>
  </si>
  <si>
    <t xml:space="preserve">pdm_clock</t>
  </si>
  <si>
    <t xml:space="preserve">Hz and V</t>
  </si>
  <si>
    <t xml:space="preserve">Clock exceeds 50 kHz during THSEL/PDM operation; final frequency and edges use approved target limit</t>
  </si>
  <si>
    <t xml:space="preserve">MIC-DATA-01</t>
  </si>
  <si>
    <t xml:space="preserve">4-2</t>
  </si>
  <si>
    <t xml:space="preserve">Проверить PDM_DATA1-4 на pin 4 J_MIC1-4, отсутствие dropout и соответствие физическому MIC1-MIC4.</t>
  </si>
  <si>
    <t xml:space="preserve">Verify PDM_DATA1-4 at pin 4 of J_MIC1-4, no dropouts and correct physical MIC1-MIC4 mapping.</t>
  </si>
  <si>
    <t xml:space="preserve">mic_channel_mapping</t>
  </si>
  <si>
    <t xml:space="preserve">Four distinct channels, correct 3+1 mapping, zero dropout in the approved capture</t>
  </si>
  <si>
    <t xml:space="preserve">MIC-WAKE-01</t>
  </si>
  <si>
    <t xml:space="preserve">5-2</t>
  </si>
  <si>
    <t xml:space="preserve">На pin 5 J_MIC1-4 измерить MIC_WAKE1-4 и проверить агрегированное пробуждение PA8 при калиброванном событии.</t>
  </si>
  <si>
    <t xml:space="preserve">At pin 5 of J_MIC1-4 measure MIC_WAKE1-4 and verify aggregate PA8 wake on a calibrated event.</t>
  </si>
  <si>
    <t xml:space="preserve">aad_wake</t>
  </si>
  <si>
    <t xml:space="preserve">ms and count</t>
  </si>
  <si>
    <t xml:space="preserve">Every valid event wakes the station; false wake and latency meet approved acoustic limits</t>
  </si>
  <si>
    <t xml:space="preserve">MIC-CFG-01</t>
  </si>
  <si>
    <t xml:space="preserve">6-2</t>
  </si>
  <si>
    <t xml:space="preserve">На pin 6 J_MIC1-4 проверить общий AAD_CFG/THSEL, stop symbol и возврат линии в штатное состояние.</t>
  </si>
  <si>
    <t xml:space="preserve">At pin 6 of J_MIC1-4 verify common AAD_CFG/THSEL, the stop symbol and return to the normal state.</t>
  </si>
  <si>
    <t xml:space="preserve">aad_cfg_timing</t>
  </si>
  <si>
    <t xml:space="preserve">us and V</t>
  </si>
  <si>
    <t xml:space="preserve">T5838 protocol timing and common-bus behavior pass</t>
  </si>
  <si>
    <t xml:space="preserve">STO-01</t>
  </si>
  <si>
    <t xml:space="preserve">Память</t>
  </si>
  <si>
    <t xml:space="preserve">Через self-test проверить QSPI JEDEC/SFDP, microSD detect, CID, write/read SHA-256 и восстановление после прерванной записи.</t>
  </si>
  <si>
    <t xml:space="preserve">Use self-test to verify QSPI JEDEC/SFDP, microSD detect, CID, write/read SHA-256 and interrupted-write recovery.</t>
  </si>
  <si>
    <t xml:space="preserve">storage_test</t>
  </si>
  <si>
    <t xml:space="preserve">W25Q512JV EF 40 20, 64 MiB; approved industrial microSD</t>
  </si>
  <si>
    <t xml:space="preserve">RF-LOAD-01</t>
  </si>
  <si>
    <t xml:space="preserve">RF</t>
  </si>
  <si>
    <t xml:space="preserve">J8/J9/J10</t>
  </si>
  <si>
    <t xml:space="preserve">center and shield</t>
  </si>
  <si>
    <t xml:space="preserve">До передачи установить 50 ohm loads или утвержденные антенны на J8 LTE, J9 GNSS и J10 LoRa. Сверить U.FL и кабели.</t>
  </si>
  <si>
    <t xml:space="preserve">Before transmission install 50 ohm loads or approved antennas at J8 LTE, J9 GNSS and J10 LoRa. Verify U.FL connectors and cables.</t>
  </si>
  <si>
    <t xml:space="preserve">rf_fixture_identity</t>
  </si>
  <si>
    <t xml:space="preserve">Correct port, cable, load and region</t>
  </si>
  <si>
    <t xml:space="preserve">GNSS-PPS-01</t>
  </si>
  <si>
    <t xml:space="preserve">GNSS</t>
  </si>
  <si>
    <t xml:space="preserve">J9 plus station diagnostics</t>
  </si>
  <si>
    <t xml:space="preserve">RF center/shield</t>
  </si>
  <si>
    <t xml:space="preserve">Подключить GNSS к J9, получить fix и измерить PPS/time quality и holdover.</t>
  </si>
  <si>
    <t xml:space="preserve">Connect GNSS at J9, obtain a fix and measure PPS/time quality and holdover.</t>
  </si>
  <si>
    <t xml:space="preserve">pps_accuracy_holdover</t>
  </si>
  <si>
    <t xml:space="preserve">us and s</t>
  </si>
  <si>
    <t xml:space="preserve">Limits approved after B01 characterization</t>
  </si>
  <si>
    <t xml:space="preserve">LORA-01</t>
  </si>
  <si>
    <t xml:space="preserve">LoRa</t>
  </si>
  <si>
    <t xml:space="preserve">J10</t>
  </si>
  <si>
    <t xml:space="preserve">На J10 в conducted или экранированной оснастке проверить RU868 profile, SPI, packet integrity, frequency and power. Вне стенда TX запрещен.</t>
  </si>
  <si>
    <t xml:space="preserve">At J10 in a conducted or shielded fixture verify the RU868 profile, SPI, packet integrity, frequency and power. TX is prohibited outside the fixture.</t>
  </si>
  <si>
    <t xml:space="preserve">lora_rf</t>
  </si>
  <si>
    <t xml:space="preserve">Hz and dBm</t>
  </si>
  <si>
    <t xml:space="preserve">Approved RU868 limits</t>
  </si>
  <si>
    <t xml:space="preserve">CELL-NET-01</t>
  </si>
  <si>
    <t xml:space="preserve">LTE и сервер</t>
  </si>
  <si>
    <t xml:space="preserve">J8 and station UART</t>
  </si>
  <si>
    <t xml:space="preserve">На J8 с утвержденной антенной или нагрузкой выполнить attach, TLS, MQTT, heartbeat, event, receipt, reconnect и SIM failover в tenant bench.</t>
  </si>
  <si>
    <t xml:space="preserve">At J8 with an approved antenna or load run attach, TLS, MQTT, heartbeat, event, receipt, reconnect and SIM failover in the bench tenant.</t>
  </si>
  <si>
    <t xml:space="preserve">cellular_end_to_end</t>
  </si>
  <si>
    <t xml:space="preserve">Exact B01 identity; CA and hostname verified; event stored once; no effect on production tenant</t>
  </si>
  <si>
    <t xml:space="preserve">AB-ROLLBACK-01</t>
  </si>
  <si>
    <t xml:space="preserve">Прошивка</t>
  </si>
  <si>
    <t xml:space="preserve">Проверить signed A/B update, interruption at 10, 30, 70 and 99 percent, trial, confirmation, watchdog rollback and BOOT0/SWD recovery.</t>
  </si>
  <si>
    <t xml:space="preserve">Verify signed A/B update, interruption at 10, 30, 70 and 99 percent, trial, confirmation, watchdog rollback and BOOT0/SWD recovery.</t>
  </si>
  <si>
    <t xml:space="preserve">ab_rollback</t>
  </si>
  <si>
    <t xml:space="preserve">All fault injections recover without unsigned boot</t>
  </si>
  <si>
    <t xml:space="preserve">EOL-SELFTEST-01</t>
  </si>
  <si>
    <t xml:space="preserve">Полный EOL</t>
  </si>
  <si>
    <t xml:space="preserve">Запустить полный self-test 1-13, сохранить CBOR/декодированный результат и failed mask.</t>
  </si>
  <si>
    <t xml:space="preserve">Run complete self-test IDs 1-13 and save the CBOR/decoded result and failed mask.</t>
  </si>
  <si>
    <t xml:space="preserve">selftest_registry</t>
  </si>
  <si>
    <t xml:space="preserve">All required registered tests PASS; failed mask 0</t>
  </si>
  <si>
    <t xml:space="preserve">EOL-REGRESSION-01</t>
  </si>
  <si>
    <t xml:space="preserve">Выполнить все обязательные EOL, полный регрессионный прогон, проверить evidence и хэши, затем получить две независимые подписи.</t>
  </si>
  <si>
    <t xml:space="preserve">Complete all mandatory EOL tests, full regression, evidence and hash verification, then obtain two independent approvals.</t>
  </si>
  <si>
    <t xml:space="preserve">overall_qualification</t>
  </si>
  <si>
    <t xml:space="preserve">No OPEN, NOT_RUN, FAIL or HOLD mandatory row</t>
  </si>
  <si>
    <t xml:space="preserve">MSA и known-fault проверки / MSA and known-fault tests</t>
  </si>
  <si>
    <t xml:space="preserve">ID</t>
  </si>
  <si>
    <t xml:space="preserve">Action</t>
  </si>
  <si>
    <t xml:space="preserve">Acceptance</t>
  </si>
  <si>
    <t xml:space="preserve">Actual result</t>
  </si>
  <si>
    <t xml:space="preserve">SHA-256</t>
  </si>
  <si>
    <t xml:space="preserve">MSA-REP-01</t>
  </si>
  <si>
    <t xml:space="preserve">10 repeated full fixture runs on the same B01 or golden unit without reseating</t>
  </si>
  <si>
    <t xml:space="preserve">repeatability limits approved and met</t>
  </si>
  <si>
    <t xml:space="preserve">MSA-REPRO-01</t>
  </si>
  <si>
    <t xml:space="preserve">3 operators, 3 reseats each, same unit</t>
  </si>
  <si>
    <t xml:space="preserve">operator and reseat effects within approved limits</t>
  </si>
  <si>
    <t xml:space="preserve">MSA-MIC-01</t>
  </si>
  <si>
    <t xml:space="preserve">known-fault sample with two microphone channels swapped</t>
  </si>
  <si>
    <t xml:space="preserve">mapping test fails and identifies channels</t>
  </si>
  <si>
    <t xml:space="preserve">MSA-RF-01</t>
  </si>
  <si>
    <t xml:space="preserve">known-fault sample with absent RF load</t>
  </si>
  <si>
    <t xml:space="preserve">interlock blocks transmission or test fails before TX</t>
  </si>
  <si>
    <t xml:space="preserve">MSA-REGION-01</t>
  </si>
  <si>
    <t xml:space="preserve">known-fault wrong LoRa region profile</t>
  </si>
  <si>
    <t xml:space="preserve">profile test fails closed</t>
  </si>
  <si>
    <t xml:space="preserve">MSA-STO-01</t>
  </si>
  <si>
    <t xml:space="preserve">known-fault damaged or fault-injected storage</t>
  </si>
  <si>
    <t xml:space="preserve">storage test fails and data is not reported delivered</t>
  </si>
  <si>
    <t xml:space="preserve">MSA-TLS-01</t>
  </si>
  <si>
    <t xml:space="preserve">known-fault invalid TLS chain or hostname</t>
  </si>
  <si>
    <t xml:space="preserve">connection rejected</t>
  </si>
  <si>
    <t xml:space="preserve">MSA-ID-01</t>
  </si>
  <si>
    <t xml:space="preserve">known-fault serial or station-ID mismatch</t>
  </si>
  <si>
    <t xml:space="preserve">identity gate fails before provisioning</t>
  </si>
  <si>
    <t xml:space="preserve">Структура evidence / Evidence structure</t>
  </si>
  <si>
    <t xml:space="preserve">Folder</t>
  </si>
  <si>
    <t xml:space="preserve">Contents RU</t>
  </si>
  <si>
    <t xml:space="preserve">Contents EN</t>
  </si>
  <si>
    <t xml:space="preserve">Required</t>
  </si>
  <si>
    <t xml:space="preserve">Path</t>
  </si>
  <si>
    <t xml:space="preserve">SHA-256 manifest</t>
  </si>
  <si>
    <t xml:space="preserve">00_identity</t>
  </si>
  <si>
    <t xml:space="preserve">Фото маркировки, traveller, release manifest</t>
  </si>
  <si>
    <t xml:space="preserve">Identity photo, traveller, release manifest</t>
  </si>
  <si>
    <t xml:space="preserve">YES</t>
  </si>
  <si>
    <t xml:space="preserve">01_fixture</t>
  </si>
  <si>
    <t xml:space="preserve">Схема, карта pogo, приемка и MSA MFG-004</t>
  </si>
  <si>
    <t xml:space="preserve">MFG-004 schematic, pogo map, acceptance and MSA</t>
  </si>
  <si>
    <t xml:space="preserve">02_power</t>
  </si>
  <si>
    <t xml:space="preserve">Сопротивления, rail waveforms, ток и thermal</t>
  </si>
  <si>
    <t xml:space="preserve">Resistance, rail waveforms, current and thermal</t>
  </si>
  <si>
    <t xml:space="preserve">03_programming</t>
  </si>
  <si>
    <t xml:space="preserve">STM32 и nRF logs, option bytes, verify</t>
  </si>
  <si>
    <t xml:space="preserve">STM32 and nRF logs, option bytes and verify</t>
  </si>
  <si>
    <t xml:space="preserve">04_modem</t>
  </si>
  <si>
    <t xml:space="preserve">BG95 debug, USB recovery и redacted AT logs</t>
  </si>
  <si>
    <t xml:space="preserve">BG95 debug, USB recovery and redacted AT logs</t>
  </si>
  <si>
    <t xml:space="preserve">05_audio</t>
  </si>
  <si>
    <t xml:space="preserve">WAV, mapping, THSEL, wake и calibration</t>
  </si>
  <si>
    <t xml:space="preserve">WAV, mapping, THSEL, wake and calibration</t>
  </si>
  <si>
    <t xml:space="preserve">06_rf_time</t>
  </si>
  <si>
    <t xml:space="preserve">GNSS PPS, LTE, LoRa и setup calibration</t>
  </si>
  <si>
    <t xml:space="preserve">GNSS PPS, LTE, LoRa and setup calibration</t>
  </si>
  <si>
    <t xml:space="preserve">07_server</t>
  </si>
  <si>
    <t xml:space="preserve">Heartbeat, event, receipt и reconnect</t>
  </si>
  <si>
    <t xml:space="preserve">Heartbeat, event, receipt and reconnect</t>
  </si>
  <si>
    <t xml:space="preserve">08_ota_recovery</t>
  </si>
  <si>
    <t xml:space="preserve">A/B, power cuts, rollback и recovery</t>
  </si>
  <si>
    <t xml:space="preserve">A/B, power cuts, rollback and recovery</t>
  </si>
  <si>
    <t xml:space="preserve">09_review</t>
  </si>
  <si>
    <t xml:space="preserve">Подписанные XLSX, JSON, NCR и manifest</t>
  </si>
  <si>
    <t xml:space="preserve">Signed XLSX, JSON, NCR and manifest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</si>
</sst>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sz val="12"/>
      <color rgb="FF000000"/>
      <name val="Times New Roman"/>
      <family val="0"/>
    </font>
    <font>
      <b val="true"/>
      <sz val="14"/>
      <color rgb="FF000000"/>
      <name val="Times New Roman"/>
      <family val="0"/>
    </font>
    <font>
      <b val="true"/>
      <sz val="12"/>
      <color rgb="FFFFFFFF"/>
      <name val="Times New Roman"/>
      <family val="0"/>
    </font>
    <font>
      <b val="true"/>
      <sz val="12"/>
      <color rgb="FF000000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4E78"/>
      </bottom>
      <diagonal/>
    </border>
    <border diagonalUp="false" diagonalDown="false">
      <left style="thin">
        <color rgb="FFB4C7E7"/>
      </left>
      <right/>
      <top style="thin">
        <color rgb="FFB4C7E7"/>
      </top>
      <bottom/>
      <diagonal/>
    </border>
    <border diagonalUp="false" diagonalDown="false">
      <left/>
      <right style="thin">
        <color rgb="FFB4C7E7"/>
      </right>
      <top style="thin">
        <color rgb="FFB4C7E7"/>
      </top>
      <bottom/>
      <diagonal/>
    </border>
    <border diagonalUp="false" diagonalDown="false">
      <left style="thin">
        <color rgb="FFB4C7E7"/>
      </left>
      <right/>
      <top/>
      <bottom/>
      <diagonal/>
    </border>
    <border diagonalUp="false" diagonalDown="false">
      <left/>
      <right style="thin">
        <color rgb="FFB4C7E7"/>
      </right>
      <top/>
      <bottom/>
      <diagonal/>
    </border>
    <border diagonalUp="false" diagonalDown="false">
      <left style="thin">
        <color rgb="FFB4C7E7"/>
      </left>
      <right/>
      <top/>
      <bottom style="thin">
        <color rgb="FFB4C7E7"/>
      </bottom>
      <diagonal/>
    </border>
    <border diagonalUp="false" diagonalDown="false">
      <left/>
      <right style="thin">
        <color rgb="FFB4C7E7"/>
      </right>
      <top/>
      <bottom style="thin">
        <color rgb="FFB4C7E7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5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5"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6500"/>
      </font>
      <fill>
        <patternFill>
          <bgColor rgb="FFFFF2C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4C7E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01EOLMeasurements" displayName="B01EOLMeasurements" ref="A4:AA46" headerRowCount="1" totalsRowCount="0" totalsRowShown="0">
  <tableColumns count="27">
    <tableColumn id="1" name="Order"/>
    <tableColumn id="2" name="Test ID"/>
    <tableColumn id="3" name="Phase"/>
    <tableColumn id="4" name="Fixture group"/>
    <tableColumn id="5" name="Contacts"/>
    <tableColumn id="6" name="Action RU"/>
    <tableColumn id="7" name="Action EN"/>
    <tableColumn id="8" name="Metric"/>
    <tableColumn id="9" name="Unit"/>
    <tableColumn id="10" name="Engineering target"/>
    <tableColumn id="11" name="Limit state"/>
    <tableColumn id="12" name="Approved lower"/>
    <tableColumn id="13" name="Approved upper"/>
    <tableColumn id="14" name="Approved discrete"/>
    <tableColumn id="15" name="Actual numeric"/>
    <tableColumn id="16" name="Actual text"/>
    <tableColumn id="17" name="Instrument ID"/>
    <tableColumn id="18" name="Calibration due"/>
    <tableColumn id="19" name="Evidence path"/>
    <tableColumn id="20" name="Evidence SHA-256"/>
    <tableColumn id="21" name="Operator"/>
    <tableColumn id="22" name="Reviewer"/>
    <tableColumn id="23" name="UTC"/>
    <tableColumn id="24" name="Status"/>
    <tableColumn id="25" name="NCR/deviation"/>
    <tableColumn id="26" name="Notes"/>
    <tableColumn id="27" name="Row gate"/>
  </tableColumns>
</table>
</file>

<file path=xl/tables/table2.xml><?xml version="1.0" encoding="utf-8"?>
<table xmlns="http://schemas.openxmlformats.org/spreadsheetml/2006/main" id="2" name="B01EvidenceStructure" displayName="B01EvidenceStructure" ref="A4:F14" headerRowCount="1" totalsRowCount="0" totalsRowShown="0">
  <tableColumns count="6">
    <tableColumn id="1" name="Folder"/>
    <tableColumn id="2" name="Contents RU"/>
    <tableColumn id="3" name="Contents EN"/>
    <tableColumn id="4" name="Required"/>
    <tableColumn id="5" name="Path"/>
    <tableColumn id="6" name="SHA-256 manifest"/>
  </tableColumns>
</table>
</file>

<file path=xl/tables/table3.xml><?xml version="1.0" encoding="utf-8"?>
<table xmlns="http://schemas.openxmlformats.org/spreadsheetml/2006/main" id="3" name="MFG004Contacts" displayName="MFG004Contacts" ref="A4:N35" headerRowCount="1" totalsRowCount="0" totalsRowShown="0">
  <tableColumns count="14">
    <tableColumn id="1" name="Group"/>
    <tableColumn id="2" name="Contact"/>
    <tableColumn id="3" name="X board"/>
    <tableColumn id="4" name="Y board"/>
    <tableColumn id="5" name="X fixture"/>
    <tableColumn id="6" name="Y fixture"/>
    <tableColumn id="7" name="Pad"/>
    <tableColumn id="8" name="Pitch"/>
    <tableColumn id="9" name="Pin name"/>
    <tableColumn id="10" name="DUT direction"/>
    <tableColumn id="11" name="Net"/>
    <tableColumn id="12" name="Required network"/>
    <tableColumn id="13" name="Safety class"/>
    <tableColumn id="14" name="Status"/>
  </tableColumns>
</table>
</file>

<file path=xl/tables/table4.xml><?xml version="1.0" encoding="utf-8"?>
<table xmlns="http://schemas.openxmlformats.org/spreadsheetml/2006/main" id="4" name="MFG004MSA" displayName="MFG004MSA" ref="A4:J12" headerRowCount="1" totalsRowCount="0" totalsRowShown="0">
  <tableColumns count="10">
    <tableColumn id="1" name="ID"/>
    <tableColumn id="2" name="Action"/>
    <tableColumn id="3" name="Acceptance"/>
    <tableColumn id="4" name="Actual result"/>
    <tableColumn id="5" name="Status"/>
    <tableColumn id="6" name="Evidence path"/>
    <tableColumn id="7" name="SHA-256"/>
    <tableColumn id="8" name="Operator"/>
    <tableColumn id="9" name="Reviewer"/>
    <tableColumn id="10" name="UTC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8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72"/>
    <col collapsed="false" customWidth="true" hidden="false" outlineLevel="0" max="3" min="3" style="0" width="4"/>
    <col collapsed="false" customWidth="true" hidden="false" outlineLevel="0" max="4" min="4" style="0" width="20"/>
    <col collapsed="false" customWidth="true" hidden="false" outlineLevel="0" max="8" min="5" style="0" width="1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15" hidden="false" customHeight="true" outlineLevel="0" collapsed="false">
      <c r="A5" s="4" t="s">
        <v>1</v>
      </c>
      <c r="B5" s="5" t="s">
        <v>2</v>
      </c>
      <c r="C5" s="1"/>
      <c r="D5" s="4" t="s">
        <v>3</v>
      </c>
      <c r="E5" s="5" t="s">
        <v>4</v>
      </c>
      <c r="F5" s="5"/>
      <c r="G5" s="5"/>
      <c r="H5" s="5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15" hidden="false" customHeight="true" outlineLevel="0" collapsed="false">
      <c r="A6" s="6" t="s">
        <v>5</v>
      </c>
      <c r="B6" s="7" t="s">
        <v>6</v>
      </c>
      <c r="C6" s="1"/>
      <c r="D6" s="6" t="s">
        <v>7</v>
      </c>
      <c r="E6" s="7" t="s">
        <v>8</v>
      </c>
      <c r="F6" s="7"/>
      <c r="G6" s="7"/>
      <c r="H6" s="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15" hidden="false" customHeight="true" outlineLevel="0" collapsed="false">
      <c r="A7" s="6" t="s">
        <v>9</v>
      </c>
      <c r="B7" s="7" t="s">
        <v>10</v>
      </c>
      <c r="C7" s="1"/>
      <c r="D7" s="6" t="s">
        <v>11</v>
      </c>
      <c r="E7" s="7" t="s">
        <v>12</v>
      </c>
      <c r="F7" s="7"/>
      <c r="G7" s="7"/>
      <c r="H7" s="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customFormat="false" ht="15" hidden="false" customHeight="true" outlineLevel="0" collapsed="false">
      <c r="A8" s="6" t="s">
        <v>13</v>
      </c>
      <c r="B8" s="7" t="s">
        <v>14</v>
      </c>
      <c r="C8" s="1"/>
      <c r="D8" s="6" t="s">
        <v>15</v>
      </c>
      <c r="E8" s="7" t="s">
        <v>16</v>
      </c>
      <c r="F8" s="7"/>
      <c r="G8" s="7"/>
      <c r="H8" s="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customFormat="false" ht="15" hidden="false" customHeight="true" outlineLevel="0" collapsed="false">
      <c r="A9" s="6" t="s">
        <v>17</v>
      </c>
      <c r="B9" s="7" t="n">
        <v>31</v>
      </c>
      <c r="C9" s="1"/>
      <c r="D9" s="6" t="s">
        <v>18</v>
      </c>
      <c r="E9" s="7" t="s">
        <v>19</v>
      </c>
      <c r="F9" s="7"/>
      <c r="G9" s="7"/>
      <c r="H9" s="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customFormat="false" ht="15" hidden="false" customHeight="true" outlineLevel="0" collapsed="false">
      <c r="A10" s="6" t="s">
        <v>20</v>
      </c>
      <c r="B10" s="7" t="s">
        <v>21</v>
      </c>
      <c r="C10" s="1"/>
      <c r="D10" s="6" t="s">
        <v>22</v>
      </c>
      <c r="E10" s="7" t="s">
        <v>23</v>
      </c>
      <c r="F10" s="7"/>
      <c r="G10" s="7"/>
      <c r="H10" s="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customFormat="false" ht="15" hidden="false" customHeight="true" outlineLevel="0" collapsed="false">
      <c r="A11" s="6" t="s">
        <v>24</v>
      </c>
      <c r="B11" s="7" t="n">
        <v>901</v>
      </c>
      <c r="C11" s="1"/>
      <c r="D11" s="6" t="s">
        <v>25</v>
      </c>
      <c r="E11" s="7" t="s">
        <v>26</v>
      </c>
      <c r="F11" s="7"/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15" hidden="false" customHeight="true" outlineLevel="0" collapsed="false">
      <c r="A12" s="6" t="s">
        <v>27</v>
      </c>
      <c r="B12" s="7" t="s">
        <v>28</v>
      </c>
      <c r="C12" s="1"/>
      <c r="D12" s="6" t="s">
        <v>29</v>
      </c>
      <c r="E12" s="7" t="s">
        <v>30</v>
      </c>
      <c r="F12" s="7"/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5" hidden="false" customHeight="true" outlineLevel="0" collapsed="false">
      <c r="A13" s="8" t="s">
        <v>31</v>
      </c>
      <c r="B13" s="9" t="s">
        <v>32</v>
      </c>
      <c r="C13" s="1"/>
      <c r="D13" s="6" t="s">
        <v>33</v>
      </c>
      <c r="E13" s="7" t="s">
        <v>34</v>
      </c>
      <c r="F13" s="7"/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15" hidden="false" customHeight="true" outlineLevel="0" collapsed="false">
      <c r="A14" s="1"/>
      <c r="B14" s="1"/>
      <c r="C14" s="1"/>
      <c r="D14" s="8" t="s">
        <v>35</v>
      </c>
      <c r="E14" s="9" t="s">
        <v>36</v>
      </c>
      <c r="F14" s="9"/>
      <c r="G14" s="9"/>
      <c r="H14" s="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true" outlineLevel="0" collapsed="false">
      <c r="A15" s="4" t="s">
        <v>37</v>
      </c>
      <c r="B15" s="5" t="s">
        <v>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15" hidden="false" customHeight="true" outlineLevel="0" collapsed="false">
      <c r="A16" s="6" t="s">
        <v>39</v>
      </c>
      <c r="B16" s="7" t="n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true" outlineLevel="0" collapsed="false">
      <c r="A17" s="6" t="s">
        <v>40</v>
      </c>
      <c r="B17" s="7" t="n">
        <f aca="false">COUNTIF(Measurements!$X$5:$X$46,"PASS")</f>
        <v>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true" outlineLevel="0" collapsed="false">
      <c r="A18" s="6" t="s">
        <v>41</v>
      </c>
      <c r="B18" s="7" t="n">
        <f aca="false">COUNTIF(Measurements!$X$5:$X$46,"FAIL")</f>
        <v>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15" hidden="false" customHeight="true" outlineLevel="0" collapsed="false">
      <c r="A19" s="6" t="s">
        <v>42</v>
      </c>
      <c r="B19" s="7" t="n">
        <f aca="false">COUNTIF(Measurements!$X$5:$X$46,"HOLD")</f>
        <v>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15" hidden="false" customHeight="true" outlineLevel="0" collapsed="false">
      <c r="A20" s="6" t="s">
        <v>43</v>
      </c>
      <c r="B20" s="7" t="n">
        <f aca="false">COUNTIF(Measurements!$K$5:$K$46,"*OPEN*")+COUNTIF(Measurements!$K$5:$K$46,"PARTIAL*")</f>
        <v>21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15" hidden="false" customHeight="true" outlineLevel="0" collapsed="false">
      <c r="A21" s="6" t="s">
        <v>44</v>
      </c>
      <c r="B21" s="7" t="n">
        <f aca="false">COUNTIF(Measurements!$AA$5:$AA$46,"READY")</f>
        <v>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15" hidden="false" customHeight="true" outlineLevel="0" collapsed="false">
      <c r="A22" s="6" t="s">
        <v>45</v>
      </c>
      <c r="B22" s="7" t="n">
        <f aca="false">COUNTIF(MSA!$E$5:$E$12,"PASS")</f>
        <v>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15" hidden="false" customHeight="true" outlineLevel="0" collapsed="false">
      <c r="A23" s="6" t="s">
        <v>46</v>
      </c>
      <c r="B23" s="10" t="s">
        <v>7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" hidden="false" customHeight="true" outlineLevel="0" collapsed="false">
      <c r="A24" s="6" t="s">
        <v>47</v>
      </c>
      <c r="B24" s="10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15" hidden="false" customHeight="true" outlineLevel="0" collapsed="false">
      <c r="A25" s="6" t="s">
        <v>48</v>
      </c>
      <c r="B25" s="10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" hidden="false" customHeight="true" outlineLevel="0" collapsed="false">
      <c r="A26" s="8" t="s">
        <v>49</v>
      </c>
      <c r="B26" s="9" t="str">
        <f aca="false">IF(B18&gt;0,"FAIL",IF(AND(B21=B16,B22=8,B23="PASS",B24&lt;&gt;"",B25&lt;&gt;"",B24&lt;&gt;B25),"PASS",IF(COUNTIF(Measurements!$X$5:$X$46,"NOT_RUN")=B16,"NOT_RUN","HOLD")))</f>
        <v>NOT_RUN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</sheetData>
  <mergeCells count="11">
    <mergeCell ref="A2:H2"/>
    <mergeCell ref="E5:H5"/>
    <mergeCell ref="E6:H6"/>
    <mergeCell ref="E7:H7"/>
    <mergeCell ref="E8:H8"/>
    <mergeCell ref="E9:H9"/>
    <mergeCell ref="E10:H10"/>
    <mergeCell ref="E11:H11"/>
    <mergeCell ref="E12:H12"/>
    <mergeCell ref="E13:H13"/>
    <mergeCell ref="E14:H14"/>
  </mergeCells>
  <conditionalFormatting sqref="B26">
    <cfRule type="containsText" priority="2" operator="containsText" aboveAverage="0" equalAverage="0" bottom="0" percent="0" rank="0" text="PASS" dxfId="0">
      <formula>NOT(ISERROR(SEARCH("PASS",B26)))</formula>
    </cfRule>
    <cfRule type="containsText" priority="3" operator="containsText" aboveAverage="0" equalAverage="0" bottom="0" percent="0" rank="0" text="FAIL" dxfId="1">
      <formula>NOT(ISERROR(SEARCH("FAIL",B26)))</formula>
    </cfRule>
    <cfRule type="containsText" priority="4" operator="containsText" aboveAverage="0" equalAverage="0" bottom="0" percent="0" rank="0" text="HOLD" dxfId="2">
      <formula>NOT(ISERROR(SEARCH("HOLD",B26)))</formula>
    </cfRule>
  </conditionalFormatting>
  <dataValidations count="1">
    <dataValidation allowBlank="false" errorStyle="stop" operator="equal" showDropDown="false" showErrorMessage="false" showInputMessage="false" sqref="B23" type="list">
      <formula1>"NOT_RUN,MEASURED,PASS,FAIL,HOLD"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2.8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2"/>
    <col collapsed="false" customWidth="true" hidden="false" outlineLevel="0" max="10" min="10" style="0" width="20"/>
    <col collapsed="false" customWidth="true" hidden="false" outlineLevel="0" max="11" min="11" style="0" width="24"/>
    <col collapsed="false" customWidth="true" hidden="false" outlineLevel="0" max="12" min="12" style="0" width="54"/>
    <col collapsed="false" customWidth="true" hidden="false" outlineLevel="0" max="13" min="13" style="0" width="38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true" outlineLevel="0" collapsed="false">
      <c r="A4" s="11" t="s">
        <v>51</v>
      </c>
      <c r="B4" s="11" t="s">
        <v>52</v>
      </c>
      <c r="C4" s="11" t="s">
        <v>53</v>
      </c>
      <c r="D4" s="11" t="s">
        <v>54</v>
      </c>
      <c r="E4" s="11" t="s">
        <v>55</v>
      </c>
      <c r="F4" s="11" t="s">
        <v>56</v>
      </c>
      <c r="G4" s="11" t="s">
        <v>57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  <c r="N4" s="11" t="s">
        <v>64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28.8" hidden="false" customHeight="true" outlineLevel="0" collapsed="false">
      <c r="A5" s="12" t="s">
        <v>65</v>
      </c>
      <c r="B5" s="12" t="n">
        <v>1</v>
      </c>
      <c r="C5" s="13" t="n">
        <v>84</v>
      </c>
      <c r="D5" s="13" t="n">
        <v>23</v>
      </c>
      <c r="E5" s="13" t="n">
        <v>26</v>
      </c>
      <c r="F5" s="13" t="n">
        <v>23</v>
      </c>
      <c r="G5" s="12" t="s">
        <v>66</v>
      </c>
      <c r="H5" s="13" t="n">
        <v>2.54</v>
      </c>
      <c r="I5" s="12" t="s">
        <v>67</v>
      </c>
      <c r="J5" s="12" t="s">
        <v>68</v>
      </c>
      <c r="K5" s="12" t="s">
        <v>69</v>
      </c>
      <c r="L5" s="12" t="s">
        <v>70</v>
      </c>
      <c r="M5" s="12" t="s">
        <v>71</v>
      </c>
      <c r="N5" s="12" t="s">
        <v>7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28.8" hidden="false" customHeight="true" outlineLevel="0" collapsed="false">
      <c r="A6" s="12" t="s">
        <v>65</v>
      </c>
      <c r="B6" s="12" t="n">
        <v>2</v>
      </c>
      <c r="C6" s="13" t="n">
        <v>86.54</v>
      </c>
      <c r="D6" s="13" t="n">
        <v>23</v>
      </c>
      <c r="E6" s="13" t="n">
        <v>23.46</v>
      </c>
      <c r="F6" s="13" t="n">
        <v>23</v>
      </c>
      <c r="G6" s="12" t="s">
        <v>66</v>
      </c>
      <c r="H6" s="13" t="n">
        <v>2.54</v>
      </c>
      <c r="I6" s="12" t="s">
        <v>72</v>
      </c>
      <c r="J6" s="12" t="s">
        <v>73</v>
      </c>
      <c r="K6" s="12" t="s">
        <v>74</v>
      </c>
      <c r="L6" s="12" t="s">
        <v>75</v>
      </c>
      <c r="M6" s="12" t="s">
        <v>76</v>
      </c>
      <c r="N6" s="12" t="s">
        <v>7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28.8" hidden="false" customHeight="true" outlineLevel="0" collapsed="false">
      <c r="A7" s="12" t="s">
        <v>65</v>
      </c>
      <c r="B7" s="12" t="n">
        <v>3</v>
      </c>
      <c r="C7" s="13" t="n">
        <v>89.08</v>
      </c>
      <c r="D7" s="13" t="n">
        <v>23</v>
      </c>
      <c r="E7" s="13" t="n">
        <v>20.92</v>
      </c>
      <c r="F7" s="13" t="n">
        <v>23</v>
      </c>
      <c r="G7" s="12" t="s">
        <v>66</v>
      </c>
      <c r="H7" s="13" t="n">
        <v>2.54</v>
      </c>
      <c r="I7" s="12" t="s">
        <v>77</v>
      </c>
      <c r="J7" s="12" t="s">
        <v>78</v>
      </c>
      <c r="K7" s="12" t="s">
        <v>79</v>
      </c>
      <c r="L7" s="12" t="s">
        <v>80</v>
      </c>
      <c r="M7" s="12" t="s">
        <v>81</v>
      </c>
      <c r="N7" s="12" t="s">
        <v>7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customFormat="false" ht="28.8" hidden="false" customHeight="true" outlineLevel="0" collapsed="false">
      <c r="A8" s="12" t="s">
        <v>65</v>
      </c>
      <c r="B8" s="12" t="n">
        <v>4</v>
      </c>
      <c r="C8" s="13" t="n">
        <v>91.62</v>
      </c>
      <c r="D8" s="13" t="n">
        <v>23</v>
      </c>
      <c r="E8" s="13" t="n">
        <v>18.38</v>
      </c>
      <c r="F8" s="13" t="n">
        <v>23</v>
      </c>
      <c r="G8" s="12" t="s">
        <v>66</v>
      </c>
      <c r="H8" s="13" t="n">
        <v>2.54</v>
      </c>
      <c r="I8" s="12" t="s">
        <v>82</v>
      </c>
      <c r="J8" s="12" t="s">
        <v>83</v>
      </c>
      <c r="K8" s="12" t="s">
        <v>82</v>
      </c>
      <c r="L8" s="12" t="s">
        <v>84</v>
      </c>
      <c r="M8" s="12" t="s">
        <v>85</v>
      </c>
      <c r="N8" s="12" t="s">
        <v>7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customFormat="false" ht="28.8" hidden="false" customHeight="true" outlineLevel="0" collapsed="false">
      <c r="A9" s="12" t="s">
        <v>86</v>
      </c>
      <c r="B9" s="12" t="n">
        <v>1</v>
      </c>
      <c r="C9" s="13" t="n">
        <v>47</v>
      </c>
      <c r="D9" s="13" t="n">
        <v>30</v>
      </c>
      <c r="E9" s="13" t="n">
        <v>63</v>
      </c>
      <c r="F9" s="13" t="n">
        <v>30</v>
      </c>
      <c r="G9" s="12" t="s">
        <v>66</v>
      </c>
      <c r="H9" s="13" t="n">
        <v>2.54</v>
      </c>
      <c r="I9" s="12" t="s">
        <v>87</v>
      </c>
      <c r="J9" s="12" t="s">
        <v>88</v>
      </c>
      <c r="K9" s="12" t="s">
        <v>89</v>
      </c>
      <c r="L9" s="12" t="s">
        <v>90</v>
      </c>
      <c r="M9" s="12" t="s">
        <v>71</v>
      </c>
      <c r="N9" s="12" t="s">
        <v>7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customFormat="false" ht="28.8" hidden="false" customHeight="true" outlineLevel="0" collapsed="false">
      <c r="A10" s="12" t="s">
        <v>86</v>
      </c>
      <c r="B10" s="12" t="n">
        <v>2</v>
      </c>
      <c r="C10" s="13" t="n">
        <v>49.54</v>
      </c>
      <c r="D10" s="13" t="n">
        <v>30</v>
      </c>
      <c r="E10" s="13" t="n">
        <v>60.46</v>
      </c>
      <c r="F10" s="13" t="n">
        <v>30</v>
      </c>
      <c r="G10" s="12" t="s">
        <v>66</v>
      </c>
      <c r="H10" s="13" t="n">
        <v>2.54</v>
      </c>
      <c r="I10" s="12" t="s">
        <v>91</v>
      </c>
      <c r="J10" s="12" t="s">
        <v>92</v>
      </c>
      <c r="K10" s="12" t="s">
        <v>93</v>
      </c>
      <c r="L10" s="12" t="s">
        <v>94</v>
      </c>
      <c r="M10" s="12" t="s">
        <v>76</v>
      </c>
      <c r="N10" s="12" t="s">
        <v>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customFormat="false" ht="28.8" hidden="false" customHeight="true" outlineLevel="0" collapsed="false">
      <c r="A11" s="12" t="s">
        <v>86</v>
      </c>
      <c r="B11" s="12" t="n">
        <v>3</v>
      </c>
      <c r="C11" s="13" t="n">
        <v>52.08</v>
      </c>
      <c r="D11" s="13" t="n">
        <v>30</v>
      </c>
      <c r="E11" s="13" t="n">
        <v>57.92</v>
      </c>
      <c r="F11" s="13" t="n">
        <v>30</v>
      </c>
      <c r="G11" s="12" t="s">
        <v>66</v>
      </c>
      <c r="H11" s="13" t="n">
        <v>2.54</v>
      </c>
      <c r="I11" s="12" t="s">
        <v>95</v>
      </c>
      <c r="J11" s="12" t="s">
        <v>96</v>
      </c>
      <c r="K11" s="12" t="s">
        <v>97</v>
      </c>
      <c r="L11" s="12" t="s">
        <v>98</v>
      </c>
      <c r="M11" s="12" t="s">
        <v>81</v>
      </c>
      <c r="N11" s="12" t="s"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43.2" hidden="false" customHeight="true" outlineLevel="0" collapsed="false">
      <c r="A12" s="12" t="s">
        <v>86</v>
      </c>
      <c r="B12" s="12" t="n">
        <v>4</v>
      </c>
      <c r="C12" s="13" t="n">
        <v>54.62</v>
      </c>
      <c r="D12" s="13" t="n">
        <v>30</v>
      </c>
      <c r="E12" s="13" t="n">
        <v>55.38</v>
      </c>
      <c r="F12" s="13" t="n">
        <v>30</v>
      </c>
      <c r="G12" s="12" t="s">
        <v>66</v>
      </c>
      <c r="H12" s="13" t="n">
        <v>2.54</v>
      </c>
      <c r="I12" s="12" t="s">
        <v>99</v>
      </c>
      <c r="J12" s="12" t="s">
        <v>96</v>
      </c>
      <c r="K12" s="12" t="s">
        <v>100</v>
      </c>
      <c r="L12" s="12" t="s">
        <v>101</v>
      </c>
      <c r="M12" s="12" t="s">
        <v>102</v>
      </c>
      <c r="N12" s="12" t="s">
        <v>7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5" hidden="false" customHeight="true" outlineLevel="0" collapsed="false">
      <c r="A13" s="12" t="s">
        <v>86</v>
      </c>
      <c r="B13" s="12" t="n">
        <v>5</v>
      </c>
      <c r="C13" s="13" t="n">
        <v>57.16</v>
      </c>
      <c r="D13" s="13" t="n">
        <v>30</v>
      </c>
      <c r="E13" s="13" t="n">
        <v>52.84</v>
      </c>
      <c r="F13" s="13" t="n">
        <v>30</v>
      </c>
      <c r="G13" s="12" t="s">
        <v>66</v>
      </c>
      <c r="H13" s="13" t="n">
        <v>2.54</v>
      </c>
      <c r="I13" s="12" t="s">
        <v>82</v>
      </c>
      <c r="J13" s="12" t="s">
        <v>83</v>
      </c>
      <c r="K13" s="12" t="s">
        <v>103</v>
      </c>
      <c r="L13" s="12" t="s">
        <v>104</v>
      </c>
      <c r="M13" s="12" t="s">
        <v>85</v>
      </c>
      <c r="N13" s="12" t="s">
        <v>7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43.2" hidden="false" customHeight="true" outlineLevel="0" collapsed="false">
      <c r="A14" s="12" t="s">
        <v>105</v>
      </c>
      <c r="B14" s="12" t="n">
        <v>1</v>
      </c>
      <c r="C14" s="13" t="n">
        <v>33</v>
      </c>
      <c r="D14" s="13" t="n">
        <v>30</v>
      </c>
      <c r="E14" s="13" t="n">
        <v>77</v>
      </c>
      <c r="F14" s="13" t="n">
        <v>30</v>
      </c>
      <c r="G14" s="12" t="s">
        <v>66</v>
      </c>
      <c r="H14" s="13" t="n">
        <v>2.54</v>
      </c>
      <c r="I14" s="12" t="s">
        <v>106</v>
      </c>
      <c r="J14" s="12" t="s">
        <v>107</v>
      </c>
      <c r="K14" s="12" t="s">
        <v>108</v>
      </c>
      <c r="L14" s="12" t="s">
        <v>109</v>
      </c>
      <c r="M14" s="12" t="s">
        <v>110</v>
      </c>
      <c r="N14" s="12" t="s">
        <v>7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28.8" hidden="false" customHeight="true" outlineLevel="0" collapsed="false">
      <c r="A15" s="12" t="s">
        <v>105</v>
      </c>
      <c r="B15" s="12" t="n">
        <v>2</v>
      </c>
      <c r="C15" s="13" t="n">
        <v>35.54</v>
      </c>
      <c r="D15" s="13" t="n">
        <v>30</v>
      </c>
      <c r="E15" s="13" t="n">
        <v>74.46</v>
      </c>
      <c r="F15" s="13" t="n">
        <v>30</v>
      </c>
      <c r="G15" s="12" t="s">
        <v>66</v>
      </c>
      <c r="H15" s="13" t="n">
        <v>2.54</v>
      </c>
      <c r="I15" s="12" t="s">
        <v>111</v>
      </c>
      <c r="J15" s="12" t="s">
        <v>112</v>
      </c>
      <c r="K15" s="12" t="s">
        <v>113</v>
      </c>
      <c r="L15" s="12" t="s">
        <v>114</v>
      </c>
      <c r="M15" s="12" t="s">
        <v>76</v>
      </c>
      <c r="N15" s="12" t="s">
        <v>7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28.8" hidden="false" customHeight="true" outlineLevel="0" collapsed="false">
      <c r="A16" s="12" t="s">
        <v>105</v>
      </c>
      <c r="B16" s="12" t="n">
        <v>3</v>
      </c>
      <c r="C16" s="13" t="n">
        <v>38.08</v>
      </c>
      <c r="D16" s="13" t="n">
        <v>30</v>
      </c>
      <c r="E16" s="13" t="n">
        <v>71.92</v>
      </c>
      <c r="F16" s="13" t="n">
        <v>30</v>
      </c>
      <c r="G16" s="12" t="s">
        <v>66</v>
      </c>
      <c r="H16" s="13" t="n">
        <v>2.54</v>
      </c>
      <c r="I16" s="12" t="s">
        <v>115</v>
      </c>
      <c r="J16" s="12" t="s">
        <v>112</v>
      </c>
      <c r="K16" s="12" t="s">
        <v>116</v>
      </c>
      <c r="L16" s="12" t="s">
        <v>117</v>
      </c>
      <c r="M16" s="12" t="s">
        <v>76</v>
      </c>
      <c r="N16" s="12" t="s">
        <v>7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true" outlineLevel="0" collapsed="false">
      <c r="A17" s="12" t="s">
        <v>105</v>
      </c>
      <c r="B17" s="12" t="n">
        <v>4</v>
      </c>
      <c r="C17" s="13" t="n">
        <v>40.62</v>
      </c>
      <c r="D17" s="13" t="n">
        <v>30</v>
      </c>
      <c r="E17" s="13" t="n">
        <v>69.38</v>
      </c>
      <c r="F17" s="13" t="n">
        <v>30</v>
      </c>
      <c r="G17" s="12" t="s">
        <v>66</v>
      </c>
      <c r="H17" s="13" t="n">
        <v>2.54</v>
      </c>
      <c r="I17" s="12" t="s">
        <v>82</v>
      </c>
      <c r="J17" s="12" t="s">
        <v>83</v>
      </c>
      <c r="K17" s="12" t="s">
        <v>103</v>
      </c>
      <c r="L17" s="12" t="s">
        <v>104</v>
      </c>
      <c r="M17" s="12" t="s">
        <v>85</v>
      </c>
      <c r="N17" s="12" t="s">
        <v>7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true" outlineLevel="0" collapsed="false">
      <c r="A18" s="12" t="s">
        <v>118</v>
      </c>
      <c r="B18" s="12" t="n">
        <v>1</v>
      </c>
      <c r="C18" s="13" t="n">
        <v>33</v>
      </c>
      <c r="D18" s="13" t="n">
        <v>23</v>
      </c>
      <c r="E18" s="13" t="n">
        <v>77</v>
      </c>
      <c r="F18" s="13" t="n">
        <v>23</v>
      </c>
      <c r="G18" s="12" t="s">
        <v>66</v>
      </c>
      <c r="H18" s="13" t="n">
        <v>2.54</v>
      </c>
      <c r="I18" s="12" t="s">
        <v>82</v>
      </c>
      <c r="J18" s="12" t="s">
        <v>83</v>
      </c>
      <c r="K18" s="12" t="s">
        <v>82</v>
      </c>
      <c r="L18" s="12" t="s">
        <v>119</v>
      </c>
      <c r="M18" s="12" t="s">
        <v>85</v>
      </c>
      <c r="N18" s="12" t="s">
        <v>7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28.8" hidden="false" customHeight="true" outlineLevel="0" collapsed="false">
      <c r="A19" s="12" t="s">
        <v>118</v>
      </c>
      <c r="B19" s="12" t="n">
        <v>2</v>
      </c>
      <c r="C19" s="13" t="n">
        <v>35.54</v>
      </c>
      <c r="D19" s="13" t="n">
        <v>23</v>
      </c>
      <c r="E19" s="13" t="n">
        <v>74.46</v>
      </c>
      <c r="F19" s="13" t="n">
        <v>23</v>
      </c>
      <c r="G19" s="12" t="s">
        <v>66</v>
      </c>
      <c r="H19" s="13" t="n">
        <v>2.54</v>
      </c>
      <c r="I19" s="12" t="s">
        <v>120</v>
      </c>
      <c r="J19" s="12" t="s">
        <v>88</v>
      </c>
      <c r="K19" s="12" t="s">
        <v>69</v>
      </c>
      <c r="L19" s="12" t="s">
        <v>121</v>
      </c>
      <c r="M19" s="12" t="s">
        <v>71</v>
      </c>
      <c r="N19" s="12" t="s">
        <v>7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28.8" hidden="false" customHeight="true" outlineLevel="0" collapsed="false">
      <c r="A20" s="12" t="s">
        <v>118</v>
      </c>
      <c r="B20" s="12" t="n">
        <v>3</v>
      </c>
      <c r="C20" s="13" t="n">
        <v>38.08</v>
      </c>
      <c r="D20" s="13" t="n">
        <v>23</v>
      </c>
      <c r="E20" s="13" t="n">
        <v>71.92</v>
      </c>
      <c r="F20" s="13" t="n">
        <v>23</v>
      </c>
      <c r="G20" s="12" t="s">
        <v>66</v>
      </c>
      <c r="H20" s="13" t="n">
        <v>2.54</v>
      </c>
      <c r="I20" s="12" t="s">
        <v>122</v>
      </c>
      <c r="J20" s="12" t="s">
        <v>88</v>
      </c>
      <c r="K20" s="12" t="s">
        <v>123</v>
      </c>
      <c r="L20" s="12" t="s">
        <v>121</v>
      </c>
      <c r="M20" s="12" t="s">
        <v>71</v>
      </c>
      <c r="N20" s="12" t="s">
        <v>7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28.8" hidden="false" customHeight="true" outlineLevel="0" collapsed="false">
      <c r="A21" s="12" t="s">
        <v>118</v>
      </c>
      <c r="B21" s="12" t="n">
        <v>4</v>
      </c>
      <c r="C21" s="13" t="n">
        <v>40.62</v>
      </c>
      <c r="D21" s="13" t="n">
        <v>23</v>
      </c>
      <c r="E21" s="13" t="n">
        <v>69.38</v>
      </c>
      <c r="F21" s="13" t="n">
        <v>23</v>
      </c>
      <c r="G21" s="12" t="s">
        <v>66</v>
      </c>
      <c r="H21" s="13" t="n">
        <v>2.54</v>
      </c>
      <c r="I21" s="12" t="s">
        <v>124</v>
      </c>
      <c r="J21" s="12" t="s">
        <v>88</v>
      </c>
      <c r="K21" s="12" t="s">
        <v>125</v>
      </c>
      <c r="L21" s="12" t="s">
        <v>121</v>
      </c>
      <c r="M21" s="12" t="s">
        <v>71</v>
      </c>
      <c r="N21" s="12" t="s">
        <v>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28.8" hidden="false" customHeight="true" outlineLevel="0" collapsed="false">
      <c r="A22" s="12" t="s">
        <v>118</v>
      </c>
      <c r="B22" s="12" t="n">
        <v>5</v>
      </c>
      <c r="C22" s="13" t="n">
        <v>43.16</v>
      </c>
      <c r="D22" s="13" t="n">
        <v>23</v>
      </c>
      <c r="E22" s="13" t="n">
        <v>66.84</v>
      </c>
      <c r="F22" s="13" t="n">
        <v>23</v>
      </c>
      <c r="G22" s="12" t="s">
        <v>66</v>
      </c>
      <c r="H22" s="13" t="n">
        <v>2.54</v>
      </c>
      <c r="I22" s="12" t="s">
        <v>91</v>
      </c>
      <c r="J22" s="12" t="s">
        <v>92</v>
      </c>
      <c r="K22" s="12" t="s">
        <v>126</v>
      </c>
      <c r="L22" s="12" t="s">
        <v>127</v>
      </c>
      <c r="M22" s="12" t="s">
        <v>76</v>
      </c>
      <c r="N22" s="12" t="s">
        <v>7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28.8" hidden="false" customHeight="true" outlineLevel="0" collapsed="false">
      <c r="A23" s="12" t="s">
        <v>118</v>
      </c>
      <c r="B23" s="12" t="n">
        <v>6</v>
      </c>
      <c r="C23" s="13" t="n">
        <v>45.7</v>
      </c>
      <c r="D23" s="13" t="n">
        <v>23</v>
      </c>
      <c r="E23" s="13" t="n">
        <v>64.3</v>
      </c>
      <c r="F23" s="13" t="n">
        <v>23</v>
      </c>
      <c r="G23" s="12" t="s">
        <v>66</v>
      </c>
      <c r="H23" s="13" t="n">
        <v>2.54</v>
      </c>
      <c r="I23" s="12" t="s">
        <v>95</v>
      </c>
      <c r="J23" s="12" t="s">
        <v>96</v>
      </c>
      <c r="K23" s="12" t="s">
        <v>128</v>
      </c>
      <c r="L23" s="12" t="s">
        <v>129</v>
      </c>
      <c r="M23" s="12" t="s">
        <v>81</v>
      </c>
      <c r="N23" s="12" t="s">
        <v>7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28.8" hidden="false" customHeight="true" outlineLevel="0" collapsed="false">
      <c r="A24" s="12" t="s">
        <v>118</v>
      </c>
      <c r="B24" s="12" t="n">
        <v>7</v>
      </c>
      <c r="C24" s="13" t="n">
        <v>48.24</v>
      </c>
      <c r="D24" s="13" t="n">
        <v>23</v>
      </c>
      <c r="E24" s="13" t="n">
        <v>61.76</v>
      </c>
      <c r="F24" s="13" t="n">
        <v>23</v>
      </c>
      <c r="G24" s="12" t="s">
        <v>66</v>
      </c>
      <c r="H24" s="13" t="n">
        <v>2.54</v>
      </c>
      <c r="I24" s="12" t="s">
        <v>130</v>
      </c>
      <c r="J24" s="12" t="s">
        <v>88</v>
      </c>
      <c r="K24" s="12" t="s">
        <v>130</v>
      </c>
      <c r="L24" s="12" t="s">
        <v>131</v>
      </c>
      <c r="M24" s="12" t="s">
        <v>71</v>
      </c>
      <c r="N24" s="12" t="s">
        <v>7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28.8" hidden="false" customHeight="true" outlineLevel="0" collapsed="false">
      <c r="A25" s="12" t="s">
        <v>118</v>
      </c>
      <c r="B25" s="12" t="n">
        <v>8</v>
      </c>
      <c r="C25" s="13" t="n">
        <v>50.78</v>
      </c>
      <c r="D25" s="13" t="n">
        <v>23</v>
      </c>
      <c r="E25" s="13" t="n">
        <v>59.22</v>
      </c>
      <c r="F25" s="13" t="n">
        <v>23</v>
      </c>
      <c r="G25" s="12" t="s">
        <v>66</v>
      </c>
      <c r="H25" s="13" t="n">
        <v>2.54</v>
      </c>
      <c r="I25" s="12" t="s">
        <v>132</v>
      </c>
      <c r="J25" s="12" t="s">
        <v>88</v>
      </c>
      <c r="K25" s="12" t="s">
        <v>132</v>
      </c>
      <c r="L25" s="12" t="s">
        <v>133</v>
      </c>
      <c r="M25" s="12" t="s">
        <v>71</v>
      </c>
      <c r="N25" s="12" t="s">
        <v>7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28.8" hidden="false" customHeight="true" outlineLevel="0" collapsed="false">
      <c r="A26" s="12" t="s">
        <v>118</v>
      </c>
      <c r="B26" s="12" t="n">
        <v>9</v>
      </c>
      <c r="C26" s="13" t="n">
        <v>53.32</v>
      </c>
      <c r="D26" s="13" t="n">
        <v>23</v>
      </c>
      <c r="E26" s="13" t="n">
        <v>56.68</v>
      </c>
      <c r="F26" s="13" t="n">
        <v>23</v>
      </c>
      <c r="G26" s="12" t="s">
        <v>66</v>
      </c>
      <c r="H26" s="13" t="n">
        <v>2.54</v>
      </c>
      <c r="I26" s="12" t="s">
        <v>134</v>
      </c>
      <c r="J26" s="12" t="s">
        <v>96</v>
      </c>
      <c r="K26" s="12" t="s">
        <v>134</v>
      </c>
      <c r="L26" s="12" t="s">
        <v>135</v>
      </c>
      <c r="M26" s="12" t="s">
        <v>136</v>
      </c>
      <c r="N26" s="12" t="s">
        <v>7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true" outlineLevel="0" collapsed="false">
      <c r="A27" s="12" t="s">
        <v>118</v>
      </c>
      <c r="B27" s="12" t="n">
        <v>10</v>
      </c>
      <c r="C27" s="13" t="n">
        <v>55.86</v>
      </c>
      <c r="D27" s="13" t="n">
        <v>23</v>
      </c>
      <c r="E27" s="13" t="n">
        <v>54.14</v>
      </c>
      <c r="F27" s="13" t="n">
        <v>23</v>
      </c>
      <c r="G27" s="12" t="s">
        <v>66</v>
      </c>
      <c r="H27" s="13" t="n">
        <v>2.54</v>
      </c>
      <c r="I27" s="12" t="s">
        <v>137</v>
      </c>
      <c r="J27" s="12" t="s">
        <v>88</v>
      </c>
      <c r="K27" s="12" t="s">
        <v>138</v>
      </c>
      <c r="L27" s="12" t="s">
        <v>139</v>
      </c>
      <c r="M27" s="12" t="s">
        <v>71</v>
      </c>
      <c r="N27" s="12" t="s">
        <v>7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true" outlineLevel="0" collapsed="false">
      <c r="A28" s="12" t="s">
        <v>118</v>
      </c>
      <c r="B28" s="12" t="n">
        <v>11</v>
      </c>
      <c r="C28" s="13" t="n">
        <v>58.4</v>
      </c>
      <c r="D28" s="13" t="n">
        <v>23</v>
      </c>
      <c r="E28" s="13" t="n">
        <v>51.6</v>
      </c>
      <c r="F28" s="13" t="n">
        <v>23</v>
      </c>
      <c r="G28" s="12" t="s">
        <v>66</v>
      </c>
      <c r="H28" s="13" t="n">
        <v>2.54</v>
      </c>
      <c r="I28" s="12" t="s">
        <v>140</v>
      </c>
      <c r="J28" s="12" t="s">
        <v>88</v>
      </c>
      <c r="K28" s="12" t="s">
        <v>141</v>
      </c>
      <c r="L28" s="12" t="s">
        <v>142</v>
      </c>
      <c r="M28" s="12" t="s">
        <v>71</v>
      </c>
      <c r="N28" s="12" t="s">
        <v>7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28.8" hidden="false" customHeight="true" outlineLevel="0" collapsed="false">
      <c r="A29" s="12" t="s">
        <v>118</v>
      </c>
      <c r="B29" s="12" t="n">
        <v>12</v>
      </c>
      <c r="C29" s="13" t="n">
        <v>60.94</v>
      </c>
      <c r="D29" s="13" t="n">
        <v>23</v>
      </c>
      <c r="E29" s="13" t="n">
        <v>49.06</v>
      </c>
      <c r="F29" s="13" t="n">
        <v>23</v>
      </c>
      <c r="G29" s="12" t="s">
        <v>66</v>
      </c>
      <c r="H29" s="13" t="n">
        <v>2.54</v>
      </c>
      <c r="I29" s="12" t="s">
        <v>143</v>
      </c>
      <c r="J29" s="12" t="s">
        <v>144</v>
      </c>
      <c r="K29" s="12" t="s">
        <v>145</v>
      </c>
      <c r="L29" s="12" t="s">
        <v>146</v>
      </c>
      <c r="M29" s="12" t="s">
        <v>147</v>
      </c>
      <c r="N29" s="12" t="s">
        <v>7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28.8" hidden="false" customHeight="true" outlineLevel="0" collapsed="false">
      <c r="A30" s="12" t="s">
        <v>118</v>
      </c>
      <c r="B30" s="12" t="n">
        <v>13</v>
      </c>
      <c r="C30" s="13" t="n">
        <v>63.48</v>
      </c>
      <c r="D30" s="13" t="n">
        <v>23</v>
      </c>
      <c r="E30" s="13" t="n">
        <v>46.52</v>
      </c>
      <c r="F30" s="13" t="n">
        <v>23</v>
      </c>
      <c r="G30" s="12" t="s">
        <v>66</v>
      </c>
      <c r="H30" s="13" t="n">
        <v>2.54</v>
      </c>
      <c r="I30" s="12" t="s">
        <v>148</v>
      </c>
      <c r="J30" s="12" t="s">
        <v>144</v>
      </c>
      <c r="K30" s="12" t="s">
        <v>149</v>
      </c>
      <c r="L30" s="12" t="s">
        <v>150</v>
      </c>
      <c r="M30" s="12" t="s">
        <v>147</v>
      </c>
      <c r="N30" s="12" t="s">
        <v>7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28.8" hidden="false" customHeight="true" outlineLevel="0" collapsed="false">
      <c r="A31" s="12" t="s">
        <v>151</v>
      </c>
      <c r="B31" s="12" t="n">
        <v>1</v>
      </c>
      <c r="C31" s="13" t="n">
        <v>69</v>
      </c>
      <c r="D31" s="13" t="n">
        <v>23</v>
      </c>
      <c r="E31" s="13" t="n">
        <v>41</v>
      </c>
      <c r="F31" s="13" t="n">
        <v>23</v>
      </c>
      <c r="G31" s="12" t="s">
        <v>66</v>
      </c>
      <c r="H31" s="13" t="n">
        <v>2.54</v>
      </c>
      <c r="I31" s="12" t="s">
        <v>67</v>
      </c>
      <c r="J31" s="12" t="s">
        <v>88</v>
      </c>
      <c r="K31" s="12" t="s">
        <v>69</v>
      </c>
      <c r="L31" s="12" t="s">
        <v>152</v>
      </c>
      <c r="M31" s="12" t="s">
        <v>71</v>
      </c>
      <c r="N31" s="12" t="s">
        <v>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28.8" hidden="false" customHeight="true" outlineLevel="0" collapsed="false">
      <c r="A32" s="12" t="s">
        <v>151</v>
      </c>
      <c r="B32" s="12" t="n">
        <v>2</v>
      </c>
      <c r="C32" s="13" t="n">
        <v>71.54</v>
      </c>
      <c r="D32" s="13" t="n">
        <v>23</v>
      </c>
      <c r="E32" s="13" t="n">
        <v>38.46</v>
      </c>
      <c r="F32" s="13" t="n">
        <v>23</v>
      </c>
      <c r="G32" s="12" t="s">
        <v>66</v>
      </c>
      <c r="H32" s="13" t="n">
        <v>2.54</v>
      </c>
      <c r="I32" s="12" t="s">
        <v>72</v>
      </c>
      <c r="J32" s="12" t="s">
        <v>112</v>
      </c>
      <c r="K32" s="12" t="s">
        <v>72</v>
      </c>
      <c r="L32" s="12" t="s">
        <v>153</v>
      </c>
      <c r="M32" s="12" t="s">
        <v>76</v>
      </c>
      <c r="N32" s="12" t="s">
        <v>7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28.8" hidden="false" customHeight="true" outlineLevel="0" collapsed="false">
      <c r="A33" s="12" t="s">
        <v>151</v>
      </c>
      <c r="B33" s="12" t="n">
        <v>3</v>
      </c>
      <c r="C33" s="13" t="n">
        <v>74.08</v>
      </c>
      <c r="D33" s="13" t="n">
        <v>23</v>
      </c>
      <c r="E33" s="13" t="n">
        <v>35.92</v>
      </c>
      <c r="F33" s="13" t="n">
        <v>23</v>
      </c>
      <c r="G33" s="12" t="s">
        <v>66</v>
      </c>
      <c r="H33" s="13" t="n">
        <v>2.54</v>
      </c>
      <c r="I33" s="12" t="s">
        <v>154</v>
      </c>
      <c r="J33" s="12" t="s">
        <v>96</v>
      </c>
      <c r="K33" s="12" t="s">
        <v>154</v>
      </c>
      <c r="L33" s="12" t="s">
        <v>155</v>
      </c>
      <c r="M33" s="12" t="s">
        <v>81</v>
      </c>
      <c r="N33" s="12" t="s">
        <v>7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28.8" hidden="false" customHeight="true" outlineLevel="0" collapsed="false">
      <c r="A34" s="12" t="s">
        <v>151</v>
      </c>
      <c r="B34" s="12" t="n">
        <v>4</v>
      </c>
      <c r="C34" s="13" t="n">
        <v>76.62</v>
      </c>
      <c r="D34" s="13" t="n">
        <v>23</v>
      </c>
      <c r="E34" s="13" t="n">
        <v>33.38</v>
      </c>
      <c r="F34" s="13" t="n">
        <v>23</v>
      </c>
      <c r="G34" s="12" t="s">
        <v>66</v>
      </c>
      <c r="H34" s="13" t="n">
        <v>2.54</v>
      </c>
      <c r="I34" s="12" t="s">
        <v>156</v>
      </c>
      <c r="J34" s="12" t="s">
        <v>112</v>
      </c>
      <c r="K34" s="12" t="s">
        <v>156</v>
      </c>
      <c r="L34" s="12" t="s">
        <v>157</v>
      </c>
      <c r="M34" s="12" t="s">
        <v>76</v>
      </c>
      <c r="N34" s="12" t="s">
        <v>7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" hidden="false" customHeight="true" outlineLevel="0" collapsed="false">
      <c r="A35" s="12" t="s">
        <v>151</v>
      </c>
      <c r="B35" s="12" t="n">
        <v>5</v>
      </c>
      <c r="C35" s="13" t="n">
        <v>79.16</v>
      </c>
      <c r="D35" s="13" t="n">
        <v>23</v>
      </c>
      <c r="E35" s="13" t="n">
        <v>30.84</v>
      </c>
      <c r="F35" s="13" t="n">
        <v>23</v>
      </c>
      <c r="G35" s="12" t="s">
        <v>66</v>
      </c>
      <c r="H35" s="13" t="n">
        <v>2.54</v>
      </c>
      <c r="I35" s="12" t="s">
        <v>82</v>
      </c>
      <c r="J35" s="12" t="s">
        <v>83</v>
      </c>
      <c r="K35" s="12" t="s">
        <v>82</v>
      </c>
      <c r="L35" s="12" t="s">
        <v>158</v>
      </c>
      <c r="M35" s="12" t="s">
        <v>85</v>
      </c>
      <c r="N35" s="12" t="s">
        <v>7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</sheetData>
  <mergeCells count="1">
    <mergeCell ref="A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2.8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9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7" min="6" style="0" width="56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46"/>
    <col collapsed="false" customWidth="true" hidden="false" outlineLevel="0" max="11" min="11" style="0" width="28"/>
    <col collapsed="false" customWidth="true" hidden="false" outlineLevel="0" max="13" min="12" style="0" width="16"/>
    <col collapsed="false" customWidth="true" hidden="false" outlineLevel="0" max="14" min="14" style="0" width="24"/>
    <col collapsed="false" customWidth="true" hidden="false" outlineLevel="0" max="15" min="15" style="0" width="18"/>
    <col collapsed="false" customWidth="true" hidden="false" outlineLevel="0" max="16" min="16" style="0" width="30"/>
    <col collapsed="false" customWidth="true" hidden="false" outlineLevel="0" max="17" min="17" style="0" width="24"/>
    <col collapsed="false" customWidth="true" hidden="false" outlineLevel="0" max="18" min="18" style="0" width="18"/>
    <col collapsed="false" customWidth="true" hidden="false" outlineLevel="0" max="19" min="19" style="0" width="36"/>
    <col collapsed="false" customWidth="true" hidden="false" outlineLevel="0" max="20" min="20" style="0" width="24"/>
    <col collapsed="false" customWidth="true" hidden="false" outlineLevel="0" max="22" min="21" style="0" width="20"/>
    <col collapsed="false" customWidth="true" hidden="false" outlineLevel="0" max="23" min="23" style="0" width="22"/>
    <col collapsed="false" customWidth="true" hidden="false" outlineLevel="0" max="24" min="24" style="0" width="15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1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2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true" outlineLevel="0" collapsed="false">
      <c r="A4" s="11" t="s">
        <v>160</v>
      </c>
      <c r="B4" s="11" t="s">
        <v>161</v>
      </c>
      <c r="C4" s="11" t="s">
        <v>162</v>
      </c>
      <c r="D4" s="11" t="s">
        <v>163</v>
      </c>
      <c r="E4" s="11" t="s">
        <v>164</v>
      </c>
      <c r="F4" s="11" t="s">
        <v>165</v>
      </c>
      <c r="G4" s="11" t="s">
        <v>166</v>
      </c>
      <c r="H4" s="11" t="s">
        <v>167</v>
      </c>
      <c r="I4" s="11" t="s">
        <v>168</v>
      </c>
      <c r="J4" s="11" t="s">
        <v>169</v>
      </c>
      <c r="K4" s="11" t="s">
        <v>170</v>
      </c>
      <c r="L4" s="11" t="s">
        <v>171</v>
      </c>
      <c r="M4" s="11" t="s">
        <v>172</v>
      </c>
      <c r="N4" s="11" t="s">
        <v>173</v>
      </c>
      <c r="O4" s="11" t="s">
        <v>174</v>
      </c>
      <c r="P4" s="11" t="s">
        <v>175</v>
      </c>
      <c r="Q4" s="11" t="s">
        <v>176</v>
      </c>
      <c r="R4" s="11" t="s">
        <v>177</v>
      </c>
      <c r="S4" s="11" t="s">
        <v>178</v>
      </c>
      <c r="T4" s="11" t="s">
        <v>179</v>
      </c>
      <c r="U4" s="11" t="s">
        <v>180</v>
      </c>
      <c r="V4" s="11" t="s">
        <v>29</v>
      </c>
      <c r="W4" s="11" t="s">
        <v>181</v>
      </c>
      <c r="X4" s="11" t="s">
        <v>64</v>
      </c>
      <c r="Y4" s="11" t="s">
        <v>182</v>
      </c>
      <c r="Z4" s="11" t="s">
        <v>183</v>
      </c>
      <c r="AA4" s="11" t="s">
        <v>184</v>
      </c>
    </row>
    <row r="5" customFormat="false" ht="28.8" hidden="false" customHeight="true" outlineLevel="0" collapsed="false">
      <c r="A5" s="12" t="n">
        <v>10</v>
      </c>
      <c r="B5" s="12" t="s">
        <v>185</v>
      </c>
      <c r="C5" s="12" t="s">
        <v>186</v>
      </c>
      <c r="D5" s="12"/>
      <c r="E5" s="12"/>
      <c r="F5" s="12" t="s">
        <v>187</v>
      </c>
      <c r="G5" s="12" t="s">
        <v>188</v>
      </c>
      <c r="H5" s="12" t="s">
        <v>189</v>
      </c>
      <c r="I5" s="12"/>
      <c r="J5" s="12"/>
      <c r="K5" s="14" t="s">
        <v>190</v>
      </c>
      <c r="L5" s="14"/>
      <c r="M5" s="14"/>
      <c r="N5" s="14" t="s">
        <v>191</v>
      </c>
      <c r="O5" s="14"/>
      <c r="P5" s="14"/>
      <c r="Q5" s="14"/>
      <c r="R5" s="14"/>
      <c r="S5" s="14"/>
      <c r="T5" s="14"/>
      <c r="U5" s="14"/>
      <c r="V5" s="14"/>
      <c r="W5" s="14"/>
      <c r="X5" s="14" t="s">
        <v>7</v>
      </c>
      <c r="Y5" s="14"/>
      <c r="Z5" s="14"/>
      <c r="AA5" s="12" t="str">
        <f aca="false">IF(X5&lt;&gt;"PASS","NOT_PASS",IF(OR(ISNUMBER(SEARCH("OPEN",K5)),ISNUMBER(SEARCH("PARTIAL",K5))),"LIMIT_OPEN",IF(AND(OR(L5&lt;&gt;"",M5&lt;&gt;"",N5&lt;&gt;""),OR(O5&lt;&gt;"",P5&lt;&gt;""),Q5&lt;&gt;"",R5&lt;&gt;"",S5&lt;&gt;"",LEN(T5)=64,U5&lt;&gt;"",V5&lt;&gt;"",U5&lt;&gt;V5,W5&lt;&gt;""),"READY","INCOMPLETE")))</f>
        <v>NOT_PASS</v>
      </c>
    </row>
    <row r="6" customFormat="false" ht="28.8" hidden="false" customHeight="true" outlineLevel="0" collapsed="false">
      <c r="A6" s="12" t="n">
        <v>20</v>
      </c>
      <c r="B6" s="12" t="s">
        <v>192</v>
      </c>
      <c r="C6" s="12" t="s">
        <v>186</v>
      </c>
      <c r="D6" s="12"/>
      <c r="E6" s="12"/>
      <c r="F6" s="12" t="s">
        <v>193</v>
      </c>
      <c r="G6" s="12" t="s">
        <v>194</v>
      </c>
      <c r="H6" s="12" t="s">
        <v>195</v>
      </c>
      <c r="I6" s="12" t="s">
        <v>196</v>
      </c>
      <c r="J6" s="12" t="s">
        <v>197</v>
      </c>
      <c r="K6" s="14" t="s">
        <v>190</v>
      </c>
      <c r="L6" s="14"/>
      <c r="M6" s="14" t="n">
        <v>1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 t="s">
        <v>7</v>
      </c>
      <c r="Y6" s="14"/>
      <c r="Z6" s="14"/>
      <c r="AA6" s="12" t="str">
        <f aca="false">IF(X6&lt;&gt;"PASS","NOT_PASS",IF(OR(ISNUMBER(SEARCH("OPEN",K6)),ISNUMBER(SEARCH("PARTIAL",K6))),"LIMIT_OPEN",IF(AND(OR(L6&lt;&gt;"",M6&lt;&gt;"",N6&lt;&gt;""),OR(O6&lt;&gt;"",P6&lt;&gt;""),Q6&lt;&gt;"",R6&lt;&gt;"",S6&lt;&gt;"",LEN(T6)=64,U6&lt;&gt;"",V6&lt;&gt;"",U6&lt;&gt;V6,W6&lt;&gt;""),"READY","INCOMPLETE")))</f>
        <v>NOT_PASS</v>
      </c>
    </row>
    <row r="7" customFormat="false" ht="28.8" hidden="false" customHeight="true" outlineLevel="0" collapsed="false">
      <c r="A7" s="12" t="n">
        <v>30</v>
      </c>
      <c r="B7" s="12" t="s">
        <v>198</v>
      </c>
      <c r="C7" s="12" t="s">
        <v>186</v>
      </c>
      <c r="D7" s="12"/>
      <c r="E7" s="12"/>
      <c r="F7" s="12" t="s">
        <v>199</v>
      </c>
      <c r="G7" s="12" t="s">
        <v>200</v>
      </c>
      <c r="H7" s="12" t="s">
        <v>201</v>
      </c>
      <c r="I7" s="12" t="s">
        <v>196</v>
      </c>
      <c r="J7" s="12" t="s">
        <v>202</v>
      </c>
      <c r="K7" s="14" t="s">
        <v>190</v>
      </c>
      <c r="L7" s="14" t="n">
        <v>10000000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 t="s">
        <v>7</v>
      </c>
      <c r="Y7" s="14"/>
      <c r="Z7" s="14"/>
      <c r="AA7" s="12" t="str">
        <f aca="false">IF(X7&lt;&gt;"PASS","NOT_PASS",IF(OR(ISNUMBER(SEARCH("OPEN",K7)),ISNUMBER(SEARCH("PARTIAL",K7))),"LIMIT_OPEN",IF(AND(OR(L7&lt;&gt;"",M7&lt;&gt;"",N7&lt;&gt;""),OR(O7&lt;&gt;"",P7&lt;&gt;""),Q7&lt;&gt;"",R7&lt;&gt;"",S7&lt;&gt;"",LEN(T7)=64,U7&lt;&gt;"",V7&lt;&gt;"",U7&lt;&gt;V7,W7&lt;&gt;""),"READY","INCOMPLETE")))</f>
        <v>NOT_PASS</v>
      </c>
    </row>
    <row r="8" customFormat="false" ht="28.8" hidden="false" customHeight="true" outlineLevel="0" collapsed="false">
      <c r="A8" s="12" t="n">
        <v>40</v>
      </c>
      <c r="B8" s="12" t="s">
        <v>203</v>
      </c>
      <c r="C8" s="12" t="s">
        <v>186</v>
      </c>
      <c r="D8" s="12"/>
      <c r="E8" s="12"/>
      <c r="F8" s="12" t="s">
        <v>204</v>
      </c>
      <c r="G8" s="12" t="s">
        <v>205</v>
      </c>
      <c r="H8" s="12" t="s">
        <v>206</v>
      </c>
      <c r="I8" s="12"/>
      <c r="J8" s="12"/>
      <c r="K8" s="14" t="s">
        <v>190</v>
      </c>
      <c r="L8" s="14"/>
      <c r="M8" s="14"/>
      <c r="N8" s="14" t="s">
        <v>207</v>
      </c>
      <c r="O8" s="14"/>
      <c r="P8" s="14"/>
      <c r="Q8" s="14"/>
      <c r="R8" s="14"/>
      <c r="S8" s="14"/>
      <c r="T8" s="14"/>
      <c r="U8" s="14"/>
      <c r="V8" s="14"/>
      <c r="W8" s="14"/>
      <c r="X8" s="14" t="s">
        <v>7</v>
      </c>
      <c r="Y8" s="14"/>
      <c r="Z8" s="14"/>
      <c r="AA8" s="12" t="str">
        <f aca="false">IF(X8&lt;&gt;"PASS","NOT_PASS",IF(OR(ISNUMBER(SEARCH("OPEN",K8)),ISNUMBER(SEARCH("PARTIAL",K8))),"LIMIT_OPEN",IF(AND(OR(L8&lt;&gt;"",M8&lt;&gt;"",N8&lt;&gt;""),OR(O8&lt;&gt;"",P8&lt;&gt;""),Q8&lt;&gt;"",R8&lt;&gt;"",S8&lt;&gt;"",LEN(T8)=64,U8&lt;&gt;"",V8&lt;&gt;"",U8&lt;&gt;V8,W8&lt;&gt;""),"READY","INCOMPLETE")))</f>
        <v>NOT_PASS</v>
      </c>
    </row>
    <row r="9" customFormat="false" ht="43.2" hidden="false" customHeight="true" outlineLevel="0" collapsed="false">
      <c r="A9" s="12" t="n">
        <v>50</v>
      </c>
      <c r="B9" s="12" t="s">
        <v>208</v>
      </c>
      <c r="C9" s="12" t="s">
        <v>186</v>
      </c>
      <c r="D9" s="12"/>
      <c r="E9" s="12"/>
      <c r="F9" s="12" t="s">
        <v>209</v>
      </c>
      <c r="G9" s="12" t="s">
        <v>210</v>
      </c>
      <c r="H9" s="12" t="s">
        <v>211</v>
      </c>
      <c r="I9" s="12"/>
      <c r="J9" s="12"/>
      <c r="K9" s="14" t="s">
        <v>190</v>
      </c>
      <c r="L9" s="14"/>
      <c r="M9" s="14"/>
      <c r="N9" s="14" t="s">
        <v>15</v>
      </c>
      <c r="O9" s="14"/>
      <c r="P9" s="14"/>
      <c r="Q9" s="14"/>
      <c r="R9" s="14"/>
      <c r="S9" s="14"/>
      <c r="T9" s="14"/>
      <c r="U9" s="14"/>
      <c r="V9" s="14"/>
      <c r="W9" s="14"/>
      <c r="X9" s="14" t="s">
        <v>7</v>
      </c>
      <c r="Y9" s="14"/>
      <c r="Z9" s="14"/>
      <c r="AA9" s="12" t="str">
        <f aca="false">IF(X9&lt;&gt;"PASS","NOT_PASS",IF(OR(ISNUMBER(SEARCH("OPEN",K9)),ISNUMBER(SEARCH("PARTIAL",K9))),"LIMIT_OPEN",IF(AND(OR(L9&lt;&gt;"",M9&lt;&gt;"",N9&lt;&gt;""),OR(O9&lt;&gt;"",P9&lt;&gt;""),Q9&lt;&gt;"",R9&lt;&gt;"",S9&lt;&gt;"",LEN(T9)=64,U9&lt;&gt;"",V9&lt;&gt;"",U9&lt;&gt;V9,W9&lt;&gt;""),"READY","INCOMPLETE")))</f>
        <v>NOT_PASS</v>
      </c>
    </row>
    <row r="10" customFormat="false" ht="28.8" hidden="false" customHeight="true" outlineLevel="0" collapsed="false">
      <c r="A10" s="12" t="n">
        <v>100</v>
      </c>
      <c r="B10" s="12" t="s">
        <v>212</v>
      </c>
      <c r="C10" s="12" t="s">
        <v>213</v>
      </c>
      <c r="D10" s="12"/>
      <c r="E10" s="12"/>
      <c r="F10" s="12" t="s">
        <v>214</v>
      </c>
      <c r="G10" s="12" t="s">
        <v>215</v>
      </c>
      <c r="H10" s="12" t="s">
        <v>216</v>
      </c>
      <c r="I10" s="12"/>
      <c r="J10" s="12"/>
      <c r="K10" s="14" t="s">
        <v>190</v>
      </c>
      <c r="L10" s="14"/>
      <c r="M10" s="14"/>
      <c r="N10" s="14" t="s">
        <v>191</v>
      </c>
      <c r="O10" s="14"/>
      <c r="P10" s="14"/>
      <c r="Q10" s="14"/>
      <c r="R10" s="14"/>
      <c r="S10" s="14"/>
      <c r="T10" s="14"/>
      <c r="U10" s="14"/>
      <c r="V10" s="14"/>
      <c r="W10" s="14"/>
      <c r="X10" s="14" t="s">
        <v>7</v>
      </c>
      <c r="Y10" s="14"/>
      <c r="Z10" s="14"/>
      <c r="AA10" s="12" t="str">
        <f aca="false">IF(X10&lt;&gt;"PASS","NOT_PASS",IF(OR(ISNUMBER(SEARCH("OPEN",K10)),ISNUMBER(SEARCH("PARTIAL",K10))),"LIMIT_OPEN",IF(AND(OR(L10&lt;&gt;"",M10&lt;&gt;"",N10&lt;&gt;""),OR(O10&lt;&gt;"",P10&lt;&gt;""),Q10&lt;&gt;"",R10&lt;&gt;"",S10&lt;&gt;"",LEN(T10)=64,U10&lt;&gt;"",V10&lt;&gt;"",U10&lt;&gt;V10,W10&lt;&gt;""),"READY","INCOMPLETE")))</f>
        <v>NOT_PASS</v>
      </c>
    </row>
    <row r="11" customFormat="false" ht="28.8" hidden="false" customHeight="true" outlineLevel="0" collapsed="false">
      <c r="A11" s="12" t="n">
        <v>110</v>
      </c>
      <c r="B11" s="12" t="s">
        <v>217</v>
      </c>
      <c r="C11" s="12" t="s">
        <v>213</v>
      </c>
      <c r="D11" s="12" t="s">
        <v>118</v>
      </c>
      <c r="E11" s="12" t="s">
        <v>218</v>
      </c>
      <c r="F11" s="12" t="s">
        <v>219</v>
      </c>
      <c r="G11" s="12" t="s">
        <v>220</v>
      </c>
      <c r="H11" s="12" t="s">
        <v>221</v>
      </c>
      <c r="I11" s="12" t="s">
        <v>196</v>
      </c>
      <c r="J11" s="12" t="s">
        <v>222</v>
      </c>
      <c r="K11" s="14" t="s">
        <v>223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 t="s">
        <v>7</v>
      </c>
      <c r="Y11" s="14"/>
      <c r="Z11" s="14"/>
      <c r="AA11" s="12" t="str">
        <f aca="false">IF(X11&lt;&gt;"PASS","NOT_PASS",IF(OR(ISNUMBER(SEARCH("OPEN",K11)),ISNUMBER(SEARCH("PARTIAL",K11))),"LIMIT_OPEN",IF(AND(OR(L11&lt;&gt;"",M11&lt;&gt;"",N11&lt;&gt;""),OR(O11&lt;&gt;"",P11&lt;&gt;""),Q11&lt;&gt;"",R11&lt;&gt;"",S11&lt;&gt;"",LEN(T11)=64,U11&lt;&gt;"",V11&lt;&gt;"",U11&lt;&gt;V11,W11&lt;&gt;""),"READY","INCOMPLETE")))</f>
        <v>NOT_PASS</v>
      </c>
    </row>
    <row r="12" customFormat="false" ht="28.8" hidden="false" customHeight="true" outlineLevel="0" collapsed="false">
      <c r="A12" s="12" t="n">
        <v>120</v>
      </c>
      <c r="B12" s="12" t="s">
        <v>224</v>
      </c>
      <c r="C12" s="12" t="s">
        <v>213</v>
      </c>
      <c r="D12" s="12" t="s">
        <v>118</v>
      </c>
      <c r="E12" s="12" t="s">
        <v>225</v>
      </c>
      <c r="F12" s="12" t="s">
        <v>226</v>
      </c>
      <c r="G12" s="12" t="s">
        <v>227</v>
      </c>
      <c r="H12" s="12" t="s">
        <v>228</v>
      </c>
      <c r="I12" s="12" t="s">
        <v>196</v>
      </c>
      <c r="J12" s="12" t="s">
        <v>222</v>
      </c>
      <c r="K12" s="14" t="s">
        <v>223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 t="s">
        <v>7</v>
      </c>
      <c r="Y12" s="14"/>
      <c r="Z12" s="14"/>
      <c r="AA12" s="12" t="str">
        <f aca="false">IF(X12&lt;&gt;"PASS","NOT_PASS",IF(OR(ISNUMBER(SEARCH("OPEN",K12)),ISNUMBER(SEARCH("PARTIAL",K12))),"LIMIT_OPEN",IF(AND(OR(L12&lt;&gt;"",M12&lt;&gt;"",N12&lt;&gt;""),OR(O12&lt;&gt;"",P12&lt;&gt;""),Q12&lt;&gt;"",R12&lt;&gt;"",S12&lt;&gt;"",LEN(T12)=64,U12&lt;&gt;"",V12&lt;&gt;"",U12&lt;&gt;V12,W12&lt;&gt;""),"READY","INCOMPLETE")))</f>
        <v>NOT_PASS</v>
      </c>
    </row>
    <row r="13" customFormat="false" ht="28.8" hidden="false" customHeight="true" outlineLevel="0" collapsed="false">
      <c r="A13" s="12" t="n">
        <v>130</v>
      </c>
      <c r="B13" s="12" t="s">
        <v>229</v>
      </c>
      <c r="C13" s="12" t="s">
        <v>213</v>
      </c>
      <c r="D13" s="12" t="s">
        <v>118</v>
      </c>
      <c r="E13" s="12" t="s">
        <v>230</v>
      </c>
      <c r="F13" s="12" t="s">
        <v>231</v>
      </c>
      <c r="G13" s="12" t="s">
        <v>232</v>
      </c>
      <c r="H13" s="12" t="s">
        <v>233</v>
      </c>
      <c r="I13" s="12" t="s">
        <v>196</v>
      </c>
      <c r="J13" s="12" t="s">
        <v>222</v>
      </c>
      <c r="K13" s="14" t="s">
        <v>223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 t="s">
        <v>7</v>
      </c>
      <c r="Y13" s="14"/>
      <c r="Z13" s="14"/>
      <c r="AA13" s="12" t="str">
        <f aca="false">IF(X13&lt;&gt;"PASS","NOT_PASS",IF(OR(ISNUMBER(SEARCH("OPEN",K13)),ISNUMBER(SEARCH("PARTIAL",K13))),"LIMIT_OPEN",IF(AND(OR(L13&lt;&gt;"",M13&lt;&gt;"",N13&lt;&gt;""),OR(O13&lt;&gt;"",P13&lt;&gt;""),Q13&lt;&gt;"",R13&lt;&gt;"",S13&lt;&gt;"",LEN(T13)=64,U13&lt;&gt;"",V13&lt;&gt;"",U13&lt;&gt;V13,W13&lt;&gt;""),"READY","INCOMPLETE")))</f>
        <v>NOT_PASS</v>
      </c>
    </row>
    <row r="14" customFormat="false" ht="43.2" hidden="false" customHeight="true" outlineLevel="0" collapsed="false">
      <c r="A14" s="12" t="n">
        <v>200</v>
      </c>
      <c r="B14" s="12" t="s">
        <v>234</v>
      </c>
      <c r="C14" s="12" t="s">
        <v>235</v>
      </c>
      <c r="D14" s="12"/>
      <c r="E14" s="12"/>
      <c r="F14" s="12" t="s">
        <v>236</v>
      </c>
      <c r="G14" s="12" t="s">
        <v>237</v>
      </c>
      <c r="H14" s="12" t="s">
        <v>238</v>
      </c>
      <c r="I14" s="12" t="s">
        <v>239</v>
      </c>
      <c r="J14" s="12" t="s">
        <v>240</v>
      </c>
      <c r="K14" s="14" t="s">
        <v>223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 t="s">
        <v>7</v>
      </c>
      <c r="Y14" s="14"/>
      <c r="Z14" s="14"/>
      <c r="AA14" s="12" t="str">
        <f aca="false">IF(X14&lt;&gt;"PASS","NOT_PASS",IF(OR(ISNUMBER(SEARCH("OPEN",K14)),ISNUMBER(SEARCH("PARTIAL",K14))),"LIMIT_OPEN",IF(AND(OR(L14&lt;&gt;"",M14&lt;&gt;"",N14&lt;&gt;""),OR(O14&lt;&gt;"",P14&lt;&gt;""),Q14&lt;&gt;"",R14&lt;&gt;"",S14&lt;&gt;"",LEN(T14)=64,U14&lt;&gt;"",V14&lt;&gt;"",U14&lt;&gt;V14,W14&lt;&gt;""),"READY","INCOMPLETE")))</f>
        <v>NOT_PASS</v>
      </c>
    </row>
    <row r="15" customFormat="false" ht="28.8" hidden="false" customHeight="true" outlineLevel="0" collapsed="false">
      <c r="A15" s="12" t="n">
        <v>210</v>
      </c>
      <c r="B15" s="12" t="s">
        <v>241</v>
      </c>
      <c r="C15" s="12" t="s">
        <v>235</v>
      </c>
      <c r="D15" s="12" t="s">
        <v>118</v>
      </c>
      <c r="E15" s="12" t="s">
        <v>218</v>
      </c>
      <c r="F15" s="12" t="s">
        <v>242</v>
      </c>
      <c r="G15" s="12" t="s">
        <v>243</v>
      </c>
      <c r="H15" s="12" t="s">
        <v>69</v>
      </c>
      <c r="I15" s="12" t="s">
        <v>244</v>
      </c>
      <c r="J15" s="12" t="s">
        <v>245</v>
      </c>
      <c r="K15" s="14" t="s">
        <v>223</v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 t="s">
        <v>7</v>
      </c>
      <c r="Y15" s="14"/>
      <c r="Z15" s="14"/>
      <c r="AA15" s="12" t="str">
        <f aca="false">IF(X15&lt;&gt;"PASS","NOT_PASS",IF(OR(ISNUMBER(SEARCH("OPEN",K15)),ISNUMBER(SEARCH("PARTIAL",K15))),"LIMIT_OPEN",IF(AND(OR(L15&lt;&gt;"",M15&lt;&gt;"",N15&lt;&gt;""),OR(O15&lt;&gt;"",P15&lt;&gt;""),Q15&lt;&gt;"",R15&lt;&gt;"",S15&lt;&gt;"",LEN(T15)=64,U15&lt;&gt;"",V15&lt;&gt;"",U15&lt;&gt;V15,W15&lt;&gt;""),"READY","INCOMPLETE")))</f>
        <v>NOT_PASS</v>
      </c>
    </row>
    <row r="16" customFormat="false" ht="28.8" hidden="false" customHeight="true" outlineLevel="0" collapsed="false">
      <c r="A16" s="12" t="n">
        <v>220</v>
      </c>
      <c r="B16" s="12" t="s">
        <v>246</v>
      </c>
      <c r="C16" s="12" t="s">
        <v>235</v>
      </c>
      <c r="D16" s="12" t="s">
        <v>118</v>
      </c>
      <c r="E16" s="12" t="s">
        <v>225</v>
      </c>
      <c r="F16" s="12" t="s">
        <v>247</v>
      </c>
      <c r="G16" s="12" t="s">
        <v>248</v>
      </c>
      <c r="H16" s="12" t="s">
        <v>123</v>
      </c>
      <c r="I16" s="12" t="s">
        <v>244</v>
      </c>
      <c r="J16" s="12" t="s">
        <v>249</v>
      </c>
      <c r="K16" s="14" t="s">
        <v>250</v>
      </c>
      <c r="L16" s="14" t="n">
        <v>3.3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 t="s">
        <v>7</v>
      </c>
      <c r="Y16" s="14"/>
      <c r="Z16" s="14"/>
      <c r="AA16" s="12" t="str">
        <f aca="false">IF(X16&lt;&gt;"PASS","NOT_PASS",IF(OR(ISNUMBER(SEARCH("OPEN",K16)),ISNUMBER(SEARCH("PARTIAL",K16))),"LIMIT_OPEN",IF(AND(OR(L16&lt;&gt;"",M16&lt;&gt;"",N16&lt;&gt;""),OR(O16&lt;&gt;"",P16&lt;&gt;""),Q16&lt;&gt;"",R16&lt;&gt;"",S16&lt;&gt;"",LEN(T16)=64,U16&lt;&gt;"",V16&lt;&gt;"",U16&lt;&gt;V16,W16&lt;&gt;""),"READY","INCOMPLETE")))</f>
        <v>NOT_PASS</v>
      </c>
    </row>
    <row r="17" customFormat="false" ht="28.8" hidden="false" customHeight="true" outlineLevel="0" collapsed="false">
      <c r="A17" s="12" t="n">
        <v>230</v>
      </c>
      <c r="B17" s="12" t="s">
        <v>251</v>
      </c>
      <c r="C17" s="12" t="s">
        <v>235</v>
      </c>
      <c r="D17" s="12" t="s">
        <v>118</v>
      </c>
      <c r="E17" s="12" t="s">
        <v>230</v>
      </c>
      <c r="F17" s="12" t="s">
        <v>252</v>
      </c>
      <c r="G17" s="12" t="s">
        <v>253</v>
      </c>
      <c r="H17" s="12" t="s">
        <v>125</v>
      </c>
      <c r="I17" s="12" t="s">
        <v>244</v>
      </c>
      <c r="J17" s="12" t="s">
        <v>254</v>
      </c>
      <c r="K17" s="14" t="s">
        <v>223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 t="s">
        <v>7</v>
      </c>
      <c r="Y17" s="14"/>
      <c r="Z17" s="14"/>
      <c r="AA17" s="12" t="str">
        <f aca="false">IF(X17&lt;&gt;"PASS","NOT_PASS",IF(OR(ISNUMBER(SEARCH("OPEN",K17)),ISNUMBER(SEARCH("PARTIAL",K17))),"LIMIT_OPEN",IF(AND(OR(L17&lt;&gt;"",M17&lt;&gt;"",N17&lt;&gt;""),OR(O17&lt;&gt;"",P17&lt;&gt;""),Q17&lt;&gt;"",R17&lt;&gt;"",S17&lt;&gt;"",LEN(T17)=64,U17&lt;&gt;"",V17&lt;&gt;"",U17&lt;&gt;V17,W17&lt;&gt;""),"READY","INCOMPLETE")))</f>
        <v>NOT_PASS</v>
      </c>
    </row>
    <row r="18" customFormat="false" ht="28.8" hidden="false" customHeight="true" outlineLevel="0" collapsed="false">
      <c r="A18" s="12" t="n">
        <v>240</v>
      </c>
      <c r="B18" s="12" t="s">
        <v>255</v>
      </c>
      <c r="C18" s="12" t="s">
        <v>235</v>
      </c>
      <c r="D18" s="12" t="s">
        <v>118</v>
      </c>
      <c r="E18" s="12" t="s">
        <v>256</v>
      </c>
      <c r="F18" s="12" t="s">
        <v>257</v>
      </c>
      <c r="G18" s="12" t="s">
        <v>258</v>
      </c>
      <c r="H18" s="12" t="s">
        <v>259</v>
      </c>
      <c r="I18" s="12" t="s">
        <v>260</v>
      </c>
      <c r="J18" s="12" t="s">
        <v>261</v>
      </c>
      <c r="K18" s="14" t="s">
        <v>223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 t="s">
        <v>7</v>
      </c>
      <c r="Y18" s="14"/>
      <c r="Z18" s="14"/>
      <c r="AA18" s="12" t="str">
        <f aca="false">IF(X18&lt;&gt;"PASS","NOT_PASS",IF(OR(ISNUMBER(SEARCH("OPEN",K18)),ISNUMBER(SEARCH("PARTIAL",K18))),"LIMIT_OPEN",IF(AND(OR(L18&lt;&gt;"",M18&lt;&gt;"",N18&lt;&gt;""),OR(O18&lt;&gt;"",P18&lt;&gt;""),Q18&lt;&gt;"",R18&lt;&gt;"",S18&lt;&gt;"",LEN(T18)=64,U18&lt;&gt;"",V18&lt;&gt;"",U18&lt;&gt;V18,W18&lt;&gt;""),"READY","INCOMPLETE")))</f>
        <v>NOT_PASS</v>
      </c>
    </row>
    <row r="19" customFormat="false" ht="28.8" hidden="false" customHeight="true" outlineLevel="0" collapsed="false">
      <c r="A19" s="12" t="n">
        <v>250</v>
      </c>
      <c r="B19" s="12" t="s">
        <v>262</v>
      </c>
      <c r="C19" s="12" t="s">
        <v>235</v>
      </c>
      <c r="D19" s="12" t="s">
        <v>118</v>
      </c>
      <c r="E19" s="12" t="s">
        <v>263</v>
      </c>
      <c r="F19" s="12" t="s">
        <v>264</v>
      </c>
      <c r="G19" s="12" t="s">
        <v>265</v>
      </c>
      <c r="H19" s="12" t="s">
        <v>266</v>
      </c>
      <c r="I19" s="12" t="s">
        <v>260</v>
      </c>
      <c r="J19" s="12" t="s">
        <v>267</v>
      </c>
      <c r="K19" s="14" t="s">
        <v>223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 t="s">
        <v>7</v>
      </c>
      <c r="Y19" s="14"/>
      <c r="Z19" s="14"/>
      <c r="AA19" s="12" t="str">
        <f aca="false">IF(X19&lt;&gt;"PASS","NOT_PASS",IF(OR(ISNUMBER(SEARCH("OPEN",K19)),ISNUMBER(SEARCH("PARTIAL",K19))),"LIMIT_OPEN",IF(AND(OR(L19&lt;&gt;"",M19&lt;&gt;"",N19&lt;&gt;""),OR(O19&lt;&gt;"",P19&lt;&gt;""),Q19&lt;&gt;"",R19&lt;&gt;"",S19&lt;&gt;"",LEN(T19)=64,U19&lt;&gt;"",V19&lt;&gt;"",U19&lt;&gt;V19,W19&lt;&gt;""),"READY","INCOMPLETE")))</f>
        <v>NOT_PASS</v>
      </c>
    </row>
    <row r="20" customFormat="false" ht="28.8" hidden="false" customHeight="true" outlineLevel="0" collapsed="false">
      <c r="A20" s="12" t="n">
        <v>300</v>
      </c>
      <c r="B20" s="12" t="s">
        <v>268</v>
      </c>
      <c r="C20" s="12" t="s">
        <v>269</v>
      </c>
      <c r="D20" s="12" t="s">
        <v>118</v>
      </c>
      <c r="E20" s="12" t="s">
        <v>270</v>
      </c>
      <c r="F20" s="12" t="s">
        <v>271</v>
      </c>
      <c r="G20" s="12" t="s">
        <v>272</v>
      </c>
      <c r="H20" s="12" t="s">
        <v>273</v>
      </c>
      <c r="I20" s="12" t="s">
        <v>274</v>
      </c>
      <c r="J20" s="12" t="s">
        <v>275</v>
      </c>
      <c r="K20" s="14" t="s">
        <v>190</v>
      </c>
      <c r="L20" s="14"/>
      <c r="M20" s="14"/>
      <c r="N20" s="14" t="s">
        <v>276</v>
      </c>
      <c r="O20" s="14"/>
      <c r="P20" s="14"/>
      <c r="Q20" s="14"/>
      <c r="R20" s="14"/>
      <c r="S20" s="14"/>
      <c r="T20" s="14"/>
      <c r="U20" s="14"/>
      <c r="V20" s="14"/>
      <c r="W20" s="14"/>
      <c r="X20" s="14" t="s">
        <v>7</v>
      </c>
      <c r="Y20" s="14"/>
      <c r="Z20" s="14"/>
      <c r="AA20" s="12" t="str">
        <f aca="false">IF(X20&lt;&gt;"PASS","NOT_PASS",IF(OR(ISNUMBER(SEARCH("OPEN",K20)),ISNUMBER(SEARCH("PARTIAL",K20))),"LIMIT_OPEN",IF(AND(OR(L20&lt;&gt;"",M20&lt;&gt;"",N20&lt;&gt;""),OR(O20&lt;&gt;"",P20&lt;&gt;""),Q20&lt;&gt;"",R20&lt;&gt;"",S20&lt;&gt;"",LEN(T20)=64,U20&lt;&gt;"",V20&lt;&gt;"",U20&lt;&gt;V20,W20&lt;&gt;""),"READY","INCOMPLETE")))</f>
        <v>NOT_PASS</v>
      </c>
    </row>
    <row r="21" customFormat="false" ht="28.8" hidden="false" customHeight="true" outlineLevel="0" collapsed="false">
      <c r="A21" s="12" t="n">
        <v>310</v>
      </c>
      <c r="B21" s="12" t="s">
        <v>277</v>
      </c>
      <c r="C21" s="12" t="s">
        <v>278</v>
      </c>
      <c r="D21" s="12" t="s">
        <v>118</v>
      </c>
      <c r="E21" s="12" t="s">
        <v>279</v>
      </c>
      <c r="F21" s="12" t="s">
        <v>280</v>
      </c>
      <c r="G21" s="12" t="s">
        <v>281</v>
      </c>
      <c r="H21" s="12" t="s">
        <v>282</v>
      </c>
      <c r="I21" s="12" t="s">
        <v>244</v>
      </c>
      <c r="J21" s="12" t="s">
        <v>283</v>
      </c>
      <c r="K21" s="14" t="s">
        <v>223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 t="s">
        <v>7</v>
      </c>
      <c r="Y21" s="14"/>
      <c r="Z21" s="14"/>
      <c r="AA21" s="12" t="str">
        <f aca="false">IF(X21&lt;&gt;"PASS","NOT_PASS",IF(OR(ISNUMBER(SEARCH("OPEN",K21)),ISNUMBER(SEARCH("PARTIAL",K21))),"LIMIT_OPEN",IF(AND(OR(L21&lt;&gt;"",M21&lt;&gt;"",N21&lt;&gt;""),OR(O21&lt;&gt;"",P21&lt;&gt;""),Q21&lt;&gt;"",R21&lt;&gt;"",S21&lt;&gt;"",LEN(T21)=64,U21&lt;&gt;"",V21&lt;&gt;"",U21&lt;&gt;V21,W21&lt;&gt;""),"READY","INCOMPLETE")))</f>
        <v>NOT_PASS</v>
      </c>
    </row>
    <row r="22" customFormat="false" ht="43.2" hidden="false" customHeight="true" outlineLevel="0" collapsed="false">
      <c r="A22" s="12" t="n">
        <v>320</v>
      </c>
      <c r="B22" s="12" t="s">
        <v>284</v>
      </c>
      <c r="C22" s="12" t="s">
        <v>278</v>
      </c>
      <c r="D22" s="12" t="s">
        <v>118</v>
      </c>
      <c r="E22" s="12" t="s">
        <v>285</v>
      </c>
      <c r="F22" s="12" t="s">
        <v>286</v>
      </c>
      <c r="G22" s="12" t="s">
        <v>287</v>
      </c>
      <c r="H22" s="12" t="s">
        <v>288</v>
      </c>
      <c r="I22" s="12" t="s">
        <v>289</v>
      </c>
      <c r="J22" s="12" t="s">
        <v>290</v>
      </c>
      <c r="K22" s="14" t="s">
        <v>190</v>
      </c>
      <c r="L22" s="14"/>
      <c r="M22" s="14"/>
      <c r="N22" s="14" t="s">
        <v>15</v>
      </c>
      <c r="O22" s="14"/>
      <c r="P22" s="14"/>
      <c r="Q22" s="14"/>
      <c r="R22" s="14"/>
      <c r="S22" s="14"/>
      <c r="T22" s="14"/>
      <c r="U22" s="14"/>
      <c r="V22" s="14"/>
      <c r="W22" s="14"/>
      <c r="X22" s="14" t="s">
        <v>7</v>
      </c>
      <c r="Y22" s="14"/>
      <c r="Z22" s="14"/>
      <c r="AA22" s="12" t="str">
        <f aca="false">IF(X22&lt;&gt;"PASS","NOT_PASS",IF(OR(ISNUMBER(SEARCH("OPEN",K22)),ISNUMBER(SEARCH("PARTIAL",K22))),"LIMIT_OPEN",IF(AND(OR(L22&lt;&gt;"",M22&lt;&gt;"",N22&lt;&gt;""),OR(O22&lt;&gt;"",P22&lt;&gt;""),Q22&lt;&gt;"",R22&lt;&gt;"",S22&lt;&gt;"",LEN(T22)=64,U22&lt;&gt;"",V22&lt;&gt;"",U22&lt;&gt;V22,W22&lt;&gt;""),"READY","INCOMPLETE")))</f>
        <v>NOT_PASS</v>
      </c>
    </row>
    <row r="23" customFormat="false" ht="43.2" hidden="false" customHeight="true" outlineLevel="0" collapsed="false">
      <c r="A23" s="12" t="n">
        <v>330</v>
      </c>
      <c r="B23" s="12" t="s">
        <v>291</v>
      </c>
      <c r="C23" s="12" t="s">
        <v>292</v>
      </c>
      <c r="D23" s="12" t="s">
        <v>118</v>
      </c>
      <c r="E23" s="12" t="s">
        <v>293</v>
      </c>
      <c r="F23" s="12" t="s">
        <v>294</v>
      </c>
      <c r="G23" s="12" t="s">
        <v>295</v>
      </c>
      <c r="H23" s="12" t="s">
        <v>296</v>
      </c>
      <c r="I23" s="12" t="s">
        <v>289</v>
      </c>
      <c r="J23" s="12" t="s">
        <v>297</v>
      </c>
      <c r="K23" s="14" t="s">
        <v>223</v>
      </c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 t="s">
        <v>7</v>
      </c>
      <c r="Y23" s="14"/>
      <c r="Z23" s="14"/>
      <c r="AA23" s="12" t="str">
        <f aca="false">IF(X23&lt;&gt;"PASS","NOT_PASS",IF(OR(ISNUMBER(SEARCH("OPEN",K23)),ISNUMBER(SEARCH("PARTIAL",K23))),"LIMIT_OPEN",IF(AND(OR(L23&lt;&gt;"",M23&lt;&gt;"",N23&lt;&gt;""),OR(O23&lt;&gt;"",P23&lt;&gt;""),Q23&lt;&gt;"",R23&lt;&gt;"",S23&lt;&gt;"",LEN(T23)=64,U23&lt;&gt;"",V23&lt;&gt;"",U23&lt;&gt;V23,W23&lt;&gt;""),"READY","INCOMPLETE")))</f>
        <v>NOT_PASS</v>
      </c>
    </row>
    <row r="24" customFormat="false" ht="57.6" hidden="false" customHeight="true" outlineLevel="0" collapsed="false">
      <c r="A24" s="12" t="n">
        <v>340</v>
      </c>
      <c r="B24" s="12" t="s">
        <v>298</v>
      </c>
      <c r="C24" s="12" t="s">
        <v>299</v>
      </c>
      <c r="D24" s="12" t="s">
        <v>300</v>
      </c>
      <c r="E24" s="12" t="s">
        <v>301</v>
      </c>
      <c r="F24" s="12" t="s">
        <v>302</v>
      </c>
      <c r="G24" s="12" t="s">
        <v>303</v>
      </c>
      <c r="H24" s="12" t="s">
        <v>304</v>
      </c>
      <c r="I24" s="12" t="s">
        <v>289</v>
      </c>
      <c r="J24" s="12" t="s">
        <v>305</v>
      </c>
      <c r="K24" s="14" t="s">
        <v>190</v>
      </c>
      <c r="L24" s="14"/>
      <c r="M24" s="14"/>
      <c r="N24" s="14" t="s">
        <v>15</v>
      </c>
      <c r="O24" s="14"/>
      <c r="P24" s="14"/>
      <c r="Q24" s="14"/>
      <c r="R24" s="14"/>
      <c r="S24" s="14"/>
      <c r="T24" s="14"/>
      <c r="U24" s="14"/>
      <c r="V24" s="14"/>
      <c r="W24" s="14"/>
      <c r="X24" s="14" t="s">
        <v>7</v>
      </c>
      <c r="Y24" s="14"/>
      <c r="Z24" s="14"/>
      <c r="AA24" s="12" t="str">
        <f aca="false">IF(X24&lt;&gt;"PASS","NOT_PASS",IF(OR(ISNUMBER(SEARCH("OPEN",K24)),ISNUMBER(SEARCH("PARTIAL",K24))),"LIMIT_OPEN",IF(AND(OR(L24&lt;&gt;"",M24&lt;&gt;"",N24&lt;&gt;""),OR(O24&lt;&gt;"",P24&lt;&gt;""),Q24&lt;&gt;"",R24&lt;&gt;"",S24&lt;&gt;"",LEN(T24)=64,U24&lt;&gt;"",V24&lt;&gt;"",U24&lt;&gt;V24,W24&lt;&gt;""),"READY","INCOMPLETE")))</f>
        <v>NOT_PASS</v>
      </c>
    </row>
    <row r="25" customFormat="false" ht="28.8" hidden="false" customHeight="true" outlineLevel="0" collapsed="false">
      <c r="A25" s="12" t="n">
        <v>400</v>
      </c>
      <c r="B25" s="12" t="s">
        <v>306</v>
      </c>
      <c r="C25" s="12" t="s">
        <v>307</v>
      </c>
      <c r="D25" s="12" t="s">
        <v>151</v>
      </c>
      <c r="E25" s="12" t="s">
        <v>308</v>
      </c>
      <c r="F25" s="12" t="s">
        <v>309</v>
      </c>
      <c r="G25" s="12" t="s">
        <v>310</v>
      </c>
      <c r="H25" s="12" t="s">
        <v>311</v>
      </c>
      <c r="I25" s="12" t="s">
        <v>244</v>
      </c>
      <c r="J25" s="12" t="s">
        <v>283</v>
      </c>
      <c r="K25" s="14" t="s">
        <v>223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 t="s">
        <v>7</v>
      </c>
      <c r="Y25" s="14"/>
      <c r="Z25" s="14"/>
      <c r="AA25" s="12" t="str">
        <f aca="false">IF(X25&lt;&gt;"PASS","NOT_PASS",IF(OR(ISNUMBER(SEARCH("OPEN",K25)),ISNUMBER(SEARCH("PARTIAL",K25))),"LIMIT_OPEN",IF(AND(OR(L25&lt;&gt;"",M25&lt;&gt;"",N25&lt;&gt;""),OR(O25&lt;&gt;"",P25&lt;&gt;""),Q25&lt;&gt;"",R25&lt;&gt;"",S25&lt;&gt;"",LEN(T25)=64,U25&lt;&gt;"",V25&lt;&gt;"",U25&lt;&gt;V25,W25&lt;&gt;""),"READY","INCOMPLETE")))</f>
        <v>NOT_PASS</v>
      </c>
    </row>
    <row r="26" customFormat="false" ht="43.2" hidden="false" customHeight="true" outlineLevel="0" collapsed="false">
      <c r="A26" s="12" t="n">
        <v>410</v>
      </c>
      <c r="B26" s="12" t="s">
        <v>312</v>
      </c>
      <c r="C26" s="12" t="s">
        <v>307</v>
      </c>
      <c r="D26" s="12" t="s">
        <v>151</v>
      </c>
      <c r="E26" s="12" t="s">
        <v>308</v>
      </c>
      <c r="F26" s="12" t="s">
        <v>313</v>
      </c>
      <c r="G26" s="12" t="s">
        <v>314</v>
      </c>
      <c r="H26" s="12" t="s">
        <v>315</v>
      </c>
      <c r="I26" s="12" t="s">
        <v>289</v>
      </c>
      <c r="J26" s="12" t="s">
        <v>316</v>
      </c>
      <c r="K26" s="14" t="s">
        <v>190</v>
      </c>
      <c r="L26" s="14"/>
      <c r="M26" s="14"/>
      <c r="N26" s="14" t="s">
        <v>15</v>
      </c>
      <c r="O26" s="14"/>
      <c r="P26" s="14"/>
      <c r="Q26" s="14"/>
      <c r="R26" s="14"/>
      <c r="S26" s="14"/>
      <c r="T26" s="14"/>
      <c r="U26" s="14"/>
      <c r="V26" s="14"/>
      <c r="W26" s="14"/>
      <c r="X26" s="14" t="s">
        <v>7</v>
      </c>
      <c r="Y26" s="14"/>
      <c r="Z26" s="14"/>
      <c r="AA26" s="12" t="str">
        <f aca="false">IF(X26&lt;&gt;"PASS","NOT_PASS",IF(OR(ISNUMBER(SEARCH("OPEN",K26)),ISNUMBER(SEARCH("PARTIAL",K26))),"LIMIT_OPEN",IF(AND(OR(L26&lt;&gt;"",M26&lt;&gt;"",N26&lt;&gt;""),OR(O26&lt;&gt;"",P26&lt;&gt;""),Q26&lt;&gt;"",R26&lt;&gt;"",S26&lt;&gt;"",LEN(T26)=64,U26&lt;&gt;"",V26&lt;&gt;"",U26&lt;&gt;V26,W26&lt;&gt;""),"READY","INCOMPLETE")))</f>
        <v>NOT_PASS</v>
      </c>
    </row>
    <row r="27" customFormat="false" ht="28.8" hidden="false" customHeight="true" outlineLevel="0" collapsed="false">
      <c r="A27" s="12" t="n">
        <v>420</v>
      </c>
      <c r="B27" s="12" t="s">
        <v>317</v>
      </c>
      <c r="C27" s="12" t="s">
        <v>318</v>
      </c>
      <c r="D27" s="12" t="s">
        <v>65</v>
      </c>
      <c r="E27" s="12" t="s">
        <v>319</v>
      </c>
      <c r="F27" s="12" t="s">
        <v>320</v>
      </c>
      <c r="G27" s="12" t="s">
        <v>321</v>
      </c>
      <c r="H27" s="12" t="s">
        <v>322</v>
      </c>
      <c r="I27" s="12" t="s">
        <v>244</v>
      </c>
      <c r="J27" s="12" t="s">
        <v>283</v>
      </c>
      <c r="K27" s="14" t="s">
        <v>223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 t="s">
        <v>7</v>
      </c>
      <c r="Y27" s="14"/>
      <c r="Z27" s="14"/>
      <c r="AA27" s="12" t="str">
        <f aca="false">IF(X27&lt;&gt;"PASS","NOT_PASS",IF(OR(ISNUMBER(SEARCH("OPEN",K27)),ISNUMBER(SEARCH("PARTIAL",K27))),"LIMIT_OPEN",IF(AND(OR(L27&lt;&gt;"",M27&lt;&gt;"",N27&lt;&gt;""),OR(O27&lt;&gt;"",P27&lt;&gt;""),Q27&lt;&gt;"",R27&lt;&gt;"",S27&lt;&gt;"",LEN(T27)=64,U27&lt;&gt;"",V27&lt;&gt;"",U27&lt;&gt;V27,W27&lt;&gt;""),"READY","INCOMPLETE")))</f>
        <v>NOT_PASS</v>
      </c>
    </row>
    <row r="28" customFormat="false" ht="43.2" hidden="false" customHeight="true" outlineLevel="0" collapsed="false">
      <c r="A28" s="12" t="n">
        <v>430</v>
      </c>
      <c r="B28" s="12" t="s">
        <v>323</v>
      </c>
      <c r="C28" s="12" t="s">
        <v>318</v>
      </c>
      <c r="D28" s="12" t="s">
        <v>65</v>
      </c>
      <c r="E28" s="12" t="s">
        <v>319</v>
      </c>
      <c r="F28" s="12" t="s">
        <v>324</v>
      </c>
      <c r="G28" s="12" t="s">
        <v>325</v>
      </c>
      <c r="H28" s="12" t="s">
        <v>326</v>
      </c>
      <c r="I28" s="12" t="s">
        <v>289</v>
      </c>
      <c r="J28" s="12" t="s">
        <v>327</v>
      </c>
      <c r="K28" s="14" t="s">
        <v>190</v>
      </c>
      <c r="L28" s="14"/>
      <c r="M28" s="14"/>
      <c r="N28" s="14" t="s">
        <v>15</v>
      </c>
      <c r="O28" s="14"/>
      <c r="P28" s="14"/>
      <c r="Q28" s="14"/>
      <c r="R28" s="14"/>
      <c r="S28" s="14"/>
      <c r="T28" s="14"/>
      <c r="U28" s="14"/>
      <c r="V28" s="14"/>
      <c r="W28" s="14"/>
      <c r="X28" s="14" t="s">
        <v>7</v>
      </c>
      <c r="Y28" s="14"/>
      <c r="Z28" s="14"/>
      <c r="AA28" s="12" t="str">
        <f aca="false">IF(X28&lt;&gt;"PASS","NOT_PASS",IF(OR(ISNUMBER(SEARCH("OPEN",K28)),ISNUMBER(SEARCH("PARTIAL",K28))),"LIMIT_OPEN",IF(AND(OR(L28&lt;&gt;"",M28&lt;&gt;"",N28&lt;&gt;""),OR(O28&lt;&gt;"",P28&lt;&gt;""),Q28&lt;&gt;"",R28&lt;&gt;"",S28&lt;&gt;"",LEN(T28)=64,U28&lt;&gt;"",V28&lt;&gt;"",U28&lt;&gt;V28,W28&lt;&gt;""),"READY","INCOMPLETE")))</f>
        <v>NOT_PASS</v>
      </c>
    </row>
    <row r="29" customFormat="false" ht="28.8" hidden="false" customHeight="true" outlineLevel="0" collapsed="false">
      <c r="A29" s="12" t="n">
        <v>500</v>
      </c>
      <c r="B29" s="12" t="s">
        <v>328</v>
      </c>
      <c r="C29" s="12" t="s">
        <v>329</v>
      </c>
      <c r="D29" s="12" t="s">
        <v>86</v>
      </c>
      <c r="E29" s="12" t="s">
        <v>308</v>
      </c>
      <c r="F29" s="12" t="s">
        <v>330</v>
      </c>
      <c r="G29" s="12" t="s">
        <v>331</v>
      </c>
      <c r="H29" s="12" t="s">
        <v>332</v>
      </c>
      <c r="I29" s="12" t="s">
        <v>244</v>
      </c>
      <c r="J29" s="12" t="s">
        <v>333</v>
      </c>
      <c r="K29" s="14" t="s">
        <v>223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 t="s">
        <v>7</v>
      </c>
      <c r="Y29" s="14"/>
      <c r="Z29" s="14"/>
      <c r="AA29" s="12" t="str">
        <f aca="false">IF(X29&lt;&gt;"PASS","NOT_PASS",IF(OR(ISNUMBER(SEARCH("OPEN",K29)),ISNUMBER(SEARCH("PARTIAL",K29))),"LIMIT_OPEN",IF(AND(OR(L29&lt;&gt;"",M29&lt;&gt;"",N29&lt;&gt;""),OR(O29&lt;&gt;"",P29&lt;&gt;""),Q29&lt;&gt;"",R29&lt;&gt;"",S29&lt;&gt;"",LEN(T29)=64,U29&lt;&gt;"",V29&lt;&gt;"",U29&lt;&gt;V29,W29&lt;&gt;""),"READY","INCOMPLETE")))</f>
        <v>NOT_PASS</v>
      </c>
    </row>
    <row r="30" customFormat="false" ht="43.2" hidden="false" customHeight="true" outlineLevel="0" collapsed="false">
      <c r="A30" s="12" t="n">
        <v>510</v>
      </c>
      <c r="B30" s="12" t="s">
        <v>334</v>
      </c>
      <c r="C30" s="12" t="s">
        <v>329</v>
      </c>
      <c r="D30" s="12" t="s">
        <v>86</v>
      </c>
      <c r="E30" s="12" t="s">
        <v>335</v>
      </c>
      <c r="F30" s="12" t="s">
        <v>336</v>
      </c>
      <c r="G30" s="12" t="s">
        <v>337</v>
      </c>
      <c r="H30" s="12" t="s">
        <v>338</v>
      </c>
      <c r="I30" s="12" t="s">
        <v>289</v>
      </c>
      <c r="J30" s="12" t="s">
        <v>339</v>
      </c>
      <c r="K30" s="14" t="s">
        <v>190</v>
      </c>
      <c r="L30" s="14"/>
      <c r="M30" s="14"/>
      <c r="N30" s="14" t="s">
        <v>15</v>
      </c>
      <c r="O30" s="14"/>
      <c r="P30" s="14"/>
      <c r="Q30" s="14"/>
      <c r="R30" s="14"/>
      <c r="S30" s="14"/>
      <c r="T30" s="14"/>
      <c r="U30" s="14"/>
      <c r="V30" s="14"/>
      <c r="W30" s="14"/>
      <c r="X30" s="14" t="s">
        <v>7</v>
      </c>
      <c r="Y30" s="14"/>
      <c r="Z30" s="14"/>
      <c r="AA30" s="12" t="str">
        <f aca="false">IF(X30&lt;&gt;"PASS","NOT_PASS",IF(OR(ISNUMBER(SEARCH("OPEN",K30)),ISNUMBER(SEARCH("PARTIAL",K30))),"LIMIT_OPEN",IF(AND(OR(L30&lt;&gt;"",M30&lt;&gt;"",N30&lt;&gt;""),OR(O30&lt;&gt;"",P30&lt;&gt;""),Q30&lt;&gt;"",R30&lt;&gt;"",S30&lt;&gt;"",LEN(T30)=64,U30&lt;&gt;"",V30&lt;&gt;"",U30&lt;&gt;V30,W30&lt;&gt;""),"READY","INCOMPLETE")))</f>
        <v>NOT_PASS</v>
      </c>
    </row>
    <row r="31" customFormat="false" ht="57.6" hidden="false" customHeight="true" outlineLevel="0" collapsed="false">
      <c r="A31" s="12" t="n">
        <v>520</v>
      </c>
      <c r="B31" s="12" t="s">
        <v>340</v>
      </c>
      <c r="C31" s="12" t="s">
        <v>341</v>
      </c>
      <c r="D31" s="12" t="s">
        <v>86</v>
      </c>
      <c r="E31" s="12" t="s">
        <v>342</v>
      </c>
      <c r="F31" s="12" t="s">
        <v>343</v>
      </c>
      <c r="G31" s="12" t="s">
        <v>344</v>
      </c>
      <c r="H31" s="12" t="s">
        <v>345</v>
      </c>
      <c r="I31" s="12" t="s">
        <v>289</v>
      </c>
      <c r="J31" s="12" t="s">
        <v>346</v>
      </c>
      <c r="K31" s="14" t="s">
        <v>190</v>
      </c>
      <c r="L31" s="14"/>
      <c r="M31" s="14"/>
      <c r="N31" s="14" t="s">
        <v>15</v>
      </c>
      <c r="O31" s="14"/>
      <c r="P31" s="14"/>
      <c r="Q31" s="14"/>
      <c r="R31" s="14"/>
      <c r="S31" s="14"/>
      <c r="T31" s="14"/>
      <c r="U31" s="14"/>
      <c r="V31" s="14"/>
      <c r="W31" s="14"/>
      <c r="X31" s="14" t="s">
        <v>7</v>
      </c>
      <c r="Y31" s="14"/>
      <c r="Z31" s="14"/>
      <c r="AA31" s="12" t="str">
        <f aca="false">IF(X31&lt;&gt;"PASS","NOT_PASS",IF(OR(ISNUMBER(SEARCH("OPEN",K31)),ISNUMBER(SEARCH("PARTIAL",K31))),"LIMIT_OPEN",IF(AND(OR(L31&lt;&gt;"",M31&lt;&gt;"",N31&lt;&gt;""),OR(O31&lt;&gt;"",P31&lt;&gt;""),Q31&lt;&gt;"",R31&lt;&gt;"",S31&lt;&gt;"",LEN(T31)=64,U31&lt;&gt;"",V31&lt;&gt;"",U31&lt;&gt;V31,W31&lt;&gt;""),"READY","INCOMPLETE")))</f>
        <v>NOT_PASS</v>
      </c>
    </row>
    <row r="32" customFormat="false" ht="43.2" hidden="false" customHeight="true" outlineLevel="0" collapsed="false">
      <c r="A32" s="12" t="n">
        <v>530</v>
      </c>
      <c r="B32" s="12" t="s">
        <v>347</v>
      </c>
      <c r="C32" s="12" t="s">
        <v>341</v>
      </c>
      <c r="D32" s="12" t="s">
        <v>105</v>
      </c>
      <c r="E32" s="12" t="s">
        <v>348</v>
      </c>
      <c r="F32" s="12" t="s">
        <v>349</v>
      </c>
      <c r="G32" s="12" t="s">
        <v>350</v>
      </c>
      <c r="H32" s="12" t="s">
        <v>351</v>
      </c>
      <c r="I32" s="12" t="s">
        <v>289</v>
      </c>
      <c r="J32" s="12" t="s">
        <v>352</v>
      </c>
      <c r="K32" s="14" t="s">
        <v>190</v>
      </c>
      <c r="L32" s="14"/>
      <c r="M32" s="14"/>
      <c r="N32" s="14" t="s">
        <v>15</v>
      </c>
      <c r="O32" s="14"/>
      <c r="P32" s="14"/>
      <c r="Q32" s="14"/>
      <c r="R32" s="14"/>
      <c r="S32" s="14"/>
      <c r="T32" s="14"/>
      <c r="U32" s="14"/>
      <c r="V32" s="14"/>
      <c r="W32" s="14"/>
      <c r="X32" s="14" t="s">
        <v>7</v>
      </c>
      <c r="Y32" s="14"/>
      <c r="Z32" s="14"/>
      <c r="AA32" s="12" t="str">
        <f aca="false">IF(X32&lt;&gt;"PASS","NOT_PASS",IF(OR(ISNUMBER(SEARCH("OPEN",K32)),ISNUMBER(SEARCH("PARTIAL",K32))),"LIMIT_OPEN",IF(AND(OR(L32&lt;&gt;"",M32&lt;&gt;"",N32&lt;&gt;""),OR(O32&lt;&gt;"",P32&lt;&gt;""),Q32&lt;&gt;"",R32&lt;&gt;"",S32&lt;&gt;"",LEN(T32)=64,U32&lt;&gt;"",V32&lt;&gt;"",U32&lt;&gt;V32,W32&lt;&gt;""),"READY","INCOMPLETE")))</f>
        <v>NOT_PASS</v>
      </c>
    </row>
    <row r="33" customFormat="false" ht="43.2" hidden="false" customHeight="true" outlineLevel="0" collapsed="false">
      <c r="A33" s="12" t="n">
        <v>540</v>
      </c>
      <c r="B33" s="12" t="s">
        <v>353</v>
      </c>
      <c r="C33" s="12" t="s">
        <v>341</v>
      </c>
      <c r="D33" s="12" t="s">
        <v>354</v>
      </c>
      <c r="E33" s="12" t="s">
        <v>355</v>
      </c>
      <c r="F33" s="12" t="s">
        <v>356</v>
      </c>
      <c r="G33" s="12" t="s">
        <v>357</v>
      </c>
      <c r="H33" s="12" t="s">
        <v>358</v>
      </c>
      <c r="I33" s="12" t="s">
        <v>289</v>
      </c>
      <c r="J33" s="12" t="s">
        <v>359</v>
      </c>
      <c r="K33" s="14" t="s">
        <v>190</v>
      </c>
      <c r="L33" s="14"/>
      <c r="M33" s="14"/>
      <c r="N33" s="14" t="s">
        <v>359</v>
      </c>
      <c r="O33" s="14"/>
      <c r="P33" s="14"/>
      <c r="Q33" s="14"/>
      <c r="R33" s="14"/>
      <c r="S33" s="14"/>
      <c r="T33" s="14"/>
      <c r="U33" s="14"/>
      <c r="V33" s="14"/>
      <c r="W33" s="14"/>
      <c r="X33" s="14" t="s">
        <v>7</v>
      </c>
      <c r="Y33" s="14"/>
      <c r="Z33" s="14"/>
      <c r="AA33" s="12" t="str">
        <f aca="false">IF(X33&lt;&gt;"PASS","NOT_PASS",IF(OR(ISNUMBER(SEARCH("OPEN",K33)),ISNUMBER(SEARCH("PARTIAL",K33))),"LIMIT_OPEN",IF(AND(OR(L33&lt;&gt;"",M33&lt;&gt;"",N33&lt;&gt;""),OR(O33&lt;&gt;"",P33&lt;&gt;""),Q33&lt;&gt;"",R33&lt;&gt;"",S33&lt;&gt;"",LEN(T33)=64,U33&lt;&gt;"",V33&lt;&gt;"",U33&lt;&gt;V33,W33&lt;&gt;""),"READY","INCOMPLETE")))</f>
        <v>NOT_PASS</v>
      </c>
    </row>
    <row r="34" customFormat="false" ht="28.8" hidden="false" customHeight="true" outlineLevel="0" collapsed="false">
      <c r="A34" s="12" t="n">
        <v>600</v>
      </c>
      <c r="B34" s="12" t="s">
        <v>360</v>
      </c>
      <c r="C34" s="12" t="s">
        <v>361</v>
      </c>
      <c r="D34" s="12" t="s">
        <v>362</v>
      </c>
      <c r="E34" s="12" t="s">
        <v>363</v>
      </c>
      <c r="F34" s="12" t="s">
        <v>364</v>
      </c>
      <c r="G34" s="12" t="s">
        <v>365</v>
      </c>
      <c r="H34" s="12" t="s">
        <v>366</v>
      </c>
      <c r="I34" s="12" t="s">
        <v>244</v>
      </c>
      <c r="J34" s="12" t="s">
        <v>367</v>
      </c>
      <c r="K34" s="14" t="s">
        <v>223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 t="s">
        <v>7</v>
      </c>
      <c r="Y34" s="14"/>
      <c r="Z34" s="14"/>
      <c r="AA34" s="12" t="str">
        <f aca="false">IF(X34&lt;&gt;"PASS","NOT_PASS",IF(OR(ISNUMBER(SEARCH("OPEN",K34)),ISNUMBER(SEARCH("PARTIAL",K34))),"LIMIT_OPEN",IF(AND(OR(L34&lt;&gt;"",M34&lt;&gt;"",N34&lt;&gt;""),OR(O34&lt;&gt;"",P34&lt;&gt;""),Q34&lt;&gt;"",R34&lt;&gt;"",S34&lt;&gt;"",LEN(T34)=64,U34&lt;&gt;"",V34&lt;&gt;"",U34&lt;&gt;V34,W34&lt;&gt;""),"READY","INCOMPLETE")))</f>
        <v>NOT_PASS</v>
      </c>
    </row>
    <row r="35" customFormat="false" ht="28.8" hidden="false" customHeight="true" outlineLevel="0" collapsed="false">
      <c r="A35" s="12" t="n">
        <v>610</v>
      </c>
      <c r="B35" s="12" t="s">
        <v>368</v>
      </c>
      <c r="C35" s="12" t="s">
        <v>361</v>
      </c>
      <c r="D35" s="12" t="s">
        <v>362</v>
      </c>
      <c r="E35" s="12" t="s">
        <v>369</v>
      </c>
      <c r="F35" s="12" t="s">
        <v>370</v>
      </c>
      <c r="G35" s="12" t="s">
        <v>371</v>
      </c>
      <c r="H35" s="12" t="s">
        <v>372</v>
      </c>
      <c r="I35" s="12" t="s">
        <v>373</v>
      </c>
      <c r="J35" s="12" t="s">
        <v>374</v>
      </c>
      <c r="K35" s="14" t="s">
        <v>250</v>
      </c>
      <c r="L35" s="14" t="n">
        <v>50000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 t="s">
        <v>7</v>
      </c>
      <c r="Y35" s="14"/>
      <c r="Z35" s="14"/>
      <c r="AA35" s="12" t="str">
        <f aca="false">IF(X35&lt;&gt;"PASS","NOT_PASS",IF(OR(ISNUMBER(SEARCH("OPEN",K35)),ISNUMBER(SEARCH("PARTIAL",K35))),"LIMIT_OPEN",IF(AND(OR(L35&lt;&gt;"",M35&lt;&gt;"",N35&lt;&gt;""),OR(O35&lt;&gt;"",P35&lt;&gt;""),Q35&lt;&gt;"",R35&lt;&gt;"",S35&lt;&gt;"",LEN(T35)=64,U35&lt;&gt;"",V35&lt;&gt;"",U35&lt;&gt;V35,W35&lt;&gt;""),"READY","INCOMPLETE")))</f>
        <v>NOT_PASS</v>
      </c>
    </row>
    <row r="36" customFormat="false" ht="28.8" hidden="false" customHeight="true" outlineLevel="0" collapsed="false">
      <c r="A36" s="12" t="n">
        <v>620</v>
      </c>
      <c r="B36" s="12" t="s">
        <v>375</v>
      </c>
      <c r="C36" s="12" t="s">
        <v>361</v>
      </c>
      <c r="D36" s="12" t="s">
        <v>362</v>
      </c>
      <c r="E36" s="12" t="s">
        <v>376</v>
      </c>
      <c r="F36" s="12" t="s">
        <v>377</v>
      </c>
      <c r="G36" s="12" t="s">
        <v>378</v>
      </c>
      <c r="H36" s="12" t="s">
        <v>379</v>
      </c>
      <c r="I36" s="12" t="s">
        <v>289</v>
      </c>
      <c r="J36" s="12" t="s">
        <v>380</v>
      </c>
      <c r="K36" s="14" t="s">
        <v>223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 t="s">
        <v>7</v>
      </c>
      <c r="Y36" s="14"/>
      <c r="Z36" s="14"/>
      <c r="AA36" s="12" t="str">
        <f aca="false">IF(X36&lt;&gt;"PASS","NOT_PASS",IF(OR(ISNUMBER(SEARCH("OPEN",K36)),ISNUMBER(SEARCH("PARTIAL",K36))),"LIMIT_OPEN",IF(AND(OR(L36&lt;&gt;"",M36&lt;&gt;"",N36&lt;&gt;""),OR(O36&lt;&gt;"",P36&lt;&gt;""),Q36&lt;&gt;"",R36&lt;&gt;"",S36&lt;&gt;"",LEN(T36)=64,U36&lt;&gt;"",V36&lt;&gt;"",U36&lt;&gt;V36,W36&lt;&gt;""),"READY","INCOMPLETE")))</f>
        <v>NOT_PASS</v>
      </c>
    </row>
    <row r="37" customFormat="false" ht="28.8" hidden="false" customHeight="true" outlineLevel="0" collapsed="false">
      <c r="A37" s="12" t="n">
        <v>630</v>
      </c>
      <c r="B37" s="12" t="s">
        <v>381</v>
      </c>
      <c r="C37" s="12" t="s">
        <v>361</v>
      </c>
      <c r="D37" s="12" t="s">
        <v>362</v>
      </c>
      <c r="E37" s="12" t="s">
        <v>382</v>
      </c>
      <c r="F37" s="12" t="s">
        <v>383</v>
      </c>
      <c r="G37" s="12" t="s">
        <v>384</v>
      </c>
      <c r="H37" s="12" t="s">
        <v>385</v>
      </c>
      <c r="I37" s="12" t="s">
        <v>386</v>
      </c>
      <c r="J37" s="12" t="s">
        <v>387</v>
      </c>
      <c r="K37" s="14" t="s">
        <v>223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 t="s">
        <v>7</v>
      </c>
      <c r="Y37" s="14"/>
      <c r="Z37" s="14"/>
      <c r="AA37" s="12" t="str">
        <f aca="false">IF(X37&lt;&gt;"PASS","NOT_PASS",IF(OR(ISNUMBER(SEARCH("OPEN",K37)),ISNUMBER(SEARCH("PARTIAL",K37))),"LIMIT_OPEN",IF(AND(OR(L37&lt;&gt;"",M37&lt;&gt;"",N37&lt;&gt;""),OR(O37&lt;&gt;"",P37&lt;&gt;""),Q37&lt;&gt;"",R37&lt;&gt;"",S37&lt;&gt;"",LEN(T37)=64,U37&lt;&gt;"",V37&lt;&gt;"",U37&lt;&gt;V37,W37&lt;&gt;""),"READY","INCOMPLETE")))</f>
        <v>NOT_PASS</v>
      </c>
    </row>
    <row r="38" customFormat="false" ht="28.8" hidden="false" customHeight="true" outlineLevel="0" collapsed="false">
      <c r="A38" s="12" t="n">
        <v>640</v>
      </c>
      <c r="B38" s="12" t="s">
        <v>388</v>
      </c>
      <c r="C38" s="12" t="s">
        <v>361</v>
      </c>
      <c r="D38" s="12" t="s">
        <v>362</v>
      </c>
      <c r="E38" s="12" t="s">
        <v>389</v>
      </c>
      <c r="F38" s="12" t="s">
        <v>390</v>
      </c>
      <c r="G38" s="12" t="s">
        <v>391</v>
      </c>
      <c r="H38" s="12" t="s">
        <v>392</v>
      </c>
      <c r="I38" s="12" t="s">
        <v>393</v>
      </c>
      <c r="J38" s="12" t="s">
        <v>394</v>
      </c>
      <c r="K38" s="14" t="s">
        <v>223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 t="s">
        <v>7</v>
      </c>
      <c r="Y38" s="14"/>
      <c r="Z38" s="14"/>
      <c r="AA38" s="12" t="str">
        <f aca="false">IF(X38&lt;&gt;"PASS","NOT_PASS",IF(OR(ISNUMBER(SEARCH("OPEN",K38)),ISNUMBER(SEARCH("PARTIAL",K38))),"LIMIT_OPEN",IF(AND(OR(L38&lt;&gt;"",M38&lt;&gt;"",N38&lt;&gt;""),OR(O38&lt;&gt;"",P38&lt;&gt;""),Q38&lt;&gt;"",R38&lt;&gt;"",S38&lt;&gt;"",LEN(T38)=64,U38&lt;&gt;"",V38&lt;&gt;"",U38&lt;&gt;V38,W38&lt;&gt;""),"READY","INCOMPLETE")))</f>
        <v>NOT_PASS</v>
      </c>
    </row>
    <row r="39" customFormat="false" ht="43.2" hidden="false" customHeight="true" outlineLevel="0" collapsed="false">
      <c r="A39" s="12" t="n">
        <v>700</v>
      </c>
      <c r="B39" s="12" t="s">
        <v>395</v>
      </c>
      <c r="C39" s="12" t="s">
        <v>396</v>
      </c>
      <c r="D39" s="12"/>
      <c r="E39" s="12"/>
      <c r="F39" s="12" t="s">
        <v>397</v>
      </c>
      <c r="G39" s="12" t="s">
        <v>398</v>
      </c>
      <c r="H39" s="12" t="s">
        <v>399</v>
      </c>
      <c r="I39" s="12" t="s">
        <v>289</v>
      </c>
      <c r="J39" s="12" t="s">
        <v>400</v>
      </c>
      <c r="K39" s="14" t="s">
        <v>190</v>
      </c>
      <c r="L39" s="14"/>
      <c r="M39" s="14"/>
      <c r="N39" s="14" t="s">
        <v>15</v>
      </c>
      <c r="O39" s="14"/>
      <c r="P39" s="14"/>
      <c r="Q39" s="14"/>
      <c r="R39" s="14"/>
      <c r="S39" s="14"/>
      <c r="T39" s="14"/>
      <c r="U39" s="14"/>
      <c r="V39" s="14"/>
      <c r="W39" s="14"/>
      <c r="X39" s="14" t="s">
        <v>7</v>
      </c>
      <c r="Y39" s="14"/>
      <c r="Z39" s="14"/>
      <c r="AA39" s="12" t="str">
        <f aca="false">IF(X39&lt;&gt;"PASS","NOT_PASS",IF(OR(ISNUMBER(SEARCH("OPEN",K39)),ISNUMBER(SEARCH("PARTIAL",K39))),"LIMIT_OPEN",IF(AND(OR(L39&lt;&gt;"",M39&lt;&gt;"",N39&lt;&gt;""),OR(O39&lt;&gt;"",P39&lt;&gt;""),Q39&lt;&gt;"",R39&lt;&gt;"",S39&lt;&gt;"",LEN(T39)=64,U39&lt;&gt;"",V39&lt;&gt;"",U39&lt;&gt;V39,W39&lt;&gt;""),"READY","INCOMPLETE")))</f>
        <v>NOT_PASS</v>
      </c>
    </row>
    <row r="40" customFormat="false" ht="28.8" hidden="false" customHeight="true" outlineLevel="0" collapsed="false">
      <c r="A40" s="12" t="n">
        <v>800</v>
      </c>
      <c r="B40" s="12" t="s">
        <v>401</v>
      </c>
      <c r="C40" s="12" t="s">
        <v>402</v>
      </c>
      <c r="D40" s="12" t="s">
        <v>403</v>
      </c>
      <c r="E40" s="12" t="s">
        <v>404</v>
      </c>
      <c r="F40" s="12" t="s">
        <v>405</v>
      </c>
      <c r="G40" s="12" t="s">
        <v>406</v>
      </c>
      <c r="H40" s="12" t="s">
        <v>407</v>
      </c>
      <c r="I40" s="12" t="s">
        <v>289</v>
      </c>
      <c r="J40" s="12" t="s">
        <v>408</v>
      </c>
      <c r="K40" s="14" t="s">
        <v>190</v>
      </c>
      <c r="L40" s="14"/>
      <c r="M40" s="14"/>
      <c r="N40" s="14" t="s">
        <v>15</v>
      </c>
      <c r="O40" s="14"/>
      <c r="P40" s="14"/>
      <c r="Q40" s="14"/>
      <c r="R40" s="14"/>
      <c r="S40" s="14"/>
      <c r="T40" s="14"/>
      <c r="U40" s="14"/>
      <c r="V40" s="14"/>
      <c r="W40" s="14"/>
      <c r="X40" s="14" t="s">
        <v>7</v>
      </c>
      <c r="Y40" s="14"/>
      <c r="Z40" s="14"/>
      <c r="AA40" s="12" t="str">
        <f aca="false">IF(X40&lt;&gt;"PASS","NOT_PASS",IF(OR(ISNUMBER(SEARCH("OPEN",K40)),ISNUMBER(SEARCH("PARTIAL",K40))),"LIMIT_OPEN",IF(AND(OR(L40&lt;&gt;"",M40&lt;&gt;"",N40&lt;&gt;""),OR(O40&lt;&gt;"",P40&lt;&gt;""),Q40&lt;&gt;"",R40&lt;&gt;"",S40&lt;&gt;"",LEN(T40)=64,U40&lt;&gt;"",V40&lt;&gt;"",U40&lt;&gt;V40,W40&lt;&gt;""),"READY","INCOMPLETE")))</f>
        <v>NOT_PASS</v>
      </c>
    </row>
    <row r="41" customFormat="false" ht="28.8" hidden="false" customHeight="true" outlineLevel="0" collapsed="false">
      <c r="A41" s="12" t="n">
        <v>810</v>
      </c>
      <c r="B41" s="12" t="s">
        <v>409</v>
      </c>
      <c r="C41" s="12" t="s">
        <v>410</v>
      </c>
      <c r="D41" s="12" t="s">
        <v>411</v>
      </c>
      <c r="E41" s="12" t="s">
        <v>412</v>
      </c>
      <c r="F41" s="12" t="s">
        <v>413</v>
      </c>
      <c r="G41" s="12" t="s">
        <v>414</v>
      </c>
      <c r="H41" s="12" t="s">
        <v>415</v>
      </c>
      <c r="I41" s="12" t="s">
        <v>416</v>
      </c>
      <c r="J41" s="12" t="s">
        <v>417</v>
      </c>
      <c r="K41" s="14" t="s">
        <v>223</v>
      </c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 t="s">
        <v>7</v>
      </c>
      <c r="Y41" s="14"/>
      <c r="Z41" s="14"/>
      <c r="AA41" s="12" t="str">
        <f aca="false">IF(X41&lt;&gt;"PASS","NOT_PASS",IF(OR(ISNUMBER(SEARCH("OPEN",K41)),ISNUMBER(SEARCH("PARTIAL",K41))),"LIMIT_OPEN",IF(AND(OR(L41&lt;&gt;"",M41&lt;&gt;"",N41&lt;&gt;""),OR(O41&lt;&gt;"",P41&lt;&gt;""),Q41&lt;&gt;"",R41&lt;&gt;"",S41&lt;&gt;"",LEN(T41)=64,U41&lt;&gt;"",V41&lt;&gt;"",U41&lt;&gt;V41,W41&lt;&gt;""),"READY","INCOMPLETE")))</f>
        <v>NOT_PASS</v>
      </c>
    </row>
    <row r="42" customFormat="false" ht="43.2" hidden="false" customHeight="true" outlineLevel="0" collapsed="false">
      <c r="A42" s="12" t="n">
        <v>820</v>
      </c>
      <c r="B42" s="12" t="s">
        <v>418</v>
      </c>
      <c r="C42" s="12" t="s">
        <v>419</v>
      </c>
      <c r="D42" s="12" t="s">
        <v>420</v>
      </c>
      <c r="E42" s="12" t="s">
        <v>412</v>
      </c>
      <c r="F42" s="12" t="s">
        <v>421</v>
      </c>
      <c r="G42" s="12" t="s">
        <v>422</v>
      </c>
      <c r="H42" s="12" t="s">
        <v>423</v>
      </c>
      <c r="I42" s="12" t="s">
        <v>424</v>
      </c>
      <c r="J42" s="12" t="s">
        <v>425</v>
      </c>
      <c r="K42" s="14" t="s">
        <v>223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 t="s">
        <v>7</v>
      </c>
      <c r="Y42" s="14"/>
      <c r="Z42" s="14"/>
      <c r="AA42" s="12" t="str">
        <f aca="false">IF(X42&lt;&gt;"PASS","NOT_PASS",IF(OR(ISNUMBER(SEARCH("OPEN",K42)),ISNUMBER(SEARCH("PARTIAL",K42))),"LIMIT_OPEN",IF(AND(OR(L42&lt;&gt;"",M42&lt;&gt;"",N42&lt;&gt;""),OR(O42&lt;&gt;"",P42&lt;&gt;""),Q42&lt;&gt;"",R42&lt;&gt;"",S42&lt;&gt;"",LEN(T42)=64,U42&lt;&gt;"",V42&lt;&gt;"",U42&lt;&gt;V42,W42&lt;&gt;""),"READY","INCOMPLETE")))</f>
        <v>NOT_PASS</v>
      </c>
    </row>
    <row r="43" customFormat="false" ht="43.2" hidden="false" customHeight="true" outlineLevel="0" collapsed="false">
      <c r="A43" s="12" t="n">
        <v>830</v>
      </c>
      <c r="B43" s="12" t="s">
        <v>426</v>
      </c>
      <c r="C43" s="12" t="s">
        <v>427</v>
      </c>
      <c r="D43" s="12" t="s">
        <v>428</v>
      </c>
      <c r="E43" s="12" t="s">
        <v>412</v>
      </c>
      <c r="F43" s="12" t="s">
        <v>429</v>
      </c>
      <c r="G43" s="12" t="s">
        <v>430</v>
      </c>
      <c r="H43" s="12" t="s">
        <v>431</v>
      </c>
      <c r="I43" s="12" t="s">
        <v>289</v>
      </c>
      <c r="J43" s="12" t="s">
        <v>432</v>
      </c>
      <c r="K43" s="14" t="s">
        <v>190</v>
      </c>
      <c r="L43" s="14"/>
      <c r="M43" s="14"/>
      <c r="N43" s="14" t="s">
        <v>15</v>
      </c>
      <c r="O43" s="14"/>
      <c r="P43" s="14"/>
      <c r="Q43" s="14"/>
      <c r="R43" s="14"/>
      <c r="S43" s="14"/>
      <c r="T43" s="14"/>
      <c r="U43" s="14"/>
      <c r="V43" s="14"/>
      <c r="W43" s="14"/>
      <c r="X43" s="14" t="s">
        <v>7</v>
      </c>
      <c r="Y43" s="14"/>
      <c r="Z43" s="14"/>
      <c r="AA43" s="12" t="str">
        <f aca="false">IF(X43&lt;&gt;"PASS","NOT_PASS",IF(OR(ISNUMBER(SEARCH("OPEN",K43)),ISNUMBER(SEARCH("PARTIAL",K43))),"LIMIT_OPEN",IF(AND(OR(L43&lt;&gt;"",M43&lt;&gt;"",N43&lt;&gt;""),OR(O43&lt;&gt;"",P43&lt;&gt;""),Q43&lt;&gt;"",R43&lt;&gt;"",S43&lt;&gt;"",LEN(T43)=64,U43&lt;&gt;"",V43&lt;&gt;"",U43&lt;&gt;V43,W43&lt;&gt;""),"READY","INCOMPLETE")))</f>
        <v>NOT_PASS</v>
      </c>
    </row>
    <row r="44" customFormat="false" ht="43.2" hidden="false" customHeight="true" outlineLevel="0" collapsed="false">
      <c r="A44" s="12" t="n">
        <v>900</v>
      </c>
      <c r="B44" s="12" t="s">
        <v>433</v>
      </c>
      <c r="C44" s="12" t="s">
        <v>434</v>
      </c>
      <c r="D44" s="12"/>
      <c r="E44" s="12"/>
      <c r="F44" s="12" t="s">
        <v>435</v>
      </c>
      <c r="G44" s="12" t="s">
        <v>436</v>
      </c>
      <c r="H44" s="12" t="s">
        <v>437</v>
      </c>
      <c r="I44" s="12" t="s">
        <v>289</v>
      </c>
      <c r="J44" s="12" t="s">
        <v>438</v>
      </c>
      <c r="K44" s="14" t="s">
        <v>190</v>
      </c>
      <c r="L44" s="14"/>
      <c r="M44" s="14"/>
      <c r="N44" s="14" t="s">
        <v>15</v>
      </c>
      <c r="O44" s="14"/>
      <c r="P44" s="14"/>
      <c r="Q44" s="14"/>
      <c r="R44" s="14"/>
      <c r="S44" s="14"/>
      <c r="T44" s="14"/>
      <c r="U44" s="14"/>
      <c r="V44" s="14"/>
      <c r="W44" s="14"/>
      <c r="X44" s="14" t="s">
        <v>7</v>
      </c>
      <c r="Y44" s="14"/>
      <c r="Z44" s="14"/>
      <c r="AA44" s="12" t="str">
        <f aca="false">IF(X44&lt;&gt;"PASS","NOT_PASS",IF(OR(ISNUMBER(SEARCH("OPEN",K44)),ISNUMBER(SEARCH("PARTIAL",K44))),"LIMIT_OPEN",IF(AND(OR(L44&lt;&gt;"",M44&lt;&gt;"",N44&lt;&gt;""),OR(O44&lt;&gt;"",P44&lt;&gt;""),Q44&lt;&gt;"",R44&lt;&gt;"",S44&lt;&gt;"",LEN(T44)=64,U44&lt;&gt;"",V44&lt;&gt;"",U44&lt;&gt;V44,W44&lt;&gt;""),"READY","INCOMPLETE")))</f>
        <v>NOT_PASS</v>
      </c>
    </row>
    <row r="45" customFormat="false" ht="28.8" hidden="false" customHeight="true" outlineLevel="0" collapsed="false">
      <c r="A45" s="12" t="n">
        <v>910</v>
      </c>
      <c r="B45" s="12" t="s">
        <v>439</v>
      </c>
      <c r="C45" s="12" t="s">
        <v>440</v>
      </c>
      <c r="D45" s="12"/>
      <c r="E45" s="12"/>
      <c r="F45" s="12" t="s">
        <v>441</v>
      </c>
      <c r="G45" s="12" t="s">
        <v>442</v>
      </c>
      <c r="H45" s="12" t="s">
        <v>443</v>
      </c>
      <c r="I45" s="12" t="s">
        <v>289</v>
      </c>
      <c r="J45" s="12" t="s">
        <v>444</v>
      </c>
      <c r="K45" s="14" t="s">
        <v>190</v>
      </c>
      <c r="L45" s="14"/>
      <c r="M45" s="14"/>
      <c r="N45" s="14" t="s">
        <v>15</v>
      </c>
      <c r="O45" s="14"/>
      <c r="P45" s="14"/>
      <c r="Q45" s="14"/>
      <c r="R45" s="14"/>
      <c r="S45" s="14"/>
      <c r="T45" s="14"/>
      <c r="U45" s="14"/>
      <c r="V45" s="14"/>
      <c r="W45" s="14"/>
      <c r="X45" s="14" t="s">
        <v>7</v>
      </c>
      <c r="Y45" s="14"/>
      <c r="Z45" s="14"/>
      <c r="AA45" s="12" t="str">
        <f aca="false">IF(X45&lt;&gt;"PASS","NOT_PASS",IF(OR(ISNUMBER(SEARCH("OPEN",K45)),ISNUMBER(SEARCH("PARTIAL",K45))),"LIMIT_OPEN",IF(AND(OR(L45&lt;&gt;"",M45&lt;&gt;"",N45&lt;&gt;""),OR(O45&lt;&gt;"",P45&lt;&gt;""),Q45&lt;&gt;"",R45&lt;&gt;"",S45&lt;&gt;"",LEN(T45)=64,U45&lt;&gt;"",V45&lt;&gt;"",U45&lt;&gt;V45,W45&lt;&gt;""),"READY","INCOMPLETE")))</f>
        <v>NOT_PASS</v>
      </c>
    </row>
    <row r="46" customFormat="false" ht="43.2" hidden="false" customHeight="true" outlineLevel="0" collapsed="false">
      <c r="A46" s="12" t="n">
        <v>920</v>
      </c>
      <c r="B46" s="12" t="s">
        <v>445</v>
      </c>
      <c r="C46" s="12" t="s">
        <v>440</v>
      </c>
      <c r="D46" s="12"/>
      <c r="E46" s="12"/>
      <c r="F46" s="12" t="s">
        <v>446</v>
      </c>
      <c r="G46" s="12" t="s">
        <v>447</v>
      </c>
      <c r="H46" s="12" t="s">
        <v>448</v>
      </c>
      <c r="I46" s="12" t="s">
        <v>289</v>
      </c>
      <c r="J46" s="12" t="s">
        <v>449</v>
      </c>
      <c r="K46" s="14" t="s">
        <v>190</v>
      </c>
      <c r="L46" s="14"/>
      <c r="M46" s="14"/>
      <c r="N46" s="14" t="s">
        <v>15</v>
      </c>
      <c r="O46" s="14"/>
      <c r="P46" s="14"/>
      <c r="Q46" s="14"/>
      <c r="R46" s="14"/>
      <c r="S46" s="14"/>
      <c r="T46" s="14"/>
      <c r="U46" s="14"/>
      <c r="V46" s="14"/>
      <c r="W46" s="14"/>
      <c r="X46" s="14" t="s">
        <v>7</v>
      </c>
      <c r="Y46" s="14"/>
      <c r="Z46" s="14"/>
      <c r="AA46" s="12" t="str">
        <f aca="false">IF(X46&lt;&gt;"PASS","NOT_PASS",IF(OR(ISNUMBER(SEARCH("OPEN",K46)),ISNUMBER(SEARCH("PARTIAL",K46))),"LIMIT_OPEN",IF(AND(OR(L46&lt;&gt;"",M46&lt;&gt;"",N46&lt;&gt;""),OR(O46&lt;&gt;"",P46&lt;&gt;""),Q46&lt;&gt;"",R46&lt;&gt;"",S46&lt;&gt;"",LEN(T46)=64,U46&lt;&gt;"",V46&lt;&gt;"",U46&lt;&gt;V46,W46&lt;&gt;""),"READY","INCOMPLETE")))</f>
        <v>NOT_PASS</v>
      </c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</sheetData>
  <mergeCells count="1">
    <mergeCell ref="A2:AA2"/>
  </mergeCells>
  <conditionalFormatting sqref="X5:X46">
    <cfRule type="containsText" priority="2" operator="containsText" aboveAverage="0" equalAverage="0" bottom="0" percent="0" rank="0" text="PASS" dxfId="8">
      <formula>NOT(ISERROR(SEARCH("PASS",X5)))</formula>
    </cfRule>
    <cfRule type="containsText" priority="3" operator="containsText" aboveAverage="0" equalAverage="0" bottom="0" percent="0" rank="0" text="FAIL" dxfId="9">
      <formula>NOT(ISERROR(SEARCH("FAIL",X5)))</formula>
    </cfRule>
    <cfRule type="containsText" priority="4" operator="containsText" aboveAverage="0" equalAverage="0" bottom="0" percent="0" rank="0" text="HOLD" dxfId="10">
      <formula>NOT(ISERROR(SEARCH("HOLD",X5)))</formula>
    </cfRule>
  </conditionalFormatting>
  <conditionalFormatting sqref="AA5:AA46">
    <cfRule type="containsText" priority="5" operator="containsText" aboveAverage="0" equalAverage="0" bottom="0" percent="0" rank="0" text="READY" dxfId="11">
      <formula>NOT(ISERROR(SEARCH("READY",AA5)))</formula>
    </cfRule>
    <cfRule type="containsText" priority="6" operator="containsText" aboveAverage="0" equalAverage="0" bottom="0" percent="0" rank="0" text="OPEN" dxfId="12">
      <formula>NOT(ISERROR(SEARCH("OPEN",AA5)))</formula>
    </cfRule>
  </conditionalFormatting>
  <dataValidations count="2">
    <dataValidation allowBlank="false" errorStyle="stop" operator="equal" showDropDown="false" showErrorMessage="false" showInputMessage="false" sqref="K5:K46" type="list">
      <formula1>"APPROVED_DOCUMENTARY,APPROVED_NUMERIC,OPEN_B01_FREEZE,PARTIAL_APPROVED_MIN_ONLY"</formula1>
      <formula2>0</formula2>
    </dataValidation>
    <dataValidation allowBlank="false" errorStyle="stop" operator="equal" showDropDown="false" showErrorMessage="false" showInputMessage="false" sqref="X5:X46" type="list">
      <formula1>"NOT_RUN,MEASURED,PASS,FAIL,HOLD"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2.8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8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6" min="6" style="0" width="36"/>
    <col collapsed="false" customWidth="true" hidden="false" outlineLevel="0" max="7" min="7" style="0" width="24"/>
    <col collapsed="false" customWidth="true" hidden="false" outlineLevel="0" max="9" min="8" style="0" width="20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2" t="s">
        <v>450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true" outlineLevel="0" collapsed="false">
      <c r="A4" s="11" t="s">
        <v>451</v>
      </c>
      <c r="B4" s="11" t="s">
        <v>452</v>
      </c>
      <c r="C4" s="11" t="s">
        <v>453</v>
      </c>
      <c r="D4" s="11" t="s">
        <v>454</v>
      </c>
      <c r="E4" s="11" t="s">
        <v>64</v>
      </c>
      <c r="F4" s="11" t="s">
        <v>178</v>
      </c>
      <c r="G4" s="11" t="s">
        <v>455</v>
      </c>
      <c r="H4" s="11" t="s">
        <v>180</v>
      </c>
      <c r="I4" s="11" t="s">
        <v>29</v>
      </c>
      <c r="J4" s="11" t="s">
        <v>181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28.8" hidden="false" customHeight="true" outlineLevel="0" collapsed="false">
      <c r="A5" s="12" t="s">
        <v>456</v>
      </c>
      <c r="B5" s="12" t="s">
        <v>457</v>
      </c>
      <c r="C5" s="12" t="s">
        <v>458</v>
      </c>
      <c r="D5" s="14"/>
      <c r="E5" s="14" t="s">
        <v>7</v>
      </c>
      <c r="F5" s="14"/>
      <c r="G5" s="14"/>
      <c r="H5" s="14"/>
      <c r="I5" s="14"/>
      <c r="J5" s="14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15" hidden="false" customHeight="true" outlineLevel="0" collapsed="false">
      <c r="A6" s="12" t="s">
        <v>459</v>
      </c>
      <c r="B6" s="12" t="s">
        <v>460</v>
      </c>
      <c r="C6" s="12" t="s">
        <v>461</v>
      </c>
      <c r="D6" s="14"/>
      <c r="E6" s="14" t="s">
        <v>7</v>
      </c>
      <c r="F6" s="14"/>
      <c r="G6" s="14"/>
      <c r="H6" s="14"/>
      <c r="I6" s="14"/>
      <c r="J6" s="1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15" hidden="false" customHeight="true" outlineLevel="0" collapsed="false">
      <c r="A7" s="12" t="s">
        <v>462</v>
      </c>
      <c r="B7" s="12" t="s">
        <v>463</v>
      </c>
      <c r="C7" s="12" t="s">
        <v>464</v>
      </c>
      <c r="D7" s="14"/>
      <c r="E7" s="14" t="s">
        <v>7</v>
      </c>
      <c r="F7" s="14"/>
      <c r="G7" s="14"/>
      <c r="H7" s="14"/>
      <c r="I7" s="14"/>
      <c r="J7" s="14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customFormat="false" ht="15" hidden="false" customHeight="true" outlineLevel="0" collapsed="false">
      <c r="A8" s="12" t="s">
        <v>465</v>
      </c>
      <c r="B8" s="12" t="s">
        <v>466</v>
      </c>
      <c r="C8" s="12" t="s">
        <v>467</v>
      </c>
      <c r="D8" s="14"/>
      <c r="E8" s="14" t="s">
        <v>7</v>
      </c>
      <c r="F8" s="14"/>
      <c r="G8" s="14"/>
      <c r="H8" s="14"/>
      <c r="I8" s="14"/>
      <c r="J8" s="1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customFormat="false" ht="15" hidden="false" customHeight="true" outlineLevel="0" collapsed="false">
      <c r="A9" s="12" t="s">
        <v>468</v>
      </c>
      <c r="B9" s="12" t="s">
        <v>469</v>
      </c>
      <c r="C9" s="12" t="s">
        <v>470</v>
      </c>
      <c r="D9" s="14"/>
      <c r="E9" s="14" t="s">
        <v>7</v>
      </c>
      <c r="F9" s="14"/>
      <c r="G9" s="14"/>
      <c r="H9" s="14"/>
      <c r="I9" s="14"/>
      <c r="J9" s="14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customFormat="false" ht="15" hidden="false" customHeight="true" outlineLevel="0" collapsed="false">
      <c r="A10" s="12" t="s">
        <v>471</v>
      </c>
      <c r="B10" s="12" t="s">
        <v>472</v>
      </c>
      <c r="C10" s="12" t="s">
        <v>473</v>
      </c>
      <c r="D10" s="14"/>
      <c r="E10" s="14" t="s">
        <v>7</v>
      </c>
      <c r="F10" s="14"/>
      <c r="G10" s="14"/>
      <c r="H10" s="14"/>
      <c r="I10" s="14"/>
      <c r="J10" s="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customFormat="false" ht="15" hidden="false" customHeight="true" outlineLevel="0" collapsed="false">
      <c r="A11" s="12" t="s">
        <v>474</v>
      </c>
      <c r="B11" s="12" t="s">
        <v>475</v>
      </c>
      <c r="C11" s="12" t="s">
        <v>476</v>
      </c>
      <c r="D11" s="14"/>
      <c r="E11" s="14" t="s">
        <v>7</v>
      </c>
      <c r="F11" s="14"/>
      <c r="G11" s="14"/>
      <c r="H11" s="14"/>
      <c r="I11" s="14"/>
      <c r="J11" s="1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15" hidden="false" customHeight="true" outlineLevel="0" collapsed="false">
      <c r="A12" s="12" t="s">
        <v>477</v>
      </c>
      <c r="B12" s="12" t="s">
        <v>478</v>
      </c>
      <c r="C12" s="12" t="s">
        <v>479</v>
      </c>
      <c r="D12" s="14"/>
      <c r="E12" s="14" t="s">
        <v>7</v>
      </c>
      <c r="F12" s="14"/>
      <c r="G12" s="14"/>
      <c r="H12" s="14"/>
      <c r="I12" s="14"/>
      <c r="J12" s="14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</sheetData>
  <mergeCells count="1">
    <mergeCell ref="A2:J2"/>
  </mergeCells>
  <conditionalFormatting sqref="E5:E12">
    <cfRule type="containsText" priority="2" operator="containsText" aboveAverage="0" equalAverage="0" bottom="0" percent="0" rank="0" text="PASS" dxfId="13">
      <formula>NOT(ISERROR(SEARCH("PASS",E5)))</formula>
    </cfRule>
    <cfRule type="containsText" priority="3" operator="containsText" aboveAverage="0" equalAverage="0" bottom="0" percent="0" rank="0" text="FAIL" dxfId="14">
      <formula>NOT(ISERROR(SEARCH("FAIL",E5)))</formula>
    </cfRule>
  </conditionalFormatting>
  <dataValidations count="1">
    <dataValidation allowBlank="false" errorStyle="stop" operator="equal" showDropDown="false" showErrorMessage="false" showInputMessage="false" sqref="E5:E12" type="list">
      <formula1>"NOT_RUN,MEASURED,PASS,FAIL,HOLD"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2.8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48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2" t="s">
        <v>480</v>
      </c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true" outlineLevel="0" collapsed="false">
      <c r="A4" s="11" t="s">
        <v>481</v>
      </c>
      <c r="B4" s="11" t="s">
        <v>482</v>
      </c>
      <c r="C4" s="11" t="s">
        <v>483</v>
      </c>
      <c r="D4" s="11" t="s">
        <v>484</v>
      </c>
      <c r="E4" s="11" t="s">
        <v>485</v>
      </c>
      <c r="F4" s="11" t="s">
        <v>486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15" hidden="false" customHeight="true" outlineLevel="0" collapsed="false">
      <c r="A5" s="12" t="s">
        <v>487</v>
      </c>
      <c r="B5" s="12" t="s">
        <v>488</v>
      </c>
      <c r="C5" s="12" t="s">
        <v>489</v>
      </c>
      <c r="D5" s="12" t="s">
        <v>490</v>
      </c>
      <c r="E5" s="14"/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15" hidden="false" customHeight="true" outlineLevel="0" collapsed="false">
      <c r="A6" s="12" t="s">
        <v>491</v>
      </c>
      <c r="B6" s="12" t="s">
        <v>492</v>
      </c>
      <c r="C6" s="12" t="s">
        <v>493</v>
      </c>
      <c r="D6" s="12" t="s">
        <v>490</v>
      </c>
      <c r="E6" s="14"/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15" hidden="false" customHeight="true" outlineLevel="0" collapsed="false">
      <c r="A7" s="12" t="s">
        <v>494</v>
      </c>
      <c r="B7" s="12" t="s">
        <v>495</v>
      </c>
      <c r="C7" s="12" t="s">
        <v>496</v>
      </c>
      <c r="D7" s="12" t="s">
        <v>490</v>
      </c>
      <c r="E7" s="14"/>
      <c r="F7" s="14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customFormat="false" ht="15" hidden="false" customHeight="true" outlineLevel="0" collapsed="false">
      <c r="A8" s="12" t="s">
        <v>497</v>
      </c>
      <c r="B8" s="12" t="s">
        <v>498</v>
      </c>
      <c r="C8" s="12" t="s">
        <v>499</v>
      </c>
      <c r="D8" s="12" t="s">
        <v>490</v>
      </c>
      <c r="E8" s="14"/>
      <c r="F8" s="14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customFormat="false" ht="15" hidden="false" customHeight="true" outlineLevel="0" collapsed="false">
      <c r="A9" s="12" t="s">
        <v>500</v>
      </c>
      <c r="B9" s="12" t="s">
        <v>501</v>
      </c>
      <c r="C9" s="12" t="s">
        <v>502</v>
      </c>
      <c r="D9" s="12" t="s">
        <v>490</v>
      </c>
      <c r="E9" s="14"/>
      <c r="F9" s="14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customFormat="false" ht="15" hidden="false" customHeight="true" outlineLevel="0" collapsed="false">
      <c r="A10" s="12" t="s">
        <v>503</v>
      </c>
      <c r="B10" s="12" t="s">
        <v>504</v>
      </c>
      <c r="C10" s="12" t="s">
        <v>505</v>
      </c>
      <c r="D10" s="12" t="s">
        <v>490</v>
      </c>
      <c r="E10" s="14"/>
      <c r="F10" s="1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customFormat="false" ht="15" hidden="false" customHeight="true" outlineLevel="0" collapsed="false">
      <c r="A11" s="12" t="s">
        <v>506</v>
      </c>
      <c r="B11" s="12" t="s">
        <v>507</v>
      </c>
      <c r="C11" s="12" t="s">
        <v>508</v>
      </c>
      <c r="D11" s="12" t="s">
        <v>490</v>
      </c>
      <c r="E11" s="14"/>
      <c r="F11" s="1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15" hidden="false" customHeight="true" outlineLevel="0" collapsed="false">
      <c r="A12" s="12" t="s">
        <v>509</v>
      </c>
      <c r="B12" s="12" t="s">
        <v>510</v>
      </c>
      <c r="C12" s="12" t="s">
        <v>511</v>
      </c>
      <c r="D12" s="12" t="s">
        <v>490</v>
      </c>
      <c r="E12" s="14"/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5" hidden="false" customHeight="true" outlineLevel="0" collapsed="false">
      <c r="A13" s="12" t="s">
        <v>512</v>
      </c>
      <c r="B13" s="12" t="s">
        <v>513</v>
      </c>
      <c r="C13" s="12" t="s">
        <v>514</v>
      </c>
      <c r="D13" s="12" t="s">
        <v>490</v>
      </c>
      <c r="E13" s="14"/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15" hidden="false" customHeight="true" outlineLevel="0" collapsed="false">
      <c r="A14" s="12" t="s">
        <v>515</v>
      </c>
      <c r="B14" s="12" t="s">
        <v>516</v>
      </c>
      <c r="C14" s="12" t="s">
        <v>517</v>
      </c>
      <c r="D14" s="12" t="s">
        <v>490</v>
      </c>
      <c r="E14" s="14"/>
      <c r="F14" s="1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</sheetData>
  <mergeCells count="1"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cp:revision>0</cp:revision>
  <dc:subject/>
  <dc:title/>
</cp:coreProperties>
</file>